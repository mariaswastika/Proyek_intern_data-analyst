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filterPrivacy="1"/>
  <xr:revisionPtr revIDLastSave="0" documentId="13_ncr:1_{80737AA3-67CE-4A13-A825-07481442348C}" xr6:coauthVersionLast="47" xr6:coauthVersionMax="47" xr10:uidLastSave="{00000000-0000-0000-0000-000000000000}"/>
  <bookViews>
    <workbookView xWindow="-120" yWindow="-120" windowWidth="29040" windowHeight="15720" firstSheet="6" activeTab="11" xr2:uid="{00000000-000D-0000-FFFF-FFFF00000000}"/>
  </bookViews>
  <sheets>
    <sheet name="JANUARI" sheetId="2" r:id="rId1"/>
    <sheet name="FEBRUARI" sheetId="3" r:id="rId2"/>
    <sheet name="MARET" sheetId="4" r:id="rId3"/>
    <sheet name="APRIL" sheetId="5" r:id="rId4"/>
    <sheet name="MEI" sheetId="6" r:id="rId5"/>
    <sheet name="JUNI" sheetId="7" r:id="rId6"/>
    <sheet name="JULI" sheetId="8" r:id="rId7"/>
    <sheet name="AGUSTUS" sheetId="1" r:id="rId8"/>
    <sheet name="SEPTEMBER" sheetId="9" r:id="rId9"/>
    <sheet name="OKTOBER" sheetId="10" r:id="rId10"/>
    <sheet name="NOVEMBER" sheetId="13" r:id="rId11"/>
    <sheet name="DESEMBER" sheetId="14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Print_Area" localSheetId="0">JANUARI!$A$1:$AB$49</definedName>
    <definedName name="_xlnm.Print_Area" localSheetId="2">MARET!$A$1:$AB$53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7" i="10" l="1"/>
  <c r="AB45" i="10"/>
  <c r="Z46" i="10"/>
  <c r="AA46" i="10"/>
  <c r="AB46" i="10"/>
  <c r="Z47" i="10"/>
  <c r="AA47" i="10"/>
  <c r="AB47" i="10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B44" i="9"/>
  <c r="AA44" i="9"/>
  <c r="Z44" i="9"/>
  <c r="AB43" i="9"/>
  <c r="AA43" i="9"/>
  <c r="Z43" i="9"/>
  <c r="AB42" i="9"/>
  <c r="AA42" i="9"/>
  <c r="Z42" i="9"/>
  <c r="AB41" i="9"/>
  <c r="AA41" i="9"/>
  <c r="Z41" i="9"/>
  <c r="AB40" i="9"/>
  <c r="AA40" i="9"/>
  <c r="Z40" i="9"/>
  <c r="AB39" i="9"/>
  <c r="AA39" i="9"/>
  <c r="Z39" i="9"/>
  <c r="AB38" i="9"/>
  <c r="AA38" i="9"/>
  <c r="Z38" i="9"/>
  <c r="AB37" i="9"/>
  <c r="AA37" i="9"/>
  <c r="Z37" i="9"/>
  <c r="AB36" i="9"/>
  <c r="AA36" i="9"/>
  <c r="Z36" i="9"/>
  <c r="AB35" i="9"/>
  <c r="AA35" i="9"/>
  <c r="Z35" i="9"/>
  <c r="AB34" i="9"/>
  <c r="AA34" i="9"/>
  <c r="Z34" i="9"/>
  <c r="AB33" i="9"/>
  <c r="AA33" i="9"/>
  <c r="Z33" i="9"/>
  <c r="AB32" i="9"/>
  <c r="AA32" i="9"/>
  <c r="Z32" i="9"/>
  <c r="AB31" i="9"/>
  <c r="AA31" i="9"/>
  <c r="Z31" i="9"/>
  <c r="AB30" i="9"/>
  <c r="AA30" i="9"/>
  <c r="Z30" i="9"/>
  <c r="AB29" i="9"/>
  <c r="AA29" i="9"/>
  <c r="Z29" i="9"/>
  <c r="AB28" i="9"/>
  <c r="AA28" i="9"/>
  <c r="Z28" i="9"/>
  <c r="AB27" i="9"/>
  <c r="AA27" i="9"/>
  <c r="Z27" i="9"/>
  <c r="AB26" i="9"/>
  <c r="AA26" i="9"/>
  <c r="Z26" i="9"/>
  <c r="AB25" i="9"/>
  <c r="AA25" i="9"/>
  <c r="Z25" i="9"/>
  <c r="AB24" i="9"/>
  <c r="AA24" i="9"/>
  <c r="Z24" i="9"/>
  <c r="AB23" i="9"/>
  <c r="AA23" i="9"/>
  <c r="Z23" i="9"/>
  <c r="AB22" i="9"/>
  <c r="AA22" i="9"/>
  <c r="Z22" i="9"/>
  <c r="AB21" i="9"/>
  <c r="AA21" i="9"/>
  <c r="Z21" i="9"/>
  <c r="AB20" i="9"/>
  <c r="AA20" i="9"/>
  <c r="Z20" i="9"/>
  <c r="AB19" i="9"/>
  <c r="AA19" i="9"/>
  <c r="Z19" i="9"/>
  <c r="AB18" i="9"/>
  <c r="AA18" i="9"/>
  <c r="Z18" i="9"/>
  <c r="AB17" i="9"/>
  <c r="AA17" i="9"/>
  <c r="Z17" i="9"/>
  <c r="AB16" i="9"/>
  <c r="AA16" i="9"/>
  <c r="Z16" i="9"/>
  <c r="AB15" i="9"/>
  <c r="AA15" i="9"/>
  <c r="Z15" i="9"/>
  <c r="AA45" i="9" l="1"/>
  <c r="AA46" i="9" s="1"/>
  <c r="AA47" i="9" s="1"/>
  <c r="AB45" i="9"/>
  <c r="AB46" i="9" s="1"/>
  <c r="Z45" i="9"/>
  <c r="Z46" i="9" s="1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N9" i="6"/>
  <c r="M9" i="6"/>
  <c r="L9" i="6"/>
  <c r="K9" i="6"/>
  <c r="J9" i="6"/>
  <c r="I9" i="6"/>
  <c r="H9" i="6"/>
  <c r="G9" i="6"/>
  <c r="F9" i="6"/>
  <c r="E9" i="6"/>
  <c r="D9" i="6"/>
  <c r="C9" i="6"/>
  <c r="B9" i="6"/>
  <c r="N8" i="6"/>
  <c r="M8" i="6"/>
  <c r="L8" i="6"/>
  <c r="K8" i="6"/>
  <c r="J8" i="6"/>
  <c r="I8" i="6"/>
  <c r="H8" i="6"/>
  <c r="G8" i="6"/>
  <c r="F8" i="6"/>
  <c r="E8" i="6"/>
  <c r="D8" i="6"/>
  <c r="C8" i="6"/>
  <c r="B8" i="6"/>
  <c r="N7" i="6"/>
  <c r="M7" i="6"/>
  <c r="L7" i="6"/>
  <c r="K7" i="6"/>
  <c r="J7" i="6"/>
  <c r="I7" i="6"/>
  <c r="H7" i="6"/>
  <c r="G7" i="6"/>
  <c r="F7" i="6"/>
  <c r="E7" i="6"/>
  <c r="D7" i="6"/>
  <c r="C7" i="6"/>
  <c r="B7" i="6"/>
  <c r="AB47" i="9" l="1"/>
  <c r="Z47" i="9"/>
  <c r="K39" i="6"/>
  <c r="C39" i="6"/>
  <c r="E40" i="6"/>
  <c r="I40" i="6"/>
  <c r="M40" i="6"/>
  <c r="B40" i="6"/>
  <c r="F40" i="6"/>
  <c r="J40" i="6"/>
  <c r="N40" i="6"/>
  <c r="G39" i="6"/>
  <c r="D38" i="6"/>
  <c r="H38" i="6"/>
  <c r="L38" i="6"/>
  <c r="C40" i="6"/>
  <c r="G40" i="6"/>
  <c r="K40" i="6"/>
  <c r="E38" i="6"/>
  <c r="I38" i="6"/>
  <c r="M38" i="6"/>
  <c r="D39" i="6"/>
  <c r="B38" i="6"/>
  <c r="F38" i="6"/>
  <c r="J38" i="6"/>
  <c r="N38" i="6"/>
  <c r="E39" i="6"/>
  <c r="I39" i="6"/>
  <c r="M39" i="6"/>
  <c r="D40" i="6"/>
  <c r="H40" i="6"/>
  <c r="L40" i="6"/>
  <c r="L39" i="6"/>
  <c r="C38" i="6"/>
  <c r="G38" i="6"/>
  <c r="K38" i="6"/>
  <c r="B39" i="6"/>
  <c r="F39" i="6"/>
  <c r="J39" i="6"/>
  <c r="N39" i="6"/>
  <c r="H39" i="6"/>
  <c r="B39" i="5"/>
  <c r="B37" i="5"/>
  <c r="C37" i="3" l="1"/>
  <c r="D37" i="3"/>
  <c r="E37" i="3"/>
  <c r="F37" i="3"/>
  <c r="G37" i="3"/>
  <c r="H37" i="3"/>
  <c r="I37" i="3"/>
  <c r="J37" i="3"/>
  <c r="K37" i="3"/>
  <c r="L37" i="3"/>
  <c r="M37" i="3"/>
  <c r="N37" i="3"/>
  <c r="B37" i="3"/>
  <c r="Z7" i="3"/>
  <c r="B35" i="3"/>
  <c r="B36" i="3" s="1"/>
  <c r="C35" i="3"/>
  <c r="C36" i="3" s="1"/>
  <c r="D35" i="3"/>
  <c r="D36" i="3" s="1"/>
  <c r="E35" i="3"/>
  <c r="E36" i="3" s="1"/>
  <c r="F35" i="3"/>
  <c r="F36" i="3" s="1"/>
  <c r="G35" i="3"/>
  <c r="G36" i="3" s="1"/>
  <c r="H35" i="3"/>
  <c r="H36" i="3" s="1"/>
  <c r="I35" i="3"/>
  <c r="I36" i="3" s="1"/>
  <c r="J35" i="3"/>
  <c r="J36" i="3" s="1"/>
  <c r="K35" i="3"/>
  <c r="K36" i="3" s="1"/>
  <c r="L35" i="3"/>
  <c r="L36" i="3" s="1"/>
  <c r="M35" i="3"/>
  <c r="M36" i="3" s="1"/>
  <c r="N35" i="3"/>
  <c r="N36" i="3" s="1"/>
  <c r="Z35" i="2" l="1"/>
  <c r="AA35" i="2"/>
  <c r="AB35" i="2"/>
  <c r="Z36" i="2"/>
  <c r="AA36" i="2"/>
  <c r="AB36" i="2"/>
  <c r="Z37" i="2"/>
  <c r="AA37" i="2"/>
  <c r="AB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M47" i="10" l="1"/>
  <c r="L47" i="10"/>
  <c r="K47" i="10"/>
  <c r="J47" i="10"/>
  <c r="I47" i="10"/>
  <c r="H47" i="10"/>
  <c r="G47" i="10"/>
  <c r="F47" i="10"/>
  <c r="E47" i="10"/>
  <c r="D47" i="10"/>
  <c r="C47" i="10"/>
  <c r="B47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N39" i="5"/>
  <c r="M39" i="5"/>
  <c r="L39" i="5"/>
  <c r="K39" i="5"/>
  <c r="J39" i="5"/>
  <c r="I39" i="5"/>
  <c r="H39" i="5"/>
  <c r="G39" i="5"/>
  <c r="F39" i="5"/>
  <c r="E39" i="5"/>
  <c r="D39" i="5"/>
  <c r="C39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N37" i="5"/>
  <c r="M37" i="5"/>
  <c r="L37" i="5"/>
  <c r="K37" i="5"/>
  <c r="J37" i="5"/>
  <c r="I37" i="5"/>
  <c r="H37" i="5"/>
  <c r="G37" i="5"/>
  <c r="F37" i="5"/>
  <c r="E37" i="5"/>
  <c r="D37" i="5"/>
  <c r="C37" i="5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V3" i="8"/>
  <c r="V3" i="7"/>
  <c r="V3" i="6"/>
  <c r="V3" i="5"/>
  <c r="V3" i="4"/>
  <c r="V3" i="3"/>
  <c r="N48" i="14" l="1"/>
  <c r="M48" i="14"/>
  <c r="L48" i="14"/>
  <c r="K48" i="14"/>
  <c r="J48" i="14"/>
  <c r="I48" i="14"/>
  <c r="H48" i="14"/>
  <c r="G48" i="14"/>
  <c r="F48" i="14"/>
  <c r="E48" i="14"/>
  <c r="D48" i="14"/>
  <c r="C48" i="14"/>
  <c r="B48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B45" i="14"/>
  <c r="AA45" i="14"/>
  <c r="Z45" i="14"/>
  <c r="AB44" i="14"/>
  <c r="AA44" i="14"/>
  <c r="Z44" i="14"/>
  <c r="AB43" i="14"/>
  <c r="AA43" i="14"/>
  <c r="Z43" i="14"/>
  <c r="AB42" i="14"/>
  <c r="AA42" i="14"/>
  <c r="Z42" i="14"/>
  <c r="AB41" i="14"/>
  <c r="AA41" i="14"/>
  <c r="Z41" i="14"/>
  <c r="AB40" i="14"/>
  <c r="AA40" i="14"/>
  <c r="Z40" i="14"/>
  <c r="AB39" i="14"/>
  <c r="AA39" i="14"/>
  <c r="Z39" i="14"/>
  <c r="AB38" i="14"/>
  <c r="AA38" i="14"/>
  <c r="Z38" i="14"/>
  <c r="AB37" i="14"/>
  <c r="AA37" i="14"/>
  <c r="Z37" i="14"/>
  <c r="AB36" i="14"/>
  <c r="AA36" i="14"/>
  <c r="Z36" i="14"/>
  <c r="AB35" i="14"/>
  <c r="AA35" i="14"/>
  <c r="Z35" i="14"/>
  <c r="AB34" i="14"/>
  <c r="AA34" i="14"/>
  <c r="Z34" i="14"/>
  <c r="AB33" i="14"/>
  <c r="AA33" i="14"/>
  <c r="Z33" i="14"/>
  <c r="AB32" i="14"/>
  <c r="AA32" i="14"/>
  <c r="Z32" i="14"/>
  <c r="AB31" i="14"/>
  <c r="AA31" i="14"/>
  <c r="Z31" i="14"/>
  <c r="AB30" i="14"/>
  <c r="AA30" i="14"/>
  <c r="Z30" i="14"/>
  <c r="AB29" i="14"/>
  <c r="AA29" i="14"/>
  <c r="Z29" i="14"/>
  <c r="AB28" i="14"/>
  <c r="AA28" i="14"/>
  <c r="Z28" i="14"/>
  <c r="AB27" i="14"/>
  <c r="AA27" i="14"/>
  <c r="Z27" i="14"/>
  <c r="AB26" i="14"/>
  <c r="AA26" i="14"/>
  <c r="Z26" i="14"/>
  <c r="AB25" i="14"/>
  <c r="AA25" i="14"/>
  <c r="Z25" i="14"/>
  <c r="AB24" i="14"/>
  <c r="AA24" i="14"/>
  <c r="Z24" i="14"/>
  <c r="AB23" i="14"/>
  <c r="AA23" i="14"/>
  <c r="Z23" i="14"/>
  <c r="AB22" i="14"/>
  <c r="AA22" i="14"/>
  <c r="Z22" i="14"/>
  <c r="AB21" i="14"/>
  <c r="AA21" i="14"/>
  <c r="Z21" i="14"/>
  <c r="AB20" i="14"/>
  <c r="AA20" i="14"/>
  <c r="Z20" i="14"/>
  <c r="AB19" i="14"/>
  <c r="AA19" i="14"/>
  <c r="Z19" i="14"/>
  <c r="AB18" i="14"/>
  <c r="AA18" i="14"/>
  <c r="Z18" i="14"/>
  <c r="AB17" i="14"/>
  <c r="AA17" i="14"/>
  <c r="Z17" i="14"/>
  <c r="AB16" i="14"/>
  <c r="AA16" i="14"/>
  <c r="Z16" i="14"/>
  <c r="AB15" i="14"/>
  <c r="AA15" i="14"/>
  <c r="Z15" i="14"/>
  <c r="AB46" i="14" l="1"/>
  <c r="AB47" i="14" s="1"/>
  <c r="AB48" i="14" s="1"/>
  <c r="Z46" i="14"/>
  <c r="AA46" i="14"/>
  <c r="AA47" i="14" s="1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AB44" i="13"/>
  <c r="AA44" i="13"/>
  <c r="AB43" i="13"/>
  <c r="AA43" i="13"/>
  <c r="AB42" i="13"/>
  <c r="AA42" i="13"/>
  <c r="AB41" i="13"/>
  <c r="AA41" i="13"/>
  <c r="AB40" i="13"/>
  <c r="AA40" i="13"/>
  <c r="AB39" i="13"/>
  <c r="AA39" i="13"/>
  <c r="AB38" i="13"/>
  <c r="AA38" i="13"/>
  <c r="AB37" i="13"/>
  <c r="AA37" i="13"/>
  <c r="AB36" i="13"/>
  <c r="AA36" i="13"/>
  <c r="AB35" i="13"/>
  <c r="AA35" i="13"/>
  <c r="AB34" i="13"/>
  <c r="AA34" i="13"/>
  <c r="AB33" i="13"/>
  <c r="AA33" i="13"/>
  <c r="Z32" i="13"/>
  <c r="AA32" i="13"/>
  <c r="AB31" i="13"/>
  <c r="AA31" i="13"/>
  <c r="AB30" i="13"/>
  <c r="AA30" i="13"/>
  <c r="AB29" i="13"/>
  <c r="AA29" i="13"/>
  <c r="Z28" i="13"/>
  <c r="AA28" i="13"/>
  <c r="AB27" i="13"/>
  <c r="AA27" i="13"/>
  <c r="AB26" i="13"/>
  <c r="AA26" i="13"/>
  <c r="Z25" i="13"/>
  <c r="AA25" i="13"/>
  <c r="AB24" i="13"/>
  <c r="AA24" i="13"/>
  <c r="AB23" i="13"/>
  <c r="AB22" i="13"/>
  <c r="AB21" i="13"/>
  <c r="AB20" i="13"/>
  <c r="AB19" i="13"/>
  <c r="Z18" i="13"/>
  <c r="AB17" i="13"/>
  <c r="AB16" i="13"/>
  <c r="AB15" i="13"/>
  <c r="Z47" i="14" l="1"/>
  <c r="Z48" i="14" s="1"/>
  <c r="AA48" i="14"/>
  <c r="Z17" i="13"/>
  <c r="Z19" i="13"/>
  <c r="Z20" i="13"/>
  <c r="Z23" i="13"/>
  <c r="Z24" i="13"/>
  <c r="Z29" i="13"/>
  <c r="Z31" i="13"/>
  <c r="Z34" i="13"/>
  <c r="Z35" i="13"/>
  <c r="Z36" i="13"/>
  <c r="Z37" i="13"/>
  <c r="Z38" i="13"/>
  <c r="Z39" i="13"/>
  <c r="Z40" i="13"/>
  <c r="Z41" i="13"/>
  <c r="Z42" i="13"/>
  <c r="Z43" i="13"/>
  <c r="Z44" i="13"/>
  <c r="AA15" i="13"/>
  <c r="AA16" i="13"/>
  <c r="AA17" i="13"/>
  <c r="AA18" i="13"/>
  <c r="AA19" i="13"/>
  <c r="AA20" i="13"/>
  <c r="AA21" i="13"/>
  <c r="AA22" i="13"/>
  <c r="AA23" i="13"/>
  <c r="Z16" i="13"/>
  <c r="Z22" i="13"/>
  <c r="Z26" i="13"/>
  <c r="Z27" i="13"/>
  <c r="Z30" i="13"/>
  <c r="Z33" i="13"/>
  <c r="AB18" i="13"/>
  <c r="AB25" i="13"/>
  <c r="AB28" i="13"/>
  <c r="AB32" i="13"/>
  <c r="Z15" i="13"/>
  <c r="Z21" i="13"/>
  <c r="Y48" i="8"/>
  <c r="Y43" i="7"/>
  <c r="Y48" i="6"/>
  <c r="Y47" i="5"/>
  <c r="Y48" i="4"/>
  <c r="Y45" i="3"/>
  <c r="Z45" i="13" l="1"/>
  <c r="Z46" i="13" s="1"/>
  <c r="Z47" i="13" s="1"/>
  <c r="AB45" i="13"/>
  <c r="AB46" i="13" s="1"/>
  <c r="AB47" i="13" s="1"/>
  <c r="AA45" i="13"/>
  <c r="AA46" i="13" s="1"/>
  <c r="AB17" i="10"/>
  <c r="AB21" i="10"/>
  <c r="AB25" i="10"/>
  <c r="AB29" i="10"/>
  <c r="AB33" i="10"/>
  <c r="AB37" i="10"/>
  <c r="AB41" i="10"/>
  <c r="AB14" i="10"/>
  <c r="AB18" i="10"/>
  <c r="AB22" i="10"/>
  <c r="AB26" i="10"/>
  <c r="AB30" i="10"/>
  <c r="AB34" i="10"/>
  <c r="AB38" i="10"/>
  <c r="AB42" i="10"/>
  <c r="AB15" i="10"/>
  <c r="AB19" i="10"/>
  <c r="AB23" i="10"/>
  <c r="AB27" i="10"/>
  <c r="AB31" i="10"/>
  <c r="AB35" i="10"/>
  <c r="AB39" i="10"/>
  <c r="AB43" i="10"/>
  <c r="AB16" i="10"/>
  <c r="AB20" i="10"/>
  <c r="AB24" i="10"/>
  <c r="AB28" i="10"/>
  <c r="AB32" i="10"/>
  <c r="AB36" i="10"/>
  <c r="AB40" i="10"/>
  <c r="AB44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Z45" i="10" l="1"/>
  <c r="AA45" i="10"/>
  <c r="AA47" i="13"/>
  <c r="T3" i="7" l="1"/>
  <c r="T3" i="6"/>
  <c r="Z7" i="7" l="1"/>
  <c r="AB12" i="7"/>
  <c r="Z15" i="7"/>
  <c r="Z19" i="7"/>
  <c r="AB20" i="7"/>
  <c r="Z23" i="7"/>
  <c r="Z27" i="7"/>
  <c r="AB28" i="7"/>
  <c r="AB31" i="7"/>
  <c r="AA32" i="7"/>
  <c r="AB35" i="7"/>
  <c r="AA36" i="7"/>
  <c r="AB8" i="7"/>
  <c r="AB7" i="6"/>
  <c r="Z10" i="6"/>
  <c r="AB11" i="6"/>
  <c r="Z14" i="6"/>
  <c r="AB15" i="6"/>
  <c r="Z18" i="6"/>
  <c r="AB19" i="6"/>
  <c r="Z22" i="6"/>
  <c r="AB23" i="6"/>
  <c r="Z26" i="6"/>
  <c r="AB27" i="6"/>
  <c r="Z30" i="6"/>
  <c r="AB31" i="6"/>
  <c r="Z34" i="6"/>
  <c r="AB35" i="6"/>
  <c r="Z7" i="6"/>
  <c r="AB8" i="6"/>
  <c r="Z11" i="6"/>
  <c r="AB12" i="6"/>
  <c r="Z15" i="6"/>
  <c r="AB16" i="6"/>
  <c r="Z19" i="6"/>
  <c r="AB20" i="6"/>
  <c r="Z23" i="6"/>
  <c r="AB24" i="6"/>
  <c r="Z27" i="6"/>
  <c r="AB28" i="6"/>
  <c r="Z31" i="6"/>
  <c r="AB32" i="6"/>
  <c r="Z35" i="6"/>
  <c r="AB36" i="6"/>
  <c r="Z8" i="7"/>
  <c r="AB9" i="7"/>
  <c r="Z12" i="7"/>
  <c r="AB13" i="7"/>
  <c r="Z16" i="7"/>
  <c r="AB17" i="7"/>
  <c r="Z20" i="7"/>
  <c r="AB21" i="7"/>
  <c r="Z24" i="7"/>
  <c r="AB25" i="7"/>
  <c r="Z28" i="7"/>
  <c r="AB29" i="7"/>
  <c r="AB32" i="7"/>
  <c r="AA33" i="7"/>
  <c r="Z36" i="7"/>
  <c r="Z11" i="7"/>
  <c r="AB24" i="7"/>
  <c r="AB9" i="6"/>
  <c r="Z12" i="6"/>
  <c r="AB13" i="6"/>
  <c r="Z16" i="6"/>
  <c r="AB17" i="6"/>
  <c r="Z20" i="6"/>
  <c r="AB21" i="6"/>
  <c r="Z24" i="6"/>
  <c r="AB25" i="6"/>
  <c r="Z28" i="6"/>
  <c r="AB29" i="6"/>
  <c r="Z32" i="6"/>
  <c r="AB33" i="6"/>
  <c r="Z36" i="6"/>
  <c r="AB37" i="6"/>
  <c r="Z9" i="7"/>
  <c r="AB10" i="7"/>
  <c r="Z13" i="7"/>
  <c r="AB14" i="7"/>
  <c r="Z17" i="7"/>
  <c r="AB18" i="7"/>
  <c r="Z21" i="7"/>
  <c r="AB22" i="7"/>
  <c r="Z25" i="7"/>
  <c r="AB26" i="7"/>
  <c r="Z29" i="7"/>
  <c r="AB30" i="7"/>
  <c r="AB33" i="7"/>
  <c r="AA34" i="7"/>
  <c r="AB16" i="7"/>
  <c r="Z8" i="6"/>
  <c r="Z9" i="6"/>
  <c r="AB10" i="6"/>
  <c r="Z13" i="6"/>
  <c r="AB14" i="6"/>
  <c r="Z17" i="6"/>
  <c r="AB18" i="6"/>
  <c r="Z21" i="6"/>
  <c r="AB22" i="6"/>
  <c r="Z25" i="6"/>
  <c r="AB26" i="6"/>
  <c r="Z29" i="6"/>
  <c r="AB30" i="6"/>
  <c r="Z33" i="6"/>
  <c r="AB34" i="6"/>
  <c r="Z37" i="6"/>
  <c r="AB7" i="7"/>
  <c r="Z10" i="7"/>
  <c r="AB11" i="7"/>
  <c r="Z14" i="7"/>
  <c r="AB15" i="7"/>
  <c r="Z18" i="7"/>
  <c r="AB19" i="7"/>
  <c r="Z22" i="7"/>
  <c r="AB23" i="7"/>
  <c r="Z26" i="7"/>
  <c r="AB27" i="7"/>
  <c r="Z30" i="7"/>
  <c r="AA31" i="7"/>
  <c r="AB34" i="7"/>
  <c r="AA35" i="7"/>
  <c r="Z31" i="7"/>
  <c r="Z32" i="7"/>
  <c r="Z35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Z33" i="7"/>
  <c r="Z34" i="7"/>
  <c r="AB36" i="7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B37" i="7" l="1"/>
  <c r="AB38" i="7" s="1"/>
  <c r="AB39" i="7" s="1"/>
  <c r="AA37" i="7"/>
  <c r="AA38" i="7" s="1"/>
  <c r="Z37" i="7"/>
  <c r="Z38" i="7" s="1"/>
  <c r="Z39" i="7" s="1"/>
  <c r="AA38" i="6"/>
  <c r="AB38" i="6"/>
  <c r="AB39" i="6" s="1"/>
  <c r="AB40" i="6" s="1"/>
  <c r="Z38" i="6"/>
  <c r="T3" i="5"/>
  <c r="AA39" i="7" l="1"/>
  <c r="Z39" i="6"/>
  <c r="Z40" i="6" s="1"/>
  <c r="AA39" i="6"/>
  <c r="AA40" i="6" s="1"/>
  <c r="AB7" i="5"/>
  <c r="AA10" i="5"/>
  <c r="AB11" i="5"/>
  <c r="AA14" i="5"/>
  <c r="AB15" i="5"/>
  <c r="AA18" i="5"/>
  <c r="AB19" i="5"/>
  <c r="Z22" i="5"/>
  <c r="AB23" i="5"/>
  <c r="Z26" i="5"/>
  <c r="AB27" i="5"/>
  <c r="AA30" i="5"/>
  <c r="AB31" i="5"/>
  <c r="AB35" i="5"/>
  <c r="AA34" i="5"/>
  <c r="AA7" i="5"/>
  <c r="AA11" i="5"/>
  <c r="AB12" i="5"/>
  <c r="AA15" i="5"/>
  <c r="AB16" i="5"/>
  <c r="Z19" i="5"/>
  <c r="AB20" i="5"/>
  <c r="AA23" i="5"/>
  <c r="AB24" i="5"/>
  <c r="AA27" i="5"/>
  <c r="AB28" i="5"/>
  <c r="AA31" i="5"/>
  <c r="AB32" i="5"/>
  <c r="AA35" i="5"/>
  <c r="AB36" i="5"/>
  <c r="AB8" i="5"/>
  <c r="AA8" i="5"/>
  <c r="AB9" i="5"/>
  <c r="AA12" i="5"/>
  <c r="AB13" i="5"/>
  <c r="AA16" i="5"/>
  <c r="AB17" i="5"/>
  <c r="AA20" i="5"/>
  <c r="AB21" i="5"/>
  <c r="AA24" i="5"/>
  <c r="AB25" i="5"/>
  <c r="AA28" i="5"/>
  <c r="AB29" i="5"/>
  <c r="AA32" i="5"/>
  <c r="AB33" i="5"/>
  <c r="AA36" i="5"/>
  <c r="AA9" i="5"/>
  <c r="AB10" i="5"/>
  <c r="AA13" i="5"/>
  <c r="AB14" i="5"/>
  <c r="AA17" i="5"/>
  <c r="AB18" i="5"/>
  <c r="Z21" i="5"/>
  <c r="AB22" i="5"/>
  <c r="AA25" i="5"/>
  <c r="AB26" i="5"/>
  <c r="AA29" i="5"/>
  <c r="AB30" i="5"/>
  <c r="AA33" i="5"/>
  <c r="AB34" i="5"/>
  <c r="Z7" i="5"/>
  <c r="Z8" i="5"/>
  <c r="Z9" i="5"/>
  <c r="Z10" i="5"/>
  <c r="Z11" i="5"/>
  <c r="Z12" i="5"/>
  <c r="Z13" i="5"/>
  <c r="Z14" i="5"/>
  <c r="Z15" i="5"/>
  <c r="Z16" i="5"/>
  <c r="Z17" i="5"/>
  <c r="Z24" i="5"/>
  <c r="Z25" i="5"/>
  <c r="Z27" i="5"/>
  <c r="Z28" i="5"/>
  <c r="Z29" i="5"/>
  <c r="Z30" i="5"/>
  <c r="Z31" i="5"/>
  <c r="Z32" i="5"/>
  <c r="Z33" i="5"/>
  <c r="Z34" i="5"/>
  <c r="Z35" i="5"/>
  <c r="Z36" i="5"/>
  <c r="AA19" i="5"/>
  <c r="AA21" i="5"/>
  <c r="AA22" i="5"/>
  <c r="AA26" i="5"/>
  <c r="Z18" i="5"/>
  <c r="Z20" i="5"/>
  <c r="Z23" i="5"/>
  <c r="AA37" i="5" l="1"/>
  <c r="Z37" i="5"/>
  <c r="Z38" i="5" s="1"/>
  <c r="AB37" i="5"/>
  <c r="AB38" i="5" s="1"/>
  <c r="T3" i="4"/>
  <c r="Z39" i="5" l="1"/>
  <c r="AA38" i="5"/>
  <c r="AA39" i="5" s="1"/>
  <c r="AB39" i="5"/>
  <c r="AB7" i="4"/>
  <c r="Z10" i="4"/>
  <c r="AB11" i="4"/>
  <c r="Z14" i="4"/>
  <c r="AB15" i="4"/>
  <c r="Z18" i="4"/>
  <c r="AB19" i="4"/>
  <c r="Z22" i="4"/>
  <c r="AB23" i="4"/>
  <c r="Z26" i="4"/>
  <c r="AA27" i="4"/>
  <c r="AB30" i="4"/>
  <c r="AA31" i="4"/>
  <c r="AB34" i="4"/>
  <c r="AA35" i="4"/>
  <c r="Z7" i="4"/>
  <c r="Z11" i="4"/>
  <c r="AB12" i="4"/>
  <c r="Z15" i="4"/>
  <c r="AB16" i="4"/>
  <c r="AB20" i="4"/>
  <c r="Z23" i="4"/>
  <c r="AB27" i="4"/>
  <c r="AA28" i="4"/>
  <c r="AB31" i="4"/>
  <c r="AB35" i="4"/>
  <c r="AA36" i="4"/>
  <c r="Z8" i="4"/>
  <c r="AB13" i="4"/>
  <c r="AB17" i="4"/>
  <c r="Z24" i="4"/>
  <c r="AA29" i="4"/>
  <c r="AB32" i="4"/>
  <c r="AA33" i="4"/>
  <c r="Z36" i="4"/>
  <c r="AA37" i="4"/>
  <c r="AB8" i="4"/>
  <c r="Z19" i="4"/>
  <c r="AB24" i="4"/>
  <c r="AA32" i="4"/>
  <c r="AB9" i="4"/>
  <c r="Z12" i="4"/>
  <c r="Z16" i="4"/>
  <c r="Z20" i="4"/>
  <c r="AB21" i="4"/>
  <c r="AB25" i="4"/>
  <c r="Z28" i="4"/>
  <c r="Z9" i="4"/>
  <c r="AB10" i="4"/>
  <c r="Z13" i="4"/>
  <c r="AB14" i="4"/>
  <c r="Z17" i="4"/>
  <c r="AB18" i="4"/>
  <c r="Z21" i="4"/>
  <c r="AB22" i="4"/>
  <c r="Z25" i="4"/>
  <c r="AB26" i="4"/>
  <c r="Z29" i="4"/>
  <c r="AA30" i="4"/>
  <c r="AB33" i="4"/>
  <c r="AA34" i="4"/>
  <c r="AB37" i="4"/>
  <c r="Z27" i="4"/>
  <c r="Z32" i="4"/>
  <c r="Z34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Z30" i="4"/>
  <c r="Z31" i="4"/>
  <c r="Z33" i="4"/>
  <c r="Z35" i="4"/>
  <c r="Z37" i="4"/>
  <c r="AB28" i="4"/>
  <c r="AB29" i="4"/>
  <c r="AB36" i="4"/>
  <c r="AA38" i="4" l="1"/>
  <c r="AA39" i="4" s="1"/>
  <c r="AA40" i="4" s="1"/>
  <c r="Z38" i="4"/>
  <c r="Z39" i="4" s="1"/>
  <c r="AB38" i="4"/>
  <c r="AB39" i="4" s="1"/>
  <c r="AB40" i="4" s="1"/>
  <c r="T3" i="3"/>
  <c r="Z40" i="4" l="1"/>
  <c r="AB7" i="3"/>
  <c r="AB11" i="3"/>
  <c r="AB15" i="3"/>
  <c r="AB19" i="3"/>
  <c r="AB23" i="3"/>
  <c r="AB27" i="3"/>
  <c r="AB31" i="3"/>
  <c r="AB8" i="3"/>
  <c r="AB12" i="3"/>
  <c r="AB16" i="3"/>
  <c r="AB20" i="3"/>
  <c r="AB24" i="3"/>
  <c r="AB28" i="3"/>
  <c r="AB32" i="3"/>
  <c r="AB9" i="3"/>
  <c r="AB13" i="3"/>
  <c r="AB17" i="3"/>
  <c r="AB21" i="3"/>
  <c r="AB25" i="3"/>
  <c r="AB29" i="3"/>
  <c r="AB33" i="3"/>
  <c r="AB10" i="3"/>
  <c r="AB14" i="3"/>
  <c r="AB18" i="3"/>
  <c r="AB22" i="3"/>
  <c r="AB26" i="3"/>
  <c r="AB30" i="3"/>
  <c r="AB34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Z35" i="3" l="1"/>
  <c r="Z36" i="3" s="1"/>
  <c r="Z37" i="3" s="1"/>
  <c r="AA35" i="3"/>
  <c r="AA36" i="3" s="1"/>
  <c r="AA37" i="3" s="1"/>
  <c r="AB35" i="3"/>
  <c r="AB36" i="3" s="1"/>
  <c r="AB37" i="3" s="1"/>
  <c r="Y44" i="2"/>
  <c r="T3" i="2"/>
  <c r="AB10" i="2" l="1"/>
  <c r="AA26" i="2"/>
  <c r="AB7" i="2"/>
  <c r="AB11" i="2"/>
  <c r="AB15" i="2"/>
  <c r="AA27" i="2"/>
  <c r="AA31" i="2"/>
  <c r="AB32" i="2"/>
  <c r="AB8" i="2"/>
  <c r="AB12" i="2"/>
  <c r="AB16" i="2"/>
  <c r="AB20" i="2"/>
  <c r="AA24" i="2"/>
  <c r="AA28" i="2"/>
  <c r="AA32" i="2"/>
  <c r="AB33" i="2"/>
  <c r="AB13" i="2"/>
  <c r="AB21" i="2"/>
  <c r="AA25" i="2"/>
  <c r="AB26" i="2"/>
  <c r="AB25" i="2"/>
  <c r="AB29" i="2"/>
  <c r="AB9" i="2"/>
  <c r="AB17" i="2"/>
  <c r="AA29" i="2"/>
  <c r="AB30" i="2"/>
  <c r="AA33" i="2"/>
  <c r="AB34" i="2"/>
  <c r="AB14" i="2"/>
  <c r="AB18" i="2"/>
  <c r="AB22" i="2"/>
  <c r="AB27" i="2"/>
  <c r="AA30" i="2"/>
  <c r="AB31" i="2"/>
  <c r="AA34" i="2"/>
  <c r="AB19" i="2"/>
  <c r="AB23" i="2"/>
  <c r="AB24" i="2"/>
  <c r="AB28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B38" i="2" l="1"/>
  <c r="AB39" i="2" s="1"/>
  <c r="AB40" i="2" s="1"/>
  <c r="Z38" i="2"/>
  <c r="Z39" i="2" s="1"/>
  <c r="Z40" i="2" s="1"/>
  <c r="AA38" i="2"/>
  <c r="AA39" i="2" s="1"/>
  <c r="T3" i="8"/>
  <c r="AA40" i="2" l="1"/>
  <c r="Z18" i="1"/>
  <c r="Z21" i="1"/>
  <c r="AA22" i="1"/>
  <c r="Z25" i="1"/>
  <c r="AA26" i="1"/>
  <c r="AA30" i="1"/>
  <c r="Z33" i="1"/>
  <c r="AA34" i="1"/>
  <c r="Z37" i="1"/>
  <c r="AA38" i="1"/>
  <c r="Z41" i="1"/>
  <c r="AA42" i="1"/>
  <c r="AA10" i="8"/>
  <c r="AB11" i="8"/>
  <c r="AA14" i="8"/>
  <c r="AB15" i="8"/>
  <c r="AA18" i="8"/>
  <c r="AA22" i="8"/>
  <c r="AB23" i="8"/>
  <c r="AB26" i="8"/>
  <c r="AB27" i="8"/>
  <c r="AA30" i="8"/>
  <c r="AB31" i="8"/>
  <c r="AA34" i="8"/>
  <c r="AB35" i="8"/>
  <c r="AB7" i="8"/>
  <c r="AB8" i="8"/>
  <c r="AA11" i="8"/>
  <c r="AA15" i="8"/>
  <c r="AB16" i="8"/>
  <c r="Z19" i="8"/>
  <c r="Z23" i="8"/>
  <c r="Z27" i="8"/>
  <c r="AB28" i="8"/>
  <c r="AA31" i="8"/>
  <c r="AB32" i="8"/>
  <c r="AA35" i="8"/>
  <c r="AB36" i="8"/>
  <c r="AA8" i="8"/>
  <c r="AB9" i="8"/>
  <c r="AB12" i="8"/>
  <c r="AA16" i="8"/>
  <c r="AB17" i="8"/>
  <c r="AA20" i="8"/>
  <c r="Z24" i="8"/>
  <c r="Z28" i="8"/>
  <c r="AB29" i="8"/>
  <c r="AA32" i="8"/>
  <c r="AB33" i="8"/>
  <c r="AA36" i="8"/>
  <c r="AB37" i="8"/>
  <c r="AA9" i="8"/>
  <c r="AB10" i="8"/>
  <c r="AA13" i="8"/>
  <c r="AA17" i="8"/>
  <c r="AB18" i="8"/>
  <c r="Z21" i="8"/>
  <c r="AB22" i="8"/>
  <c r="Z25" i="8"/>
  <c r="Z29" i="8"/>
  <c r="AB30" i="8"/>
  <c r="AA33" i="8"/>
  <c r="AB34" i="8"/>
  <c r="AA37" i="8"/>
  <c r="Z29" i="1"/>
  <c r="AB18" i="1"/>
  <c r="AA19" i="1"/>
  <c r="AA23" i="1"/>
  <c r="Z26" i="1"/>
  <c r="AA31" i="1"/>
  <c r="Z38" i="1"/>
  <c r="AA39" i="1"/>
  <c r="Z42" i="1"/>
  <c r="Z43" i="1"/>
  <c r="Z16" i="1"/>
  <c r="Z19" i="1"/>
  <c r="AA20" i="1"/>
  <c r="Z23" i="1"/>
  <c r="AA24" i="1"/>
  <c r="Z27" i="1"/>
  <c r="AA28" i="1"/>
  <c r="Z31" i="1"/>
  <c r="AA32" i="1"/>
  <c r="Z35" i="1"/>
  <c r="AA36" i="1"/>
  <c r="Z39" i="1"/>
  <c r="AA40" i="1"/>
  <c r="Z44" i="1"/>
  <c r="Z15" i="1"/>
  <c r="Z22" i="1"/>
  <c r="AA27" i="1"/>
  <c r="Z30" i="1"/>
  <c r="Z34" i="1"/>
  <c r="AA35" i="1"/>
  <c r="Z17" i="1"/>
  <c r="Z20" i="1"/>
  <c r="AA21" i="1"/>
  <c r="Z24" i="1"/>
  <c r="AA25" i="1"/>
  <c r="Z28" i="1"/>
  <c r="AA29" i="1"/>
  <c r="Z32" i="1"/>
  <c r="AA33" i="1"/>
  <c r="Z36" i="1"/>
  <c r="AA37" i="1"/>
  <c r="Z40" i="1"/>
  <c r="AA41" i="1"/>
  <c r="Z45" i="1"/>
  <c r="Z8" i="8"/>
  <c r="Z9" i="8"/>
  <c r="Z11" i="8"/>
  <c r="Z12" i="8"/>
  <c r="Z13" i="8"/>
  <c r="Z14" i="8"/>
  <c r="Z15" i="8"/>
  <c r="Z18" i="8"/>
  <c r="Z22" i="8"/>
  <c r="Z26" i="8"/>
  <c r="Z31" i="8"/>
  <c r="Z32" i="8"/>
  <c r="Z35" i="8"/>
  <c r="Z37" i="8"/>
  <c r="AA12" i="8"/>
  <c r="AA19" i="8"/>
  <c r="AA21" i="8"/>
  <c r="AA23" i="8"/>
  <c r="AA24" i="8"/>
  <c r="AA25" i="8"/>
  <c r="AA26" i="8"/>
  <c r="AA27" i="8"/>
  <c r="AA28" i="8"/>
  <c r="AA29" i="8"/>
  <c r="AB13" i="8"/>
  <c r="AB14" i="8"/>
  <c r="AB19" i="8"/>
  <c r="AB20" i="8"/>
  <c r="AB21" i="8"/>
  <c r="AB24" i="8"/>
  <c r="AB25" i="8"/>
  <c r="Z7" i="8"/>
  <c r="Z10" i="8"/>
  <c r="Z16" i="8"/>
  <c r="Z17" i="8"/>
  <c r="Z20" i="8"/>
  <c r="Z30" i="8"/>
  <c r="Z33" i="8"/>
  <c r="Z34" i="8"/>
  <c r="Z36" i="8"/>
  <c r="AA7" i="8"/>
  <c r="AA15" i="1"/>
  <c r="AA16" i="1"/>
  <c r="AA17" i="1"/>
  <c r="AA18" i="1"/>
  <c r="AA43" i="1"/>
  <c r="AA44" i="1"/>
  <c r="AA45" i="1"/>
  <c r="AB15" i="1"/>
  <c r="AB16" i="1"/>
  <c r="AB17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A46" i="1" l="1"/>
  <c r="AA47" i="1" s="1"/>
  <c r="AA48" i="1" s="1"/>
  <c r="AB46" i="1"/>
  <c r="AB47" i="1" s="1"/>
  <c r="AB48" i="1" s="1"/>
  <c r="Z46" i="1"/>
  <c r="Z47" i="1" s="1"/>
  <c r="Z38" i="8"/>
  <c r="AB38" i="8"/>
  <c r="AB39" i="8" s="1"/>
  <c r="AB40" i="8" s="1"/>
  <c r="AA38" i="8"/>
  <c r="AA39" i="8" s="1"/>
  <c r="AA40" i="8" s="1"/>
  <c r="Z48" i="1" l="1"/>
  <c r="Z39" i="8"/>
  <c r="Z40" i="8" s="1"/>
</calcChain>
</file>

<file path=xl/sharedStrings.xml><?xml version="1.0" encoding="utf-8"?>
<sst xmlns="http://schemas.openxmlformats.org/spreadsheetml/2006/main" count="523" uniqueCount="68">
  <si>
    <t>DATA KELEMBABAN</t>
  </si>
  <si>
    <t>Bulan :</t>
  </si>
  <si>
    <t>JAM</t>
  </si>
  <si>
    <t>00.00</t>
  </si>
  <si>
    <t>01.00</t>
  </si>
  <si>
    <t>02.00</t>
  </si>
  <si>
    <t>03.00</t>
  </si>
  <si>
    <t>04.00</t>
  </si>
  <si>
    <t>05.00</t>
  </si>
  <si>
    <t>06.00</t>
  </si>
  <si>
    <t>07.00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</si>
  <si>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</si>
  <si>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</si>
  <si>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</si>
  <si>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</si>
  <si>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</si>
  <si>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</si>
  <si>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</si>
  <si>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</si>
  <si>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</si>
  <si>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</si>
  <si>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</si>
  <si>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19.00</t>
  </si>
  <si>
    <t>20.00</t>
  </si>
  <si>
    <t>21.00</t>
  </si>
  <si>
    <t>22.00</t>
  </si>
  <si>
    <t>23.00</t>
  </si>
  <si>
    <t>Max</t>
  </si>
  <si>
    <t>Min</t>
  </si>
  <si>
    <t>TGL</t>
  </si>
  <si>
    <t>Keterangan:</t>
  </si>
  <si>
    <t>: Tidak ada pengamatan</t>
  </si>
  <si>
    <r>
      <t>rata</t>
    </r>
    <r>
      <rPr>
        <vertAlign val="superscript"/>
        <sz val="10"/>
        <rFont val="Arial"/>
        <family val="2"/>
      </rPr>
      <t>2</t>
    </r>
  </si>
  <si>
    <t>Yudha Tintana Marganiswati</t>
  </si>
  <si>
    <t>NIP. 198310292004122001</t>
  </si>
  <si>
    <t>X</t>
  </si>
  <si>
    <t>Yogyakarta, 01 Februari 2021</t>
  </si>
  <si>
    <t>Yogyakarta, 01 Mei 2021</t>
  </si>
  <si>
    <t>Yogyakarta, 01 Juni 2021</t>
  </si>
  <si>
    <t>Yogyakarta, 01 Agustus 2021</t>
  </si>
  <si>
    <t>Yogyakarta, 01 Maret 2022</t>
  </si>
  <si>
    <t>Yogyakarta, 06 April 2022</t>
  </si>
  <si>
    <t>Yogyakarta, 05 Juli 2021</t>
  </si>
  <si>
    <t>BADAN  METEOROLOGI, KLIMATOLOGI  DAN  GEOFISIKA</t>
  </si>
  <si>
    <t>STASIUN  KLIMATOLOGI  KELAS IV D.I. YOGYAKARTA</t>
  </si>
  <si>
    <t>jl. Kabupaten KM 5.5 Duwet Sendangadi Mlati Sleman  telp. (0274) 2880152</t>
  </si>
  <si>
    <t>email : staklim.yogya@gmail.com</t>
  </si>
  <si>
    <t>Lintang</t>
  </si>
  <si>
    <t>: 7° 43' 52.23" LS</t>
  </si>
  <si>
    <t>Bujur</t>
  </si>
  <si>
    <t>: 110° 21' 13.27" BT</t>
  </si>
  <si>
    <t>Elevasi</t>
  </si>
  <si>
    <t>: 182 meter</t>
  </si>
  <si>
    <t>No. Sta. Hujan</t>
  </si>
  <si>
    <t>:  96851</t>
  </si>
  <si>
    <t>BULAN  : AGUSTUS 2022</t>
  </si>
  <si>
    <t>DATA KELEMBABAN UDARA RELATIF</t>
  </si>
  <si>
    <t>Yogyakarta, 01 September 2022</t>
  </si>
  <si>
    <t>TIM PEMBUAT LAPORAN</t>
  </si>
  <si>
    <t>BULAN  : SEPTEMBER 2022</t>
  </si>
  <si>
    <t>BULAN  : OKTOBER 2022</t>
  </si>
  <si>
    <t>BULAN  : DESEMBER 2022</t>
  </si>
  <si>
    <t>BULAN  : NOVEMBER 2022</t>
  </si>
  <si>
    <r>
      <t>Rata</t>
    </r>
    <r>
      <rPr>
        <b/>
        <vertAlign val="superscript"/>
        <sz val="10"/>
        <rFont val="Arial"/>
        <family val="2"/>
      </rPr>
      <t>2</t>
    </r>
  </si>
  <si>
    <t>Yogyakarta, 03 Oktober 2022</t>
  </si>
  <si>
    <t>Yogyakarta, 04 Januari 2023</t>
  </si>
  <si>
    <t>Yogyakarta, 03 November 2022</t>
  </si>
  <si>
    <t>Yogyakarta, 03 Desember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</si>
</sst>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8"/>
      <name val="Arial"/>
      <family val="2"/>
    </font>
    <font>
      <b/>
      <sz val="12"/>
      <name val="Times New Roman"/>
      <family val="1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vertAlign val="superscript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1"/>
    <xf numFmtId="0" fontId="2" fillId="3" borderId="1" xfId="1" applyFill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2" fillId="0" borderId="0" xfId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/>
    <xf numFmtId="0" fontId="4" fillId="0" borderId="0" xfId="1" applyFont="1" applyAlignment="1">
      <alignment horizontal="left" vertical="center"/>
    </xf>
    <xf numFmtId="0" fontId="6" fillId="0" borderId="0" xfId="1" applyFont="1"/>
    <xf numFmtId="0" fontId="7" fillId="0" borderId="0" xfId="1" applyFont="1"/>
    <xf numFmtId="0" fontId="5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3" borderId="0" xfId="0" applyNumberFormat="1" applyFont="1" applyFill="1" applyAlignment="1">
      <alignment horizontal="center"/>
    </xf>
    <xf numFmtId="0" fontId="0" fillId="0" borderId="6" xfId="0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3" borderId="6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2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8" fillId="0" borderId="1" xfId="0" applyFont="1" applyBorder="1"/>
    <xf numFmtId="1" fontId="4" fillId="0" borderId="5" xfId="2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1" fontId="4" fillId="3" borderId="7" xfId="0" applyNumberFormat="1" applyFont="1" applyFill="1" applyBorder="1" applyAlignment="1">
      <alignment horizontal="center"/>
    </xf>
    <xf numFmtId="0" fontId="2" fillId="4" borderId="0" xfId="0" applyFont="1" applyFill="1"/>
    <xf numFmtId="0" fontId="2" fillId="4" borderId="0" xfId="0" quotePrefix="1" applyFont="1" applyFill="1"/>
    <xf numFmtId="0" fontId="2" fillId="4" borderId="0" xfId="0" applyFont="1" applyFill="1" applyAlignment="1">
      <alignment horizontal="right"/>
    </xf>
    <xf numFmtId="1" fontId="4" fillId="5" borderId="3" xfId="0" applyNumberFormat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/>
    </xf>
    <xf numFmtId="0" fontId="8" fillId="5" borderId="1" xfId="0" applyFont="1" applyFill="1" applyBorder="1"/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/>
    <xf numFmtId="0" fontId="1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" fontId="13" fillId="6" borderId="2" xfId="0" applyNumberFormat="1" applyFont="1" applyFill="1" applyBorder="1" applyAlignment="1">
      <alignment horizontal="center"/>
    </xf>
    <xf numFmtId="1" fontId="13" fillId="6" borderId="3" xfId="0" applyNumberFormat="1" applyFont="1" applyFill="1" applyBorder="1" applyAlignment="1">
      <alignment horizontal="center"/>
    </xf>
    <xf numFmtId="1" fontId="13" fillId="6" borderId="6" xfId="0" applyNumberFormat="1" applyFont="1" applyFill="1" applyBorder="1" applyAlignment="1">
      <alignment horizontal="center"/>
    </xf>
    <xf numFmtId="1" fontId="13" fillId="6" borderId="1" xfId="2" applyNumberFormat="1" applyFont="1" applyFill="1" applyBorder="1" applyAlignment="1">
      <alignment horizontal="center" vertical="center"/>
    </xf>
    <xf numFmtId="0" fontId="13" fillId="6" borderId="1" xfId="2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4" borderId="0" xfId="0" quotePrefix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3">
    <cellStyle name="Normal" xfId="0" builtinId="0"/>
    <cellStyle name="Normal 10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38100</xdr:rowOff>
    </xdr:from>
    <xdr:to>
      <xdr:col>3</xdr:col>
      <xdr:colOff>38100</xdr:colOff>
      <xdr:row>3</xdr:row>
      <xdr:rowOff>66675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46086" y="38100"/>
          <a:ext cx="530171" cy="609761"/>
          <a:chOff x="647700" y="38100"/>
          <a:chExt cx="457200" cy="514350"/>
        </a:xfrm>
      </xdr:grpSpPr>
      <xdr:pic>
        <xdr:nvPicPr>
          <xdr:cNvPr id="3" name="Picture 19" descr="BM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695325" y="38100"/>
            <a:ext cx="409575" cy="3524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Rectangle 2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647700" y="393700"/>
            <a:ext cx="428625" cy="15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n-US" sz="7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BMKG</a:t>
            </a:r>
          </a:p>
        </xdr:txBody>
      </xdr:sp>
    </xdr:grpSp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5" name="Rectangle 2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8067675" y="485775"/>
          <a:ext cx="3619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47625</xdr:colOff>
      <xdr:row>0</xdr:row>
      <xdr:rowOff>47625</xdr:rowOff>
    </xdr:from>
    <xdr:to>
      <xdr:col>11</xdr:col>
      <xdr:colOff>66675</xdr:colOff>
      <xdr:row>3</xdr:row>
      <xdr:rowOff>95250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1114425" y="47625"/>
          <a:ext cx="27622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 eaLnBrk="1" fontAlgn="base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BADAN METEOROLOGI KLIMATOLOGI DAN GEOFISIKA</a:t>
          </a:r>
          <a:endParaRPr lang="en-US" sz="600" b="0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STASIUN KLIMATOLOGI KELAS IV MLATI</a:t>
          </a:r>
        </a:p>
        <a:p>
          <a:pPr algn="l" rtl="1" eaLnBrk="1" fontAlgn="auto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Jl. Kabupaten KM 5.5 , Duwet, Sedangadi, Mlati , Sleman, D.I. Yogyaharta </a:t>
          </a:r>
          <a:r>
            <a:rPr lang="id-ID" sz="600" b="1" i="0" baseline="0">
              <a:latin typeface="Arial" pitchFamily="34" charset="0"/>
              <a:ea typeface="+mn-ea"/>
              <a:cs typeface="Arial" pitchFamily="34" charset="0"/>
            </a:rPr>
            <a:t>Telp</a:t>
          </a:r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. 0274-2880151/2880152</a:t>
          </a:r>
          <a:r>
            <a:rPr lang="id-ID" sz="600" b="1" i="0" baseline="0">
              <a:latin typeface="Arial" pitchFamily="34" charset="0"/>
              <a:ea typeface="+mn-ea"/>
              <a:cs typeface="Arial" pitchFamily="34" charset="0"/>
            </a:rPr>
            <a:t> Fax </a:t>
          </a:r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0274-2880151</a:t>
          </a:r>
          <a:endParaRPr lang="id-ID" sz="600">
            <a:latin typeface="Arial" pitchFamily="34" charset="0"/>
            <a:cs typeface="Arial" pitchFamily="34" charset="0"/>
          </a:endParaRPr>
        </a:p>
        <a:p>
          <a:pPr algn="l" rtl="1" eaLnBrk="1" fontAlgn="base" latinLnBrk="0" hangingPunct="1"/>
          <a:endParaRPr lang="en-US" sz="6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endParaRPr lang="en-US" sz="6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/>
          <a:endParaRPr lang="en-US" sz="600" b="1" i="0">
            <a:latin typeface="Arial" pitchFamily="34" charset="0"/>
            <a:ea typeface="+mn-ea"/>
            <a:cs typeface="Arial" pitchFamily="34" charset="0"/>
          </a:endParaRPr>
        </a:p>
        <a:p>
          <a:pPr algn="l" rtl="1">
            <a:defRPr sz="1000"/>
          </a:pPr>
          <a:endParaRPr lang="en-US" sz="6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38100</xdr:rowOff>
    </xdr:from>
    <xdr:to>
      <xdr:col>3</xdr:col>
      <xdr:colOff>38100</xdr:colOff>
      <xdr:row>3</xdr:row>
      <xdr:rowOff>66675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47700" y="38100"/>
          <a:ext cx="533400" cy="600075"/>
          <a:chOff x="647700" y="38100"/>
          <a:chExt cx="457200" cy="514350"/>
        </a:xfrm>
      </xdr:grpSpPr>
      <xdr:pic>
        <xdr:nvPicPr>
          <xdr:cNvPr id="3" name="Picture 19" descr="BMG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695325" y="38100"/>
            <a:ext cx="409575" cy="3524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Rectangle 22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647700" y="393700"/>
            <a:ext cx="428625" cy="15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n-US" sz="7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BMKG</a:t>
            </a:r>
          </a:p>
        </xdr:txBody>
      </xdr:sp>
    </xdr:grpSp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5" name="Rectangle 2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8067675" y="485775"/>
          <a:ext cx="3619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47625</xdr:colOff>
      <xdr:row>0</xdr:row>
      <xdr:rowOff>47625</xdr:rowOff>
    </xdr:from>
    <xdr:to>
      <xdr:col>11</xdr:col>
      <xdr:colOff>66675</xdr:colOff>
      <xdr:row>3</xdr:row>
      <xdr:rowOff>95250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114425" y="47625"/>
          <a:ext cx="27622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 eaLnBrk="1" fontAlgn="base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BADAN METEOROLOGI KLIMATOLOGI DAN GEOFISIKA</a:t>
          </a:r>
          <a:endParaRPr lang="en-US" sz="600" b="0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STASIUN KLIMATOLOGI KELAS IV MLATI</a:t>
          </a:r>
        </a:p>
        <a:p>
          <a:pPr algn="l" rtl="1" eaLnBrk="1" fontAlgn="auto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Jl. Kabupaten KM 5.5 , Duwet, Sedangadi, Mlati , Sleman, D.I. Yogyaharta </a:t>
          </a:r>
          <a:r>
            <a:rPr lang="id-ID" sz="600" b="1" i="0" baseline="0">
              <a:latin typeface="Arial" pitchFamily="34" charset="0"/>
              <a:ea typeface="+mn-ea"/>
              <a:cs typeface="Arial" pitchFamily="34" charset="0"/>
            </a:rPr>
            <a:t>Telp</a:t>
          </a:r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. 0274-2880151/2880152</a:t>
          </a:r>
          <a:r>
            <a:rPr lang="id-ID" sz="600" b="1" i="0" baseline="0">
              <a:latin typeface="Arial" pitchFamily="34" charset="0"/>
              <a:ea typeface="+mn-ea"/>
              <a:cs typeface="Arial" pitchFamily="34" charset="0"/>
            </a:rPr>
            <a:t> Fax </a:t>
          </a:r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0274-2880151</a:t>
          </a:r>
          <a:endParaRPr lang="id-ID" sz="600">
            <a:latin typeface="Arial" pitchFamily="34" charset="0"/>
            <a:cs typeface="Arial" pitchFamily="34" charset="0"/>
          </a:endParaRPr>
        </a:p>
        <a:p>
          <a:pPr algn="l" rtl="1" eaLnBrk="1" fontAlgn="base" latinLnBrk="0" hangingPunct="1"/>
          <a:endParaRPr lang="en-US" sz="6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endParaRPr lang="en-US" sz="6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/>
          <a:endParaRPr lang="en-US" sz="600" b="1" i="0">
            <a:latin typeface="Arial" pitchFamily="34" charset="0"/>
            <a:ea typeface="+mn-ea"/>
            <a:cs typeface="Arial" pitchFamily="34" charset="0"/>
          </a:endParaRPr>
        </a:p>
        <a:p>
          <a:pPr algn="l" rtl="1">
            <a:defRPr sz="1000"/>
          </a:pPr>
          <a:endParaRPr lang="en-US" sz="6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38100</xdr:rowOff>
    </xdr:from>
    <xdr:to>
      <xdr:col>3</xdr:col>
      <xdr:colOff>38100</xdr:colOff>
      <xdr:row>3</xdr:row>
      <xdr:rowOff>66675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47700" y="38100"/>
          <a:ext cx="533400" cy="600075"/>
          <a:chOff x="647700" y="38100"/>
          <a:chExt cx="457200" cy="514350"/>
        </a:xfrm>
      </xdr:grpSpPr>
      <xdr:pic>
        <xdr:nvPicPr>
          <xdr:cNvPr id="3" name="Picture 19" descr="BMG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695325" y="38100"/>
            <a:ext cx="409575" cy="3524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Rectangle 22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647700" y="393700"/>
            <a:ext cx="428625" cy="15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n-US" sz="7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BMKG</a:t>
            </a:r>
          </a:p>
        </xdr:txBody>
      </xdr:sp>
    </xdr:grpSp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5" name="Rectangle 2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8067675" y="485775"/>
          <a:ext cx="3619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47625</xdr:colOff>
      <xdr:row>0</xdr:row>
      <xdr:rowOff>47625</xdr:rowOff>
    </xdr:from>
    <xdr:to>
      <xdr:col>11</xdr:col>
      <xdr:colOff>66675</xdr:colOff>
      <xdr:row>3</xdr:row>
      <xdr:rowOff>95250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114425" y="47625"/>
          <a:ext cx="27622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 eaLnBrk="1" fontAlgn="base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BADAN METEOROLOGI KLIMATOLOGI DAN GEOFISIKA</a:t>
          </a:r>
          <a:endParaRPr lang="en-US" sz="600" b="0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STASIUN KLIMATOLOGI KELAS IV MLATI</a:t>
          </a:r>
        </a:p>
        <a:p>
          <a:pPr algn="l" rtl="1" eaLnBrk="1" fontAlgn="auto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Jl. Kabupaten KM 5.5 , Duwet, Sedangadi, Mlati , Sleman, D.I. Yogyaharta </a:t>
          </a:r>
          <a:r>
            <a:rPr lang="id-ID" sz="600" b="1" i="0" baseline="0">
              <a:latin typeface="Arial" pitchFamily="34" charset="0"/>
              <a:ea typeface="+mn-ea"/>
              <a:cs typeface="Arial" pitchFamily="34" charset="0"/>
            </a:rPr>
            <a:t>Telp</a:t>
          </a:r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. 0274-2880151/2880152</a:t>
          </a:r>
          <a:r>
            <a:rPr lang="id-ID" sz="600" b="1" i="0" baseline="0">
              <a:latin typeface="Arial" pitchFamily="34" charset="0"/>
              <a:ea typeface="+mn-ea"/>
              <a:cs typeface="Arial" pitchFamily="34" charset="0"/>
            </a:rPr>
            <a:t> Fax </a:t>
          </a:r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0274-2880151</a:t>
          </a:r>
          <a:endParaRPr lang="id-ID" sz="600">
            <a:latin typeface="Arial" pitchFamily="34" charset="0"/>
            <a:cs typeface="Arial" pitchFamily="34" charset="0"/>
          </a:endParaRPr>
        </a:p>
        <a:p>
          <a:pPr algn="l" rtl="1" eaLnBrk="1" fontAlgn="base" latinLnBrk="0" hangingPunct="1"/>
          <a:endParaRPr lang="en-US" sz="6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endParaRPr lang="en-US" sz="6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/>
          <a:endParaRPr lang="en-US" sz="600" b="1" i="0">
            <a:latin typeface="Arial" pitchFamily="34" charset="0"/>
            <a:ea typeface="+mn-ea"/>
            <a:cs typeface="Arial" pitchFamily="34" charset="0"/>
          </a:endParaRPr>
        </a:p>
        <a:p>
          <a:pPr algn="l" rtl="1">
            <a:defRPr sz="1000"/>
          </a:pPr>
          <a:endParaRPr lang="en-US" sz="6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38100</xdr:rowOff>
    </xdr:from>
    <xdr:to>
      <xdr:col>3</xdr:col>
      <xdr:colOff>38100</xdr:colOff>
      <xdr:row>3</xdr:row>
      <xdr:rowOff>66675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647700" y="38100"/>
          <a:ext cx="533400" cy="600075"/>
          <a:chOff x="647700" y="38100"/>
          <a:chExt cx="457200" cy="514350"/>
        </a:xfrm>
      </xdr:grpSpPr>
      <xdr:pic>
        <xdr:nvPicPr>
          <xdr:cNvPr id="3" name="Picture 19" descr="BMG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695325" y="38100"/>
            <a:ext cx="409575" cy="3524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Rectangle 22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647700" y="393700"/>
            <a:ext cx="428625" cy="15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n-US" sz="7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BMKG</a:t>
            </a:r>
          </a:p>
        </xdr:txBody>
      </xdr:sp>
    </xdr:grpSp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5" name="Rectangle 2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8067675" y="485775"/>
          <a:ext cx="3619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47625</xdr:colOff>
      <xdr:row>0</xdr:row>
      <xdr:rowOff>47625</xdr:rowOff>
    </xdr:from>
    <xdr:to>
      <xdr:col>11</xdr:col>
      <xdr:colOff>66675</xdr:colOff>
      <xdr:row>3</xdr:row>
      <xdr:rowOff>95250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1114425" y="47625"/>
          <a:ext cx="27622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 eaLnBrk="1" fontAlgn="base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BADAN METEOROLOGI KLIMATOLOGI DAN GEOFISIKA</a:t>
          </a:r>
          <a:endParaRPr lang="en-US" sz="600" b="0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STASIUN KLIMATOLOGI KELAS IV MLATI</a:t>
          </a:r>
        </a:p>
        <a:p>
          <a:pPr algn="l" rtl="1" eaLnBrk="1" fontAlgn="auto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Jl. Kabupaten KM 5.5 , Duwet, Sedangadi, Mlati , Sleman, D.I. Yogyaharta </a:t>
          </a:r>
          <a:r>
            <a:rPr lang="id-ID" sz="600" b="1" i="0" baseline="0">
              <a:latin typeface="Arial" pitchFamily="34" charset="0"/>
              <a:ea typeface="+mn-ea"/>
              <a:cs typeface="Arial" pitchFamily="34" charset="0"/>
            </a:rPr>
            <a:t>Telp</a:t>
          </a:r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. 0274-2880151/2880152</a:t>
          </a:r>
          <a:r>
            <a:rPr lang="id-ID" sz="600" b="1" i="0" baseline="0">
              <a:latin typeface="Arial" pitchFamily="34" charset="0"/>
              <a:ea typeface="+mn-ea"/>
              <a:cs typeface="Arial" pitchFamily="34" charset="0"/>
            </a:rPr>
            <a:t> Fax </a:t>
          </a:r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0274-2880151</a:t>
          </a:r>
          <a:endParaRPr lang="id-ID" sz="600">
            <a:latin typeface="Arial" pitchFamily="34" charset="0"/>
            <a:cs typeface="Arial" pitchFamily="34" charset="0"/>
          </a:endParaRPr>
        </a:p>
        <a:p>
          <a:pPr algn="l" rtl="1" eaLnBrk="1" fontAlgn="base" latinLnBrk="0" hangingPunct="1"/>
          <a:endParaRPr lang="en-US" sz="6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endParaRPr lang="en-US" sz="6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/>
          <a:endParaRPr lang="en-US" sz="600" b="1" i="0">
            <a:latin typeface="Arial" pitchFamily="34" charset="0"/>
            <a:ea typeface="+mn-ea"/>
            <a:cs typeface="Arial" pitchFamily="34" charset="0"/>
          </a:endParaRPr>
        </a:p>
        <a:p>
          <a:pPr algn="l" rtl="1">
            <a:defRPr sz="1000"/>
          </a:pPr>
          <a:endParaRPr lang="en-US" sz="6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38100</xdr:rowOff>
    </xdr:from>
    <xdr:to>
      <xdr:col>3</xdr:col>
      <xdr:colOff>38100</xdr:colOff>
      <xdr:row>3</xdr:row>
      <xdr:rowOff>66675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647700" y="38100"/>
          <a:ext cx="533400" cy="600075"/>
          <a:chOff x="647700" y="38100"/>
          <a:chExt cx="457200" cy="514350"/>
        </a:xfrm>
      </xdr:grpSpPr>
      <xdr:pic>
        <xdr:nvPicPr>
          <xdr:cNvPr id="3" name="Picture 19" descr="BMG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695325" y="38100"/>
            <a:ext cx="409575" cy="3524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Rectangle 22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647700" y="393700"/>
            <a:ext cx="428625" cy="15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n-US" sz="7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BMKG</a:t>
            </a:r>
          </a:p>
        </xdr:txBody>
      </xdr:sp>
    </xdr:grpSp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5" name="Rectangle 2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rrowheads="1"/>
        </xdr:cNvSpPr>
      </xdr:nvSpPr>
      <xdr:spPr bwMode="auto">
        <a:xfrm>
          <a:off x="8067675" y="485775"/>
          <a:ext cx="3619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47625</xdr:colOff>
      <xdr:row>0</xdr:row>
      <xdr:rowOff>47625</xdr:rowOff>
    </xdr:from>
    <xdr:to>
      <xdr:col>11</xdr:col>
      <xdr:colOff>66675</xdr:colOff>
      <xdr:row>3</xdr:row>
      <xdr:rowOff>95250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rrowheads="1"/>
        </xdr:cNvSpPr>
      </xdr:nvSpPr>
      <xdr:spPr bwMode="auto">
        <a:xfrm>
          <a:off x="1114425" y="47625"/>
          <a:ext cx="27622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 eaLnBrk="1" fontAlgn="base" latinLnBrk="0" hangingPunct="1"/>
          <a:r>
            <a:rPr lang="en-US" sz="800" b="1" i="0" baseline="0">
              <a:latin typeface="Arial" pitchFamily="34" charset="0"/>
              <a:ea typeface="+mn-ea"/>
              <a:cs typeface="Arial" pitchFamily="34" charset="0"/>
            </a:rPr>
            <a:t>BADAN METEOROLOGI KLIMATOLOGI DAN GEOFISIKA</a:t>
          </a:r>
          <a:endParaRPr lang="en-US" sz="800" b="0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r>
            <a:rPr lang="en-US" sz="800" b="1" i="0" baseline="0">
              <a:latin typeface="Arial" pitchFamily="34" charset="0"/>
              <a:ea typeface="+mn-ea"/>
              <a:cs typeface="Arial" pitchFamily="34" charset="0"/>
            </a:rPr>
            <a:t>STASIUN KLIMATOLOGI KELAS IV </a:t>
          </a:r>
          <a:r>
            <a:rPr lang="id-ID" sz="800" b="1" i="0" baseline="0">
              <a:latin typeface="Arial" pitchFamily="34" charset="0"/>
              <a:ea typeface="+mn-ea"/>
              <a:cs typeface="Arial" pitchFamily="34" charset="0"/>
            </a:rPr>
            <a:t>D.I YOGYAKARTA</a:t>
          </a:r>
          <a:endParaRPr lang="en-US" sz="8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auto" latinLnBrk="0" hangingPunct="1"/>
          <a:r>
            <a:rPr lang="en-US" sz="800" b="1" i="0" baseline="0">
              <a:latin typeface="Arial" pitchFamily="34" charset="0"/>
              <a:ea typeface="+mn-ea"/>
              <a:cs typeface="Arial" pitchFamily="34" charset="0"/>
            </a:rPr>
            <a:t>Jl. Kabupaten KM 5.5 , Duwet, Sedangadi, Mlati , Sleman, D.I. Yogya</a:t>
          </a:r>
          <a:r>
            <a:rPr lang="id-ID" sz="800" b="1" i="0" baseline="0">
              <a:latin typeface="Arial" pitchFamily="34" charset="0"/>
              <a:ea typeface="+mn-ea"/>
              <a:cs typeface="Arial" pitchFamily="34" charset="0"/>
            </a:rPr>
            <a:t>k</a:t>
          </a:r>
          <a:r>
            <a:rPr lang="en-US" sz="800" b="1" i="0" baseline="0">
              <a:latin typeface="Arial" pitchFamily="34" charset="0"/>
              <a:ea typeface="+mn-ea"/>
              <a:cs typeface="Arial" pitchFamily="34" charset="0"/>
            </a:rPr>
            <a:t>arta </a:t>
          </a:r>
          <a:r>
            <a:rPr lang="id-ID" sz="800" b="1" i="0" baseline="0">
              <a:latin typeface="Arial" pitchFamily="34" charset="0"/>
              <a:ea typeface="+mn-ea"/>
              <a:cs typeface="Arial" pitchFamily="34" charset="0"/>
            </a:rPr>
            <a:t>Telp</a:t>
          </a:r>
          <a:r>
            <a:rPr lang="en-US" sz="800" b="1" i="0" baseline="0">
              <a:latin typeface="Arial" pitchFamily="34" charset="0"/>
              <a:ea typeface="+mn-ea"/>
              <a:cs typeface="Arial" pitchFamily="34" charset="0"/>
            </a:rPr>
            <a:t>. 0274-2880151/2880152</a:t>
          </a:r>
          <a:r>
            <a:rPr lang="id-ID" sz="800" b="1" i="0" baseline="0">
              <a:latin typeface="Arial" pitchFamily="34" charset="0"/>
              <a:ea typeface="+mn-ea"/>
              <a:cs typeface="Arial" pitchFamily="34" charset="0"/>
            </a:rPr>
            <a:t> Fax </a:t>
          </a:r>
          <a:r>
            <a:rPr lang="en-US" sz="800" b="1" i="0" baseline="0">
              <a:latin typeface="Arial" pitchFamily="34" charset="0"/>
              <a:ea typeface="+mn-ea"/>
              <a:cs typeface="Arial" pitchFamily="34" charset="0"/>
            </a:rPr>
            <a:t>0274-2880151</a:t>
          </a:r>
          <a:endParaRPr lang="id-ID" sz="800">
            <a:latin typeface="Arial" pitchFamily="34" charset="0"/>
            <a:cs typeface="Arial" pitchFamily="34" charset="0"/>
          </a:endParaRPr>
        </a:p>
        <a:p>
          <a:pPr algn="l" rtl="1" eaLnBrk="1" fontAlgn="base" latinLnBrk="0" hangingPunct="1"/>
          <a:endParaRPr lang="en-US" sz="8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endParaRPr lang="en-US" sz="8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/>
          <a:endParaRPr lang="en-US" sz="800" b="1" i="0">
            <a:latin typeface="Arial" pitchFamily="34" charset="0"/>
            <a:ea typeface="+mn-ea"/>
            <a:cs typeface="Arial" pitchFamily="34" charset="0"/>
          </a:endParaRPr>
        </a:p>
        <a:p>
          <a:pPr algn="l" rtl="1">
            <a:defRPr sz="1000"/>
          </a:pPr>
          <a:endParaRPr lang="en-US" sz="8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38100</xdr:rowOff>
    </xdr:from>
    <xdr:to>
      <xdr:col>3</xdr:col>
      <xdr:colOff>38100</xdr:colOff>
      <xdr:row>3</xdr:row>
      <xdr:rowOff>66675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647700" y="38100"/>
          <a:ext cx="533400" cy="600075"/>
          <a:chOff x="647700" y="38100"/>
          <a:chExt cx="457200" cy="514350"/>
        </a:xfrm>
      </xdr:grpSpPr>
      <xdr:pic>
        <xdr:nvPicPr>
          <xdr:cNvPr id="3" name="Picture 19" descr="BMG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695325" y="38100"/>
            <a:ext cx="409575" cy="3524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Rectangle 22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647700" y="393700"/>
            <a:ext cx="428625" cy="15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n-US" sz="7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BMKG</a:t>
            </a:r>
          </a:p>
        </xdr:txBody>
      </xdr:sp>
    </xdr:grpSp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5" name="Rectangle 2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8067675" y="485775"/>
          <a:ext cx="3619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47625</xdr:colOff>
      <xdr:row>0</xdr:row>
      <xdr:rowOff>47625</xdr:rowOff>
    </xdr:from>
    <xdr:to>
      <xdr:col>11</xdr:col>
      <xdr:colOff>66675</xdr:colOff>
      <xdr:row>3</xdr:row>
      <xdr:rowOff>95250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1114425" y="47625"/>
          <a:ext cx="27622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 eaLnBrk="1" fontAlgn="base" latinLnBrk="0" hangingPunct="1"/>
          <a:r>
            <a:rPr lang="en-US" sz="800" b="1" i="0" baseline="0">
              <a:latin typeface="Arial" pitchFamily="34" charset="0"/>
              <a:ea typeface="+mn-ea"/>
              <a:cs typeface="Arial" pitchFamily="34" charset="0"/>
            </a:rPr>
            <a:t>BADAN METEOROLOGI KLIMATOLOGI DAN GEOFISIKA</a:t>
          </a:r>
          <a:endParaRPr lang="en-US" sz="800" b="0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r>
            <a:rPr lang="en-US" sz="800" b="1" i="0" baseline="0">
              <a:latin typeface="Arial" pitchFamily="34" charset="0"/>
              <a:ea typeface="+mn-ea"/>
              <a:cs typeface="Arial" pitchFamily="34" charset="0"/>
            </a:rPr>
            <a:t>STASIUN KLIMATOLOGI KELAS IV </a:t>
          </a:r>
          <a:r>
            <a:rPr lang="id-ID" sz="800" b="1" i="0" baseline="0">
              <a:latin typeface="Arial" pitchFamily="34" charset="0"/>
              <a:ea typeface="+mn-ea"/>
              <a:cs typeface="Arial" pitchFamily="34" charset="0"/>
            </a:rPr>
            <a:t>D.I.YOGYAKARTA</a:t>
          </a:r>
          <a:endParaRPr lang="en-US" sz="8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auto" latinLnBrk="0" hangingPunct="1"/>
          <a:r>
            <a:rPr lang="en-US" sz="800" b="1" i="0" baseline="0">
              <a:latin typeface="Arial" pitchFamily="34" charset="0"/>
              <a:ea typeface="+mn-ea"/>
              <a:cs typeface="Arial" pitchFamily="34" charset="0"/>
            </a:rPr>
            <a:t>Jl. Kabupaten KM 5.5 , Duwet, Sedangadi, Mlati , Sleman, D.I. Yogyaharta </a:t>
          </a:r>
          <a:r>
            <a:rPr lang="id-ID" sz="800" b="1" i="0" baseline="0">
              <a:latin typeface="Arial" pitchFamily="34" charset="0"/>
              <a:ea typeface="+mn-ea"/>
              <a:cs typeface="Arial" pitchFamily="34" charset="0"/>
            </a:rPr>
            <a:t>Telp</a:t>
          </a:r>
          <a:r>
            <a:rPr lang="en-US" sz="800" b="1" i="0" baseline="0">
              <a:latin typeface="Arial" pitchFamily="34" charset="0"/>
              <a:ea typeface="+mn-ea"/>
              <a:cs typeface="Arial" pitchFamily="34" charset="0"/>
            </a:rPr>
            <a:t>. 0274-2880151/2880152</a:t>
          </a:r>
          <a:r>
            <a:rPr lang="id-ID" sz="800" b="1" i="0" baseline="0">
              <a:latin typeface="Arial" pitchFamily="34" charset="0"/>
              <a:ea typeface="+mn-ea"/>
              <a:cs typeface="Arial" pitchFamily="34" charset="0"/>
            </a:rPr>
            <a:t> Fax </a:t>
          </a:r>
          <a:r>
            <a:rPr lang="en-US" sz="800" b="1" i="0" baseline="0">
              <a:latin typeface="Arial" pitchFamily="34" charset="0"/>
              <a:ea typeface="+mn-ea"/>
              <a:cs typeface="Arial" pitchFamily="34" charset="0"/>
            </a:rPr>
            <a:t>0274-2880151</a:t>
          </a:r>
          <a:endParaRPr lang="id-ID" sz="800">
            <a:latin typeface="Arial" pitchFamily="34" charset="0"/>
            <a:cs typeface="Arial" pitchFamily="34" charset="0"/>
          </a:endParaRPr>
        </a:p>
        <a:p>
          <a:pPr algn="l" rtl="1" eaLnBrk="1" fontAlgn="base" latinLnBrk="0" hangingPunct="1"/>
          <a:endParaRPr lang="en-US" sz="6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endParaRPr lang="en-US" sz="6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/>
          <a:endParaRPr lang="en-US" sz="600" b="1" i="0">
            <a:latin typeface="Arial" pitchFamily="34" charset="0"/>
            <a:ea typeface="+mn-ea"/>
            <a:cs typeface="Arial" pitchFamily="34" charset="0"/>
          </a:endParaRPr>
        </a:p>
        <a:p>
          <a:pPr algn="l" rtl="1">
            <a:defRPr sz="1000"/>
          </a:pPr>
          <a:endParaRPr lang="en-US" sz="6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38100</xdr:rowOff>
    </xdr:from>
    <xdr:to>
      <xdr:col>3</xdr:col>
      <xdr:colOff>38100</xdr:colOff>
      <xdr:row>3</xdr:row>
      <xdr:rowOff>66675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647700" y="38100"/>
          <a:ext cx="533400" cy="600075"/>
          <a:chOff x="647700" y="38100"/>
          <a:chExt cx="457200" cy="514350"/>
        </a:xfrm>
      </xdr:grpSpPr>
      <xdr:pic>
        <xdr:nvPicPr>
          <xdr:cNvPr id="3" name="Picture 19" descr="BMG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695325" y="38100"/>
            <a:ext cx="409575" cy="3524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Rectangle 22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647700" y="393700"/>
            <a:ext cx="428625" cy="15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n-US" sz="7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BMKG</a:t>
            </a:r>
          </a:p>
        </xdr:txBody>
      </xdr:sp>
    </xdr:grpSp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5" name="Rectangle 2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8067675" y="485775"/>
          <a:ext cx="3619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47625</xdr:colOff>
      <xdr:row>0</xdr:row>
      <xdr:rowOff>47625</xdr:rowOff>
    </xdr:from>
    <xdr:to>
      <xdr:col>11</xdr:col>
      <xdr:colOff>66675</xdr:colOff>
      <xdr:row>3</xdr:row>
      <xdr:rowOff>95250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1114425" y="47625"/>
          <a:ext cx="27622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 eaLnBrk="1" fontAlgn="base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BADAN METEOROLOGI KLIMATOLOGI DAN GEOFISIKA</a:t>
          </a:r>
          <a:endParaRPr lang="en-US" sz="600" b="0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STASIUN KLIMATOLOGI KELAS IV MLATI</a:t>
          </a:r>
        </a:p>
        <a:p>
          <a:pPr algn="l" rtl="1" eaLnBrk="1" fontAlgn="auto" latinLnBrk="0" hangingPunct="1"/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Jl. Kabupaten KM 5.5 , Duwet, Sedangadi, Mlati , Sleman, D.I. Yogyaharta </a:t>
          </a:r>
          <a:r>
            <a:rPr lang="id-ID" sz="600" b="1" i="0" baseline="0">
              <a:latin typeface="Arial" pitchFamily="34" charset="0"/>
              <a:ea typeface="+mn-ea"/>
              <a:cs typeface="Arial" pitchFamily="34" charset="0"/>
            </a:rPr>
            <a:t>Telp</a:t>
          </a:r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. 0274-2880151/2880152</a:t>
          </a:r>
          <a:r>
            <a:rPr lang="id-ID" sz="600" b="1" i="0" baseline="0">
              <a:latin typeface="Arial" pitchFamily="34" charset="0"/>
              <a:ea typeface="+mn-ea"/>
              <a:cs typeface="Arial" pitchFamily="34" charset="0"/>
            </a:rPr>
            <a:t> Fax </a:t>
          </a:r>
          <a:r>
            <a:rPr lang="en-US" sz="600" b="1" i="0" baseline="0">
              <a:latin typeface="Arial" pitchFamily="34" charset="0"/>
              <a:ea typeface="+mn-ea"/>
              <a:cs typeface="Arial" pitchFamily="34" charset="0"/>
            </a:rPr>
            <a:t>0274-2880151</a:t>
          </a:r>
          <a:endParaRPr lang="id-ID" sz="600">
            <a:latin typeface="Arial" pitchFamily="34" charset="0"/>
            <a:cs typeface="Arial" pitchFamily="34" charset="0"/>
          </a:endParaRPr>
        </a:p>
        <a:p>
          <a:pPr algn="l" rtl="1" eaLnBrk="1" fontAlgn="base" latinLnBrk="0" hangingPunct="1"/>
          <a:endParaRPr lang="en-US" sz="6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 eaLnBrk="1" fontAlgn="base" latinLnBrk="0" hangingPunct="1"/>
          <a:endParaRPr lang="en-US" sz="600" b="1" i="0" baseline="0">
            <a:latin typeface="Arial" pitchFamily="34" charset="0"/>
            <a:ea typeface="+mn-ea"/>
            <a:cs typeface="Arial" pitchFamily="34" charset="0"/>
          </a:endParaRPr>
        </a:p>
        <a:p>
          <a:pPr algn="l" rtl="1"/>
          <a:endParaRPr lang="en-US" sz="600" b="1" i="0">
            <a:latin typeface="Arial" pitchFamily="34" charset="0"/>
            <a:ea typeface="+mn-ea"/>
            <a:cs typeface="Arial" pitchFamily="34" charset="0"/>
          </a:endParaRPr>
        </a:p>
        <a:p>
          <a:pPr algn="l" rtl="1">
            <a:defRPr sz="1000"/>
          </a:pPr>
          <a:endParaRPr lang="en-US" sz="6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314326</xdr:colOff>
      <xdr:row>0</xdr:row>
      <xdr:rowOff>61913</xdr:rowOff>
    </xdr:from>
    <xdr:to>
      <xdr:col>3</xdr:col>
      <xdr:colOff>191069</xdr:colOff>
      <xdr:row>3</xdr:row>
      <xdr:rowOff>178594</xdr:rowOff>
    </xdr:to>
    <xdr:pic>
      <xdr:nvPicPr>
        <xdr:cNvPr id="7" name="Picture 1" descr="logo-bmkg-140p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5326" y="61913"/>
          <a:ext cx="638743" cy="6881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142875</xdr:colOff>
      <xdr:row>11</xdr:row>
      <xdr:rowOff>0</xdr:rowOff>
    </xdr:from>
    <xdr:to>
      <xdr:col>24</xdr:col>
      <xdr:colOff>161925</xdr:colOff>
      <xdr:row>12</xdr:row>
      <xdr:rowOff>9525</xdr:rowOff>
    </xdr:to>
    <xdr:sp macro="" textlink="">
      <xdr:nvSpPr>
        <xdr:cNvPr id="8" name="Rectangle 22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8905875" y="571500"/>
          <a:ext cx="4000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5" name="Rectangle 22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8067675" y="485775"/>
          <a:ext cx="3619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142876</xdr:colOff>
      <xdr:row>0</xdr:row>
      <xdr:rowOff>0</xdr:rowOff>
    </xdr:from>
    <xdr:to>
      <xdr:col>4</xdr:col>
      <xdr:colOff>19619</xdr:colOff>
      <xdr:row>3</xdr:row>
      <xdr:rowOff>116681</xdr:rowOff>
    </xdr:to>
    <xdr:pic>
      <xdr:nvPicPr>
        <xdr:cNvPr id="7" name="Picture 1" descr="logo-bmkg-140p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04876" y="0"/>
          <a:ext cx="638743" cy="7072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142875</xdr:colOff>
      <xdr:row>11</xdr:row>
      <xdr:rowOff>0</xdr:rowOff>
    </xdr:from>
    <xdr:to>
      <xdr:col>24</xdr:col>
      <xdr:colOff>161925</xdr:colOff>
      <xdr:row>12</xdr:row>
      <xdr:rowOff>9525</xdr:rowOff>
    </xdr:to>
    <xdr:sp macro="" textlink="">
      <xdr:nvSpPr>
        <xdr:cNvPr id="8" name="Rectangle 22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ChangeArrowheads="1"/>
        </xdr:cNvSpPr>
      </xdr:nvSpPr>
      <xdr:spPr bwMode="auto">
        <a:xfrm>
          <a:off x="8905875" y="1943100"/>
          <a:ext cx="40005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142875</xdr:colOff>
      <xdr:row>10</xdr:row>
      <xdr:rowOff>0</xdr:rowOff>
    </xdr:from>
    <xdr:to>
      <xdr:col>24</xdr:col>
      <xdr:colOff>161925</xdr:colOff>
      <xdr:row>11</xdr:row>
      <xdr:rowOff>9525</xdr:rowOff>
    </xdr:to>
    <xdr:sp macro="" textlink="">
      <xdr:nvSpPr>
        <xdr:cNvPr id="5" name="Rectangle 2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rrowheads="1"/>
        </xdr:cNvSpPr>
      </xdr:nvSpPr>
      <xdr:spPr bwMode="auto">
        <a:xfrm>
          <a:off x="8067675" y="485775"/>
          <a:ext cx="3619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7" name="Rectangle 22">
          <a:extLst>
            <a:ext uri="{FF2B5EF4-FFF2-40B4-BE49-F238E27FC236}">
              <a16:creationId xmlns:a16="http://schemas.microsoft.com/office/drawing/2014/main" id="{1BB285A5-5EAE-48FD-A0F6-7503162329BF}"/>
            </a:ext>
          </a:extLst>
        </xdr:cNvPr>
        <xdr:cNvSpPr>
          <a:spLocks noChangeArrowheads="1"/>
        </xdr:cNvSpPr>
      </xdr:nvSpPr>
      <xdr:spPr bwMode="auto">
        <a:xfrm>
          <a:off x="8905875" y="590550"/>
          <a:ext cx="4000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142876</xdr:colOff>
      <xdr:row>0</xdr:row>
      <xdr:rowOff>0</xdr:rowOff>
    </xdr:from>
    <xdr:to>
      <xdr:col>4</xdr:col>
      <xdr:colOff>19619</xdr:colOff>
      <xdr:row>3</xdr:row>
      <xdr:rowOff>116681</xdr:rowOff>
    </xdr:to>
    <xdr:pic>
      <xdr:nvPicPr>
        <xdr:cNvPr id="8" name="Picture 1" descr="logo-bmkg-140p">
          <a:extLst>
            <a:ext uri="{FF2B5EF4-FFF2-40B4-BE49-F238E27FC236}">
              <a16:creationId xmlns:a16="http://schemas.microsoft.com/office/drawing/2014/main" id="{53FE6BFB-A8E2-4976-B6C4-D89406AE3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04876" y="0"/>
          <a:ext cx="638743" cy="7072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11" name="Rectangle 22">
          <a:extLst>
            <a:ext uri="{FF2B5EF4-FFF2-40B4-BE49-F238E27FC236}">
              <a16:creationId xmlns:a16="http://schemas.microsoft.com/office/drawing/2014/main" id="{4E830EA4-64DD-4205-A39B-2EE7B545E4CA}"/>
            </a:ext>
          </a:extLst>
        </xdr:cNvPr>
        <xdr:cNvSpPr>
          <a:spLocks noChangeArrowheads="1"/>
        </xdr:cNvSpPr>
      </xdr:nvSpPr>
      <xdr:spPr bwMode="auto">
        <a:xfrm>
          <a:off x="8905875" y="590550"/>
          <a:ext cx="4000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142876</xdr:colOff>
      <xdr:row>0</xdr:row>
      <xdr:rowOff>0</xdr:rowOff>
    </xdr:from>
    <xdr:to>
      <xdr:col>4</xdr:col>
      <xdr:colOff>19619</xdr:colOff>
      <xdr:row>3</xdr:row>
      <xdr:rowOff>116681</xdr:rowOff>
    </xdr:to>
    <xdr:pic>
      <xdr:nvPicPr>
        <xdr:cNvPr id="12" name="Picture 1" descr="logo-bmkg-140p">
          <a:extLst>
            <a:ext uri="{FF2B5EF4-FFF2-40B4-BE49-F238E27FC236}">
              <a16:creationId xmlns:a16="http://schemas.microsoft.com/office/drawing/2014/main" id="{A51FD070-5B9B-4F5A-A54E-581CC8B33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04876" y="0"/>
          <a:ext cx="638743" cy="7072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142875</xdr:colOff>
      <xdr:row>12</xdr:row>
      <xdr:rowOff>0</xdr:rowOff>
    </xdr:from>
    <xdr:to>
      <xdr:col>24</xdr:col>
      <xdr:colOff>161925</xdr:colOff>
      <xdr:row>12</xdr:row>
      <xdr:rowOff>9525</xdr:rowOff>
    </xdr:to>
    <xdr:sp macro="" textlink="">
      <xdr:nvSpPr>
        <xdr:cNvPr id="5" name="Rectangle 22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Arrowheads="1"/>
        </xdr:cNvSpPr>
      </xdr:nvSpPr>
      <xdr:spPr bwMode="auto">
        <a:xfrm>
          <a:off x="8248650" y="571500"/>
          <a:ext cx="3714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23</xdr:col>
      <xdr:colOff>142875</xdr:colOff>
      <xdr:row>10</xdr:row>
      <xdr:rowOff>0</xdr:rowOff>
    </xdr:from>
    <xdr:to>
      <xdr:col>24</xdr:col>
      <xdr:colOff>161925</xdr:colOff>
      <xdr:row>11</xdr:row>
      <xdr:rowOff>9525</xdr:rowOff>
    </xdr:to>
    <xdr:sp macro="" textlink="">
      <xdr:nvSpPr>
        <xdr:cNvPr id="7" name="Rectangle 22">
          <a:extLst>
            <a:ext uri="{FF2B5EF4-FFF2-40B4-BE49-F238E27FC236}">
              <a16:creationId xmlns:a16="http://schemas.microsoft.com/office/drawing/2014/main" id="{9FC1629D-FC5A-4671-9720-B94A7CABF865}"/>
            </a:ext>
          </a:extLst>
        </xdr:cNvPr>
        <xdr:cNvSpPr>
          <a:spLocks noChangeArrowheads="1"/>
        </xdr:cNvSpPr>
      </xdr:nvSpPr>
      <xdr:spPr bwMode="auto">
        <a:xfrm>
          <a:off x="8248650" y="1752600"/>
          <a:ext cx="3714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8" name="Rectangle 22">
          <a:extLst>
            <a:ext uri="{FF2B5EF4-FFF2-40B4-BE49-F238E27FC236}">
              <a16:creationId xmlns:a16="http://schemas.microsoft.com/office/drawing/2014/main" id="{83912EF6-81D9-4B10-8E7B-E714E106329A}"/>
            </a:ext>
          </a:extLst>
        </xdr:cNvPr>
        <xdr:cNvSpPr>
          <a:spLocks noChangeArrowheads="1"/>
        </xdr:cNvSpPr>
      </xdr:nvSpPr>
      <xdr:spPr bwMode="auto">
        <a:xfrm>
          <a:off x="8248650" y="590550"/>
          <a:ext cx="3714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142876</xdr:colOff>
      <xdr:row>0</xdr:row>
      <xdr:rowOff>0</xdr:rowOff>
    </xdr:from>
    <xdr:to>
      <xdr:col>4</xdr:col>
      <xdr:colOff>19619</xdr:colOff>
      <xdr:row>3</xdr:row>
      <xdr:rowOff>116681</xdr:rowOff>
    </xdr:to>
    <xdr:pic>
      <xdr:nvPicPr>
        <xdr:cNvPr id="9" name="Picture 1" descr="logo-bmkg-140p">
          <a:extLst>
            <a:ext uri="{FF2B5EF4-FFF2-40B4-BE49-F238E27FC236}">
              <a16:creationId xmlns:a16="http://schemas.microsoft.com/office/drawing/2014/main" id="{B55E9458-F442-4E8E-AE8E-9EBA9F946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6" y="0"/>
          <a:ext cx="581593" cy="7072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9244D3C0-6CC6-462D-B32A-B04288A3733C}"/>
            </a:ext>
          </a:extLst>
        </xdr:cNvPr>
        <xdr:cNvSpPr>
          <a:spLocks noChangeArrowheads="1"/>
        </xdr:cNvSpPr>
      </xdr:nvSpPr>
      <xdr:spPr bwMode="auto">
        <a:xfrm>
          <a:off x="8248650" y="590550"/>
          <a:ext cx="3714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142876</xdr:colOff>
      <xdr:row>0</xdr:row>
      <xdr:rowOff>0</xdr:rowOff>
    </xdr:from>
    <xdr:to>
      <xdr:col>4</xdr:col>
      <xdr:colOff>19619</xdr:colOff>
      <xdr:row>3</xdr:row>
      <xdr:rowOff>116681</xdr:rowOff>
    </xdr:to>
    <xdr:pic>
      <xdr:nvPicPr>
        <xdr:cNvPr id="11" name="Picture 1" descr="logo-bmkg-140p">
          <a:extLst>
            <a:ext uri="{FF2B5EF4-FFF2-40B4-BE49-F238E27FC236}">
              <a16:creationId xmlns:a16="http://schemas.microsoft.com/office/drawing/2014/main" id="{534FA9FB-956F-4612-A488-5C0A58840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6" y="0"/>
          <a:ext cx="581593" cy="7072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142875</xdr:colOff>
      <xdr:row>11</xdr:row>
      <xdr:rowOff>0</xdr:rowOff>
    </xdr:from>
    <xdr:to>
      <xdr:col>24</xdr:col>
      <xdr:colOff>161925</xdr:colOff>
      <xdr:row>12</xdr:row>
      <xdr:rowOff>9525</xdr:rowOff>
    </xdr:to>
    <xdr:sp macro="" textlink="">
      <xdr:nvSpPr>
        <xdr:cNvPr id="5" name="Rectangle 2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Arrowheads="1"/>
        </xdr:cNvSpPr>
      </xdr:nvSpPr>
      <xdr:spPr bwMode="auto">
        <a:xfrm>
          <a:off x="8248650" y="571500"/>
          <a:ext cx="3714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23</xdr:col>
      <xdr:colOff>142875</xdr:colOff>
      <xdr:row>10</xdr:row>
      <xdr:rowOff>0</xdr:rowOff>
    </xdr:from>
    <xdr:to>
      <xdr:col>24</xdr:col>
      <xdr:colOff>161925</xdr:colOff>
      <xdr:row>11</xdr:row>
      <xdr:rowOff>0</xdr:rowOff>
    </xdr:to>
    <xdr:sp macro="" textlink="">
      <xdr:nvSpPr>
        <xdr:cNvPr id="7" name="Rectangle 22">
          <a:extLst>
            <a:ext uri="{FF2B5EF4-FFF2-40B4-BE49-F238E27FC236}">
              <a16:creationId xmlns:a16="http://schemas.microsoft.com/office/drawing/2014/main" id="{8081CE27-6A96-4ED7-B257-90C95B1CB4D4}"/>
            </a:ext>
          </a:extLst>
        </xdr:cNvPr>
        <xdr:cNvSpPr>
          <a:spLocks noChangeArrowheads="1"/>
        </xdr:cNvSpPr>
      </xdr:nvSpPr>
      <xdr:spPr bwMode="auto">
        <a:xfrm>
          <a:off x="8248650" y="1752600"/>
          <a:ext cx="3714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8" name="Rectangle 22">
          <a:extLst>
            <a:ext uri="{FF2B5EF4-FFF2-40B4-BE49-F238E27FC236}">
              <a16:creationId xmlns:a16="http://schemas.microsoft.com/office/drawing/2014/main" id="{591F702C-ACF4-48B8-AC34-946FE5694094}"/>
            </a:ext>
          </a:extLst>
        </xdr:cNvPr>
        <xdr:cNvSpPr>
          <a:spLocks noChangeArrowheads="1"/>
        </xdr:cNvSpPr>
      </xdr:nvSpPr>
      <xdr:spPr bwMode="auto">
        <a:xfrm>
          <a:off x="8248650" y="590550"/>
          <a:ext cx="3714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142876</xdr:colOff>
      <xdr:row>0</xdr:row>
      <xdr:rowOff>0</xdr:rowOff>
    </xdr:from>
    <xdr:to>
      <xdr:col>4</xdr:col>
      <xdr:colOff>19619</xdr:colOff>
      <xdr:row>3</xdr:row>
      <xdr:rowOff>116681</xdr:rowOff>
    </xdr:to>
    <xdr:pic>
      <xdr:nvPicPr>
        <xdr:cNvPr id="9" name="Picture 1" descr="logo-bmkg-140p">
          <a:extLst>
            <a:ext uri="{FF2B5EF4-FFF2-40B4-BE49-F238E27FC236}">
              <a16:creationId xmlns:a16="http://schemas.microsoft.com/office/drawing/2014/main" id="{309AA1C6-CC50-4F62-AEDE-170028E2C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6" y="0"/>
          <a:ext cx="581593" cy="7072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142875</xdr:colOff>
      <xdr:row>3</xdr:row>
      <xdr:rowOff>0</xdr:rowOff>
    </xdr:from>
    <xdr:to>
      <xdr:col>24</xdr:col>
      <xdr:colOff>161925</xdr:colOff>
      <xdr:row>4</xdr:row>
      <xdr:rowOff>9525</xdr:rowOff>
    </xdr:to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1BB0E854-BF67-47CA-A7FF-0AD4E48E91A1}"/>
            </a:ext>
          </a:extLst>
        </xdr:cNvPr>
        <xdr:cNvSpPr>
          <a:spLocks noChangeArrowheads="1"/>
        </xdr:cNvSpPr>
      </xdr:nvSpPr>
      <xdr:spPr bwMode="auto">
        <a:xfrm>
          <a:off x="8248650" y="590550"/>
          <a:ext cx="3714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142876</xdr:colOff>
      <xdr:row>0</xdr:row>
      <xdr:rowOff>0</xdr:rowOff>
    </xdr:from>
    <xdr:to>
      <xdr:col>4</xdr:col>
      <xdr:colOff>19619</xdr:colOff>
      <xdr:row>3</xdr:row>
      <xdr:rowOff>116681</xdr:rowOff>
    </xdr:to>
    <xdr:pic>
      <xdr:nvPicPr>
        <xdr:cNvPr id="11" name="Picture 1" descr="logo-bmkg-140p">
          <a:extLst>
            <a:ext uri="{FF2B5EF4-FFF2-40B4-BE49-F238E27FC236}">
              <a16:creationId xmlns:a16="http://schemas.microsoft.com/office/drawing/2014/main" id="{7E75507F-5FE8-4776-B108-6FF262A7A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6" y="0"/>
          <a:ext cx="581593" cy="7072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2020\1.SYNOP_JAN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2020\2.SYNOP_FEB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2020\3.SYNOP_MAR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2020\4.SYNOP_APR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2020\5.SYNOP_MEI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5.MEI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2020\6.SYNOP_JUNI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2020\7.SYNOP_JULI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e 45"/>
      <sheetName val="QAM1217"/>
      <sheetName val="QAM1823"/>
      <sheetName val="Sheet1"/>
      <sheetName val="data"/>
      <sheetName val="KURV.CLIM"/>
      <sheetName val="data untuk WXREV"/>
      <sheetName val="FKLIM12"/>
      <sheetName val="DATA FKLIM"/>
      <sheetName val="bank_data"/>
      <sheetName val="Angin"/>
      <sheetName val="VV"/>
      <sheetName val="TT"/>
      <sheetName val="Tw"/>
      <sheetName val="Td"/>
      <sheetName val="RH"/>
      <sheetName val="QFF"/>
      <sheetName val="QFE"/>
      <sheetName val="CH"/>
      <sheetName val="F-KLIM"/>
      <sheetName val="MTH"/>
      <sheetName val="eW"/>
      <sheetName val="Tab"/>
      <sheetName val="COVER"/>
      <sheetName val="KLIMAT"/>
    </sheetNames>
    <sheetDataSet>
      <sheetData sheetId="0">
        <row r="1">
          <cell r="AA1" t="str">
            <v>JANUARI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4">
          <cell r="X4" t="str">
            <v>PEMBUAT LAPORAN,</v>
          </cell>
        </row>
      </sheetData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e 45"/>
      <sheetName val="QAM1217"/>
      <sheetName val="QAM1823"/>
      <sheetName val="Sheet1"/>
      <sheetName val="data"/>
      <sheetName val="KURV.CLIM"/>
      <sheetName val="data untuk WXREV"/>
      <sheetName val="FKLIM12"/>
      <sheetName val="DATA FKLIM"/>
      <sheetName val="bank_data"/>
      <sheetName val="Angin"/>
      <sheetName val="VV"/>
      <sheetName val="TT"/>
      <sheetName val="Tw"/>
      <sheetName val="Td"/>
      <sheetName val="RH"/>
      <sheetName val="QFF"/>
      <sheetName val="QFE"/>
      <sheetName val="CH"/>
      <sheetName val="F-KLIM"/>
      <sheetName val="MTH"/>
      <sheetName val="eW"/>
      <sheetName val="Tab"/>
      <sheetName val="COVER"/>
      <sheetName val="KLIMAT"/>
    </sheetNames>
    <sheetDataSet>
      <sheetData sheetId="0">
        <row r="1">
          <cell r="AA1" t="str">
            <v>FEBRUARI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e 45"/>
      <sheetName val="QAM1217"/>
      <sheetName val="QAM1823"/>
      <sheetName val="Sheet1"/>
      <sheetName val="data"/>
      <sheetName val="KURV.CLIM"/>
      <sheetName val="data untuk WXREV"/>
      <sheetName val="FKLIM12"/>
      <sheetName val="DATA FKLIM"/>
      <sheetName val="bank_data"/>
      <sheetName val="Angin"/>
      <sheetName val="VV"/>
      <sheetName val="TT"/>
      <sheetName val="Tw"/>
      <sheetName val="Td"/>
      <sheetName val="RH"/>
      <sheetName val="QFF"/>
      <sheetName val="QFE"/>
      <sheetName val="CH"/>
      <sheetName val="F-KLIM"/>
      <sheetName val="MTH"/>
      <sheetName val="eW"/>
      <sheetName val="Tab"/>
      <sheetName val="COVER"/>
      <sheetName val="KLIMAT"/>
    </sheetNames>
    <sheetDataSet>
      <sheetData sheetId="0">
        <row r="1">
          <cell r="AA1" t="str">
            <v>MARET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e 45"/>
      <sheetName val="QAM1217"/>
      <sheetName val="QAM1823"/>
      <sheetName val="Sheet1"/>
      <sheetName val="data"/>
      <sheetName val="KURV.CLIM"/>
      <sheetName val="data untuk WXREV"/>
      <sheetName val="FKLIM12"/>
      <sheetName val="DATA FKLIM"/>
      <sheetName val="bank_data"/>
      <sheetName val="Angin"/>
      <sheetName val="VV"/>
      <sheetName val="TT"/>
      <sheetName val="Tw"/>
      <sheetName val="Td"/>
      <sheetName val="RH"/>
      <sheetName val="QFF"/>
      <sheetName val="QFE"/>
      <sheetName val="CH"/>
      <sheetName val="F-KLIM"/>
      <sheetName val="MTH"/>
      <sheetName val="eW"/>
      <sheetName val="Tab"/>
      <sheetName val="COVER"/>
      <sheetName val="KLIMAT"/>
    </sheetNames>
    <sheetDataSet>
      <sheetData sheetId="0">
        <row r="1">
          <cell r="AA1" t="str">
            <v>APRIL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e 45"/>
      <sheetName val="QAM1217"/>
      <sheetName val="QAM1823"/>
      <sheetName val="Sheet1"/>
      <sheetName val="data"/>
      <sheetName val="KURV.CLIM"/>
      <sheetName val="data untuk WXREV"/>
      <sheetName val="FKLIM12"/>
      <sheetName val="DATA FKLIM"/>
      <sheetName val="bank_data"/>
      <sheetName val="Angin"/>
      <sheetName val="VV"/>
      <sheetName val="TT"/>
      <sheetName val="Tw"/>
      <sheetName val="Td"/>
      <sheetName val="RH"/>
      <sheetName val="QFF"/>
      <sheetName val="QFE"/>
      <sheetName val="CH"/>
      <sheetName val="F-KLIM"/>
      <sheetName val="MTH"/>
      <sheetName val="eW"/>
      <sheetName val="Tab"/>
      <sheetName val="COVER"/>
      <sheetName val="KLIMAT"/>
    </sheetNames>
    <sheetDataSet>
      <sheetData sheetId="0">
        <row r="1">
          <cell r="AA1" t="str">
            <v>MEI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>
        <row r="2">
          <cell r="F2" t="str">
            <v>MEI</v>
          </cell>
        </row>
        <row r="6">
          <cell r="H6">
            <v>89.277716228241317</v>
          </cell>
        </row>
        <row r="7">
          <cell r="H7">
            <v>76.490431016735371</v>
          </cell>
        </row>
        <row r="8">
          <cell r="H8">
            <v>70.968093696139277</v>
          </cell>
        </row>
        <row r="9">
          <cell r="H9">
            <v>67.069391343588762</v>
          </cell>
        </row>
        <row r="10">
          <cell r="H10">
            <v>66.665842630830113</v>
          </cell>
        </row>
        <row r="11">
          <cell r="H11">
            <v>69.736488041473535</v>
          </cell>
        </row>
        <row r="12">
          <cell r="H12">
            <v>54.62525970368899</v>
          </cell>
        </row>
        <row r="13">
          <cell r="H13">
            <v>53.225477278875765</v>
          </cell>
        </row>
        <row r="14">
          <cell r="H14">
            <v>60.36795035675744</v>
          </cell>
        </row>
        <row r="15">
          <cell r="H15">
            <v>76.486153106181604</v>
          </cell>
        </row>
        <row r="16">
          <cell r="H16">
            <v>90.329253075595716</v>
          </cell>
        </row>
        <row r="17">
          <cell r="H17">
            <v>90.197634108095627</v>
          </cell>
        </row>
        <row r="18">
          <cell r="H18">
            <v>91.76423123386563</v>
          </cell>
        </row>
        <row r="42">
          <cell r="H42">
            <v>88.758392692627268</v>
          </cell>
        </row>
        <row r="43">
          <cell r="H43">
            <v>84.46076283297424</v>
          </cell>
        </row>
        <row r="44">
          <cell r="H44">
            <v>78.439747354776088</v>
          </cell>
        </row>
        <row r="45">
          <cell r="H45">
            <v>79.529624183494306</v>
          </cell>
        </row>
        <row r="46">
          <cell r="H46">
            <v>71.308960902813283</v>
          </cell>
        </row>
        <row r="47">
          <cell r="H47">
            <v>63.945186472940172</v>
          </cell>
        </row>
        <row r="48">
          <cell r="H48">
            <v>58.348408517473473</v>
          </cell>
        </row>
        <row r="49">
          <cell r="H49">
            <v>57.842134385045263</v>
          </cell>
        </row>
        <row r="50">
          <cell r="H50">
            <v>70.085992916873224</v>
          </cell>
        </row>
        <row r="51">
          <cell r="H51">
            <v>90.015347770751774</v>
          </cell>
        </row>
        <row r="52">
          <cell r="H52">
            <v>75.984004934121756</v>
          </cell>
        </row>
        <row r="53">
          <cell r="H53">
            <v>77.207862783481787</v>
          </cell>
        </row>
        <row r="54">
          <cell r="H54">
            <v>79.751570735784398</v>
          </cell>
        </row>
        <row r="78">
          <cell r="H78">
            <v>84.184813194407482</v>
          </cell>
        </row>
        <row r="79">
          <cell r="H79">
            <v>78.650583612557497</v>
          </cell>
        </row>
        <row r="80">
          <cell r="H80">
            <v>73.627425546942845</v>
          </cell>
        </row>
        <row r="81">
          <cell r="H81">
            <v>66.428989569440731</v>
          </cell>
        </row>
        <row r="82">
          <cell r="H82">
            <v>60.945438969294393</v>
          </cell>
        </row>
        <row r="83">
          <cell r="H83">
            <v>53.04816014435616</v>
          </cell>
        </row>
        <row r="84">
          <cell r="H84">
            <v>48.797020845644802</v>
          </cell>
        </row>
        <row r="85">
          <cell r="H85">
            <v>55.002618204861264</v>
          </cell>
        </row>
        <row r="86">
          <cell r="H86">
            <v>64.220332951702986</v>
          </cell>
        </row>
        <row r="87">
          <cell r="H87">
            <v>64.220332951702986</v>
          </cell>
        </row>
        <row r="88">
          <cell r="H88">
            <v>75.709872775229954</v>
          </cell>
        </row>
        <row r="89">
          <cell r="H89">
            <v>83.468729637313217</v>
          </cell>
        </row>
        <row r="90">
          <cell r="H90">
            <v>83.258932546042018</v>
          </cell>
        </row>
        <row r="114">
          <cell r="H114">
            <v>94.9996701525737</v>
          </cell>
        </row>
        <row r="115">
          <cell r="H115">
            <v>80.957989531224484</v>
          </cell>
        </row>
        <row r="116">
          <cell r="H116">
            <v>68.357244841267971</v>
          </cell>
        </row>
        <row r="117">
          <cell r="H117">
            <v>62.006739346876962</v>
          </cell>
        </row>
        <row r="118">
          <cell r="H118">
            <v>57.531256492189563</v>
          </cell>
        </row>
        <row r="119">
          <cell r="H119">
            <v>58.348408517473473</v>
          </cell>
        </row>
        <row r="120">
          <cell r="H120">
            <v>59.350053134906275</v>
          </cell>
        </row>
        <row r="121">
          <cell r="H121">
            <v>53.688306223389894</v>
          </cell>
        </row>
        <row r="122">
          <cell r="H122">
            <v>52.778792996945533</v>
          </cell>
        </row>
        <row r="123">
          <cell r="H123">
            <v>73.525233919727469</v>
          </cell>
        </row>
        <row r="124">
          <cell r="H124">
            <v>74.787218850277668</v>
          </cell>
        </row>
        <row r="125">
          <cell r="H125">
            <v>83.956709676464868</v>
          </cell>
        </row>
        <row r="126">
          <cell r="H126">
            <v>90.559861850173533</v>
          </cell>
        </row>
        <row r="150">
          <cell r="H150">
            <v>94.22978507575192</v>
          </cell>
        </row>
        <row r="151">
          <cell r="H151">
            <v>84.324261141767138</v>
          </cell>
        </row>
        <row r="152">
          <cell r="H152">
            <v>79.101586094726713</v>
          </cell>
        </row>
        <row r="153">
          <cell r="H153">
            <v>74.683904056487108</v>
          </cell>
        </row>
        <row r="154">
          <cell r="H154">
            <v>70.426534415240695</v>
          </cell>
        </row>
        <row r="155">
          <cell r="H155">
            <v>66.336216408985308</v>
          </cell>
        </row>
        <row r="156">
          <cell r="H156">
            <v>67.350843749385419</v>
          </cell>
        </row>
        <row r="157">
          <cell r="H157">
            <v>73.763019882863745</v>
          </cell>
        </row>
        <row r="158">
          <cell r="H158">
            <v>69.004717151586277</v>
          </cell>
        </row>
        <row r="159">
          <cell r="H159">
            <v>86.453797589986962</v>
          </cell>
        </row>
        <row r="160">
          <cell r="H160">
            <v>86.573410896904008</v>
          </cell>
        </row>
        <row r="161">
          <cell r="H161">
            <v>87.284176110421342</v>
          </cell>
        </row>
        <row r="162">
          <cell r="H162">
            <v>88.758392692627268</v>
          </cell>
        </row>
        <row r="186">
          <cell r="H186">
            <v>87.083169493220765</v>
          </cell>
        </row>
        <row r="187">
          <cell r="H187">
            <v>82.265385267633121</v>
          </cell>
        </row>
        <row r="188">
          <cell r="H188">
            <v>76.583468902286143</v>
          </cell>
        </row>
        <row r="189">
          <cell r="H189">
            <v>72.829825080395921</v>
          </cell>
        </row>
        <row r="190">
          <cell r="H190">
            <v>65.980311350113553</v>
          </cell>
        </row>
        <row r="191">
          <cell r="H191">
            <v>67.784935533682031</v>
          </cell>
        </row>
        <row r="192">
          <cell r="H192">
            <v>68.158654037735886</v>
          </cell>
        </row>
        <row r="193">
          <cell r="H193">
            <v>96.623275706623488</v>
          </cell>
        </row>
        <row r="194">
          <cell r="H194">
            <v>90.197634108095627</v>
          </cell>
        </row>
        <row r="195">
          <cell r="H195">
            <v>88.85779948974681</v>
          </cell>
        </row>
        <row r="196">
          <cell r="H196">
            <v>94.881722302512387</v>
          </cell>
        </row>
        <row r="197">
          <cell r="H197">
            <v>96.542703442597727</v>
          </cell>
        </row>
        <row r="198">
          <cell r="H198">
            <v>93.167757326285368</v>
          </cell>
        </row>
        <row r="222">
          <cell r="H222">
            <v>95.045080078480566</v>
          </cell>
        </row>
        <row r="223">
          <cell r="H223">
            <v>84.46076283297424</v>
          </cell>
        </row>
        <row r="224">
          <cell r="H224">
            <v>80.441494769259251</v>
          </cell>
        </row>
        <row r="225">
          <cell r="H225">
            <v>74.270962017708015</v>
          </cell>
        </row>
        <row r="226">
          <cell r="H226">
            <v>71.957973431143657</v>
          </cell>
        </row>
        <row r="227">
          <cell r="H227">
            <v>71.119776367151829</v>
          </cell>
        </row>
        <row r="228">
          <cell r="H228">
            <v>68.597880222405522</v>
          </cell>
        </row>
        <row r="229">
          <cell r="H229">
            <v>72.068843989732841</v>
          </cell>
        </row>
        <row r="230">
          <cell r="H230">
            <v>75.41299607333552</v>
          </cell>
        </row>
        <row r="231">
          <cell r="H231">
            <v>86.024359156205279</v>
          </cell>
        </row>
        <row r="232">
          <cell r="H232">
            <v>94.929677919351548</v>
          </cell>
        </row>
        <row r="233">
          <cell r="H233">
            <v>94.857344951335847</v>
          </cell>
        </row>
        <row r="234">
          <cell r="H234">
            <v>94.857344951335847</v>
          </cell>
        </row>
        <row r="258">
          <cell r="H258">
            <v>89.375791190256564</v>
          </cell>
        </row>
        <row r="259">
          <cell r="H259">
            <v>85.90249604768772</v>
          </cell>
        </row>
        <row r="260">
          <cell r="H260">
            <v>80.441494769259251</v>
          </cell>
        </row>
        <row r="261">
          <cell r="H261">
            <v>75.512973119707212</v>
          </cell>
        </row>
        <row r="262">
          <cell r="H262">
            <v>75.611927333242306</v>
          </cell>
        </row>
        <row r="263">
          <cell r="H263">
            <v>70.778443254701287</v>
          </cell>
        </row>
        <row r="264">
          <cell r="H264">
            <v>71.957973431143657</v>
          </cell>
        </row>
        <row r="265">
          <cell r="H265">
            <v>71.502977059275636</v>
          </cell>
        </row>
        <row r="266">
          <cell r="H266">
            <v>83.364650624676315</v>
          </cell>
        </row>
        <row r="267">
          <cell r="H267">
            <v>92.171644695410265</v>
          </cell>
        </row>
        <row r="268">
          <cell r="H268">
            <v>88.16192920648966</v>
          </cell>
        </row>
        <row r="269">
          <cell r="H269">
            <v>92.707183993168613</v>
          </cell>
        </row>
        <row r="270">
          <cell r="H270">
            <v>95.111387712912261</v>
          </cell>
        </row>
        <row r="294">
          <cell r="H294">
            <v>88.553044028618061</v>
          </cell>
        </row>
        <row r="295">
          <cell r="H295">
            <v>81.406521414660631</v>
          </cell>
        </row>
        <row r="296">
          <cell r="H296">
            <v>77.13207539953612</v>
          </cell>
        </row>
        <row r="297">
          <cell r="H297">
            <v>74.889473883767849</v>
          </cell>
        </row>
        <row r="298">
          <cell r="H298">
            <v>64.152064056797968</v>
          </cell>
        </row>
        <row r="299">
          <cell r="H299">
            <v>65.08801220897567</v>
          </cell>
        </row>
        <row r="300">
          <cell r="H300">
            <v>73.087971059033734</v>
          </cell>
        </row>
        <row r="301">
          <cell r="H301">
            <v>95.891245943840559</v>
          </cell>
        </row>
        <row r="302">
          <cell r="H302">
            <v>88.808361977229509</v>
          </cell>
        </row>
        <row r="303">
          <cell r="H303">
            <v>87.531808735198595</v>
          </cell>
        </row>
        <row r="304">
          <cell r="H304">
            <v>90.45670689176886</v>
          </cell>
        </row>
        <row r="305">
          <cell r="H305">
            <v>90.45670689176886</v>
          </cell>
        </row>
        <row r="306">
          <cell r="H306">
            <v>91.983003497793732</v>
          </cell>
        </row>
        <row r="330">
          <cell r="H330">
            <v>91.801681435810139</v>
          </cell>
        </row>
        <row r="331">
          <cell r="H331">
            <v>84.46076283297424</v>
          </cell>
        </row>
        <row r="332">
          <cell r="H332">
            <v>76.486153106181604</v>
          </cell>
        </row>
        <row r="333">
          <cell r="H333">
            <v>71.732809990983498</v>
          </cell>
        </row>
        <row r="334">
          <cell r="H334">
            <v>67.848012348338841</v>
          </cell>
        </row>
        <row r="335">
          <cell r="H335">
            <v>66.630439106317368</v>
          </cell>
        </row>
        <row r="336">
          <cell r="H336">
            <v>68.958644184198874</v>
          </cell>
        </row>
        <row r="337">
          <cell r="H337">
            <v>69.736488041473535</v>
          </cell>
        </row>
        <row r="338">
          <cell r="H338">
            <v>74.476775321769892</v>
          </cell>
        </row>
        <row r="339">
          <cell r="H339">
            <v>76.72756344737293</v>
          </cell>
        </row>
        <row r="340">
          <cell r="H340">
            <v>76.592037551566889</v>
          </cell>
        </row>
        <row r="341">
          <cell r="H341">
            <v>85.015074807095985</v>
          </cell>
        </row>
        <row r="342">
          <cell r="H342">
            <v>89.542388598685221</v>
          </cell>
        </row>
        <row r="366">
          <cell r="H366">
            <v>86.362386718915005</v>
          </cell>
        </row>
        <row r="367">
          <cell r="H367">
            <v>80.189608416928536</v>
          </cell>
        </row>
        <row r="368">
          <cell r="H368">
            <v>74.787218850277668</v>
          </cell>
        </row>
        <row r="369">
          <cell r="H369">
            <v>69.376214104399224</v>
          </cell>
        </row>
        <row r="370">
          <cell r="H370">
            <v>65.08801220897567</v>
          </cell>
        </row>
        <row r="371">
          <cell r="H371">
            <v>66.50301628303859</v>
          </cell>
        </row>
        <row r="372">
          <cell r="H372">
            <v>64.083451585478599</v>
          </cell>
        </row>
        <row r="373">
          <cell r="H373">
            <v>62.275612129935951</v>
          </cell>
        </row>
        <row r="374">
          <cell r="H374">
            <v>58.663836396116999</v>
          </cell>
        </row>
        <row r="375">
          <cell r="H375">
            <v>78.496630866239542</v>
          </cell>
        </row>
        <row r="376">
          <cell r="H376">
            <v>82.325152682871888</v>
          </cell>
        </row>
        <row r="377">
          <cell r="H377">
            <v>84.789659367472794</v>
          </cell>
        </row>
        <row r="378">
          <cell r="H378">
            <v>86.08433224972319</v>
          </cell>
        </row>
        <row r="402">
          <cell r="H402">
            <v>91.820255139964601</v>
          </cell>
        </row>
        <row r="403">
          <cell r="H403">
            <v>91.929622498239695</v>
          </cell>
        </row>
        <row r="404">
          <cell r="H404">
            <v>79.057545778462185</v>
          </cell>
        </row>
        <row r="405">
          <cell r="H405">
            <v>69.004717151586277</v>
          </cell>
        </row>
        <row r="406">
          <cell r="H406">
            <v>72.994428949297799</v>
          </cell>
        </row>
        <row r="407">
          <cell r="H407">
            <v>71.701195956542492</v>
          </cell>
        </row>
        <row r="408">
          <cell r="H408">
            <v>69.677202235056797</v>
          </cell>
        </row>
        <row r="409">
          <cell r="H409">
            <v>63.16873547331133</v>
          </cell>
        </row>
        <row r="410">
          <cell r="H410">
            <v>65.745622243935586</v>
          </cell>
        </row>
        <row r="411">
          <cell r="H411">
            <v>67.726283456319948</v>
          </cell>
        </row>
        <row r="412">
          <cell r="H412">
            <v>79.529624183494306</v>
          </cell>
        </row>
        <row r="413">
          <cell r="H413">
            <v>84.594400321721793</v>
          </cell>
        </row>
        <row r="414">
          <cell r="H414">
            <v>87.312279769242565</v>
          </cell>
        </row>
        <row r="438">
          <cell r="H438">
            <v>76.742438575393706</v>
          </cell>
        </row>
        <row r="439">
          <cell r="H439">
            <v>75.106783972489893</v>
          </cell>
        </row>
        <row r="440">
          <cell r="H440">
            <v>70.306804629940927</v>
          </cell>
        </row>
        <row r="441">
          <cell r="H441">
            <v>65.980311350113553</v>
          </cell>
        </row>
        <row r="442">
          <cell r="H442">
            <v>57.362749693994871</v>
          </cell>
        </row>
        <row r="443">
          <cell r="H443">
            <v>57.039869462245676</v>
          </cell>
        </row>
        <row r="444">
          <cell r="H444">
            <v>51.770125917571264</v>
          </cell>
        </row>
        <row r="445">
          <cell r="H445">
            <v>56.336067460921399</v>
          </cell>
        </row>
        <row r="446">
          <cell r="H446">
            <v>67.5457741725223</v>
          </cell>
        </row>
        <row r="447">
          <cell r="H447">
            <v>72.554849210489962</v>
          </cell>
        </row>
        <row r="448">
          <cell r="H448">
            <v>79.232336186691441</v>
          </cell>
        </row>
        <row r="449">
          <cell r="H449">
            <v>80.624211215301727</v>
          </cell>
        </row>
        <row r="450">
          <cell r="H450">
            <v>92.523040045494852</v>
          </cell>
        </row>
        <row r="474">
          <cell r="H474">
            <v>88.78344427844344</v>
          </cell>
        </row>
        <row r="475">
          <cell r="H475">
            <v>80.441494769259251</v>
          </cell>
        </row>
        <row r="476">
          <cell r="H476">
            <v>71.502977059275636</v>
          </cell>
        </row>
        <row r="477">
          <cell r="H477">
            <v>68.351235392666368</v>
          </cell>
        </row>
        <row r="478">
          <cell r="H478">
            <v>65.020417112259793</v>
          </cell>
        </row>
        <row r="479">
          <cell r="H479">
            <v>68.597880222405522</v>
          </cell>
        </row>
        <row r="480">
          <cell r="H480">
            <v>73.263205909512479</v>
          </cell>
        </row>
        <row r="481">
          <cell r="H481">
            <v>74.527575363296279</v>
          </cell>
        </row>
        <row r="482">
          <cell r="H482">
            <v>74.735694844036345</v>
          </cell>
        </row>
        <row r="483">
          <cell r="H483">
            <v>79.275467883729604</v>
          </cell>
        </row>
        <row r="484">
          <cell r="H484">
            <v>85.462469581202669</v>
          </cell>
        </row>
        <row r="485">
          <cell r="H485">
            <v>87.558602711500583</v>
          </cell>
        </row>
        <row r="486">
          <cell r="H486">
            <v>87.89595980409338</v>
          </cell>
        </row>
        <row r="510">
          <cell r="H510">
            <v>93.447174314965409</v>
          </cell>
        </row>
        <row r="511">
          <cell r="H511">
            <v>77.783258701669766</v>
          </cell>
        </row>
        <row r="512">
          <cell r="H512">
            <v>76.486153106181604</v>
          </cell>
        </row>
        <row r="513">
          <cell r="H513">
            <v>72.939842992423735</v>
          </cell>
        </row>
        <row r="514">
          <cell r="H514">
            <v>68.351235392666368</v>
          </cell>
        </row>
        <row r="515">
          <cell r="H515">
            <v>66.244302282615067</v>
          </cell>
        </row>
        <row r="516">
          <cell r="H516">
            <v>68.597880222405522</v>
          </cell>
        </row>
        <row r="517">
          <cell r="H517">
            <v>64.75242725086467</v>
          </cell>
        </row>
        <row r="518">
          <cell r="H518">
            <v>68.097150824248715</v>
          </cell>
        </row>
        <row r="519">
          <cell r="H519">
            <v>70.836054760419927</v>
          </cell>
        </row>
        <row r="520">
          <cell r="H520">
            <v>77.967155135018501</v>
          </cell>
        </row>
        <row r="521">
          <cell r="H521">
            <v>83.922495849748842</v>
          </cell>
        </row>
        <row r="522">
          <cell r="H522">
            <v>88.187753971210455</v>
          </cell>
        </row>
        <row r="546">
          <cell r="H546">
            <v>93.402485627448897</v>
          </cell>
        </row>
        <row r="547">
          <cell r="H547">
            <v>81.487578849068441</v>
          </cell>
        </row>
        <row r="548">
          <cell r="H548">
            <v>77.783258701669766</v>
          </cell>
        </row>
        <row r="549">
          <cell r="H549">
            <v>73.333931893494324</v>
          </cell>
        </row>
        <row r="550">
          <cell r="H550">
            <v>67.593768683011362</v>
          </cell>
        </row>
        <row r="551">
          <cell r="H551">
            <v>67.784935533682031</v>
          </cell>
        </row>
        <row r="552">
          <cell r="H552">
            <v>62.306163689807228</v>
          </cell>
        </row>
        <row r="553">
          <cell r="H553">
            <v>60.213969905578743</v>
          </cell>
        </row>
        <row r="554">
          <cell r="H554">
            <v>63.377902771134032</v>
          </cell>
        </row>
        <row r="555">
          <cell r="H555">
            <v>65.574108128065092</v>
          </cell>
        </row>
        <row r="556">
          <cell r="H556">
            <v>71.149184188620822</v>
          </cell>
        </row>
        <row r="557">
          <cell r="H557">
            <v>76.086559339912753</v>
          </cell>
        </row>
        <row r="558">
          <cell r="H558">
            <v>85.714771674595454</v>
          </cell>
        </row>
        <row r="582">
          <cell r="H582">
            <v>88.500299434478777</v>
          </cell>
        </row>
        <row r="583">
          <cell r="H583">
            <v>82.818961990568795</v>
          </cell>
        </row>
        <row r="584">
          <cell r="H584">
            <v>70.784128109960974</v>
          </cell>
        </row>
        <row r="585">
          <cell r="H585">
            <v>66.730466106778579</v>
          </cell>
        </row>
        <row r="586">
          <cell r="H586">
            <v>63.558266287249367</v>
          </cell>
        </row>
        <row r="587">
          <cell r="H587">
            <v>62.08217264399061</v>
          </cell>
        </row>
        <row r="588">
          <cell r="H588">
            <v>63.92030827433247</v>
          </cell>
        </row>
        <row r="589">
          <cell r="H589">
            <v>60.730696218885562</v>
          </cell>
        </row>
        <row r="590">
          <cell r="H590">
            <v>63.129839291018797</v>
          </cell>
        </row>
        <row r="591">
          <cell r="H591">
            <v>67.399650108779625</v>
          </cell>
        </row>
        <row r="592">
          <cell r="H592">
            <v>74.950053497758361</v>
          </cell>
        </row>
        <row r="593">
          <cell r="H593">
            <v>81.447158103938889</v>
          </cell>
        </row>
        <row r="594">
          <cell r="H594">
            <v>84.981826594222483</v>
          </cell>
        </row>
        <row r="618">
          <cell r="H618">
            <v>86.904713358166006</v>
          </cell>
        </row>
        <row r="619">
          <cell r="H619">
            <v>77.831603044410059</v>
          </cell>
        </row>
        <row r="620">
          <cell r="H620">
            <v>71.583459536593224</v>
          </cell>
        </row>
        <row r="621">
          <cell r="H621">
            <v>65.505185186216536</v>
          </cell>
        </row>
        <row r="622">
          <cell r="H622">
            <v>62.306163689807228</v>
          </cell>
        </row>
        <row r="623">
          <cell r="H623">
            <v>62.380066553592698</v>
          </cell>
        </row>
        <row r="624">
          <cell r="H624">
            <v>62.073462486390426</v>
          </cell>
        </row>
        <row r="625">
          <cell r="H625">
            <v>62.886999872331359</v>
          </cell>
        </row>
        <row r="626">
          <cell r="H626">
            <v>65.980311350113553</v>
          </cell>
        </row>
        <row r="627">
          <cell r="H627">
            <v>70.185833175268371</v>
          </cell>
        </row>
        <row r="628">
          <cell r="H628">
            <v>91.875379228323595</v>
          </cell>
        </row>
        <row r="629">
          <cell r="H629">
            <v>91.875379228323595</v>
          </cell>
        </row>
        <row r="630">
          <cell r="H630">
            <v>91.875379228323595</v>
          </cell>
        </row>
        <row r="654">
          <cell r="H654">
            <v>90.241980925036074</v>
          </cell>
        </row>
        <row r="655">
          <cell r="H655">
            <v>80.103857872245882</v>
          </cell>
        </row>
        <row r="656">
          <cell r="H656">
            <v>77.500110101760797</v>
          </cell>
        </row>
        <row r="657">
          <cell r="H657">
            <v>76.387818684939546</v>
          </cell>
        </row>
        <row r="658">
          <cell r="H658">
            <v>70.077599920313602</v>
          </cell>
        </row>
        <row r="659">
          <cell r="H659">
            <v>68.475182626420789</v>
          </cell>
        </row>
        <row r="660">
          <cell r="H660">
            <v>66.244302282615067</v>
          </cell>
        </row>
        <row r="661">
          <cell r="H661">
            <v>69.970660693764415</v>
          </cell>
        </row>
        <row r="662">
          <cell r="H662">
            <v>77.642024346794486</v>
          </cell>
        </row>
        <row r="663">
          <cell r="H663">
            <v>82.818961990568795</v>
          </cell>
        </row>
        <row r="664">
          <cell r="H664">
            <v>88.605217614752689</v>
          </cell>
        </row>
        <row r="665">
          <cell r="H665">
            <v>94.081459885738553</v>
          </cell>
        </row>
        <row r="666">
          <cell r="H666">
            <v>94.881722302512387</v>
          </cell>
        </row>
        <row r="690">
          <cell r="H690">
            <v>93.263970887488853</v>
          </cell>
        </row>
        <row r="691">
          <cell r="H691">
            <v>85.586225280384298</v>
          </cell>
        </row>
        <row r="692">
          <cell r="H692">
            <v>84.324261141767138</v>
          </cell>
        </row>
        <row r="693">
          <cell r="H693">
            <v>78.25704645822394</v>
          </cell>
        </row>
        <row r="694">
          <cell r="H694">
            <v>75.209916123495276</v>
          </cell>
        </row>
        <row r="695">
          <cell r="H695">
            <v>72.277949271841507</v>
          </cell>
        </row>
        <row r="696">
          <cell r="H696">
            <v>73.048735499062687</v>
          </cell>
        </row>
        <row r="697">
          <cell r="H697">
            <v>79.445777878107052</v>
          </cell>
        </row>
        <row r="698">
          <cell r="H698">
            <v>76.98787409945092</v>
          </cell>
        </row>
        <row r="699">
          <cell r="H699">
            <v>88.955108988785369</v>
          </cell>
        </row>
        <row r="700">
          <cell r="H700">
            <v>88.004060294142761</v>
          </cell>
        </row>
        <row r="701">
          <cell r="H701">
            <v>91.745353288692641</v>
          </cell>
        </row>
        <row r="702">
          <cell r="H702">
            <v>89.824877111856409</v>
          </cell>
        </row>
        <row r="726">
          <cell r="H726">
            <v>95.727061625973548</v>
          </cell>
        </row>
        <row r="727">
          <cell r="H727">
            <v>90.061668333449816</v>
          </cell>
        </row>
        <row r="728">
          <cell r="H728">
            <v>82.665948335567847</v>
          </cell>
        </row>
        <row r="729">
          <cell r="H729">
            <v>78.070462482466255</v>
          </cell>
        </row>
        <row r="730">
          <cell r="H730">
            <v>74.259747398537471</v>
          </cell>
        </row>
        <row r="731">
          <cell r="H731">
            <v>70.366823657378404</v>
          </cell>
        </row>
        <row r="732">
          <cell r="H732">
            <v>69.776989268096514</v>
          </cell>
        </row>
        <row r="733">
          <cell r="H733">
            <v>71.00714699271731</v>
          </cell>
        </row>
        <row r="734">
          <cell r="H734">
            <v>76.869444396317348</v>
          </cell>
        </row>
        <row r="735">
          <cell r="H735">
            <v>80.605071488961997</v>
          </cell>
        </row>
        <row r="736">
          <cell r="H736">
            <v>84.594400321721793</v>
          </cell>
        </row>
        <row r="737">
          <cell r="H737">
            <v>84.527934575684071</v>
          </cell>
        </row>
        <row r="738">
          <cell r="H738">
            <v>88.85779948974681</v>
          </cell>
        </row>
        <row r="762">
          <cell r="H762">
            <v>93.200183366846844</v>
          </cell>
        </row>
        <row r="763">
          <cell r="H763">
            <v>88.473710441923501</v>
          </cell>
        </row>
        <row r="764">
          <cell r="H764">
            <v>82.78101573578131</v>
          </cell>
        </row>
        <row r="765">
          <cell r="H765">
            <v>73.516201765591887</v>
          </cell>
        </row>
        <row r="766">
          <cell r="H766">
            <v>70.306804629940927</v>
          </cell>
        </row>
        <row r="767">
          <cell r="H767">
            <v>61.022571847580195</v>
          </cell>
        </row>
        <row r="768">
          <cell r="H768">
            <v>60.9586906336136</v>
          </cell>
        </row>
        <row r="769">
          <cell r="H769">
            <v>59.192953024821712</v>
          </cell>
        </row>
        <row r="770">
          <cell r="H770">
            <v>59.901258776394741</v>
          </cell>
        </row>
        <row r="771">
          <cell r="H771">
            <v>78.833844278754555</v>
          </cell>
        </row>
        <row r="772">
          <cell r="H772">
            <v>85.388113599959198</v>
          </cell>
        </row>
        <row r="773">
          <cell r="H773">
            <v>85.320624331577875</v>
          </cell>
        </row>
        <row r="774">
          <cell r="H774">
            <v>89.968515836458096</v>
          </cell>
        </row>
        <row r="798">
          <cell r="H798">
            <v>89.074999225570892</v>
          </cell>
        </row>
        <row r="799">
          <cell r="H799">
            <v>83.386946886828312</v>
          </cell>
        </row>
        <row r="800">
          <cell r="H800">
            <v>74.629085978676315</v>
          </cell>
        </row>
        <row r="801">
          <cell r="H801">
            <v>70.295635929820108</v>
          </cell>
        </row>
        <row r="802">
          <cell r="H802">
            <v>59.536539480181482</v>
          </cell>
        </row>
        <row r="803">
          <cell r="H803">
            <v>54.040370815581454</v>
          </cell>
        </row>
        <row r="804">
          <cell r="H804">
            <v>58.120518260315478</v>
          </cell>
        </row>
        <row r="805">
          <cell r="H805">
            <v>53.064296485626592</v>
          </cell>
        </row>
        <row r="806">
          <cell r="H806">
            <v>53.980166760396088</v>
          </cell>
        </row>
        <row r="807">
          <cell r="H807">
            <v>59.350053134906275</v>
          </cell>
        </row>
        <row r="808">
          <cell r="H808">
            <v>79.188979706999518</v>
          </cell>
        </row>
        <row r="809">
          <cell r="H809">
            <v>83.115365273761171</v>
          </cell>
        </row>
        <row r="810">
          <cell r="H810">
            <v>85.113759488939039</v>
          </cell>
        </row>
        <row r="834">
          <cell r="H834">
            <v>88.393064158060469</v>
          </cell>
        </row>
        <row r="835">
          <cell r="H835">
            <v>80.538517897156481</v>
          </cell>
        </row>
        <row r="836">
          <cell r="H836">
            <v>69.561733871083121</v>
          </cell>
        </row>
        <row r="837">
          <cell r="H837">
            <v>62.786899188970658</v>
          </cell>
        </row>
        <row r="838">
          <cell r="H838">
            <v>57.531256492189563</v>
          </cell>
        </row>
        <row r="839">
          <cell r="H839">
            <v>52.688087095741963</v>
          </cell>
        </row>
        <row r="840">
          <cell r="H840">
            <v>51.495292610480227</v>
          </cell>
        </row>
        <row r="841">
          <cell r="H841">
            <v>52.038438797484943</v>
          </cell>
        </row>
        <row r="842">
          <cell r="H842">
            <v>59.236831163292869</v>
          </cell>
        </row>
        <row r="843">
          <cell r="H843">
            <v>69.253651821422508</v>
          </cell>
        </row>
        <row r="844">
          <cell r="H844">
            <v>79.275467883729604</v>
          </cell>
        </row>
        <row r="845">
          <cell r="H845">
            <v>88.314849928226593</v>
          </cell>
        </row>
        <row r="846">
          <cell r="H846">
            <v>88.08362644659897</v>
          </cell>
        </row>
        <row r="870">
          <cell r="H870">
            <v>95.786751748067161</v>
          </cell>
        </row>
        <row r="871">
          <cell r="H871">
            <v>91.059085802206752</v>
          </cell>
        </row>
        <row r="872">
          <cell r="H872">
            <v>85.24291194509685</v>
          </cell>
        </row>
        <row r="873">
          <cell r="H873">
            <v>76.437114113345856</v>
          </cell>
        </row>
        <row r="874">
          <cell r="H874">
            <v>71.194305815514099</v>
          </cell>
        </row>
        <row r="875">
          <cell r="H875">
            <v>70.426534415240695</v>
          </cell>
        </row>
        <row r="876">
          <cell r="H876">
            <v>64.467119704332802</v>
          </cell>
        </row>
        <row r="877">
          <cell r="H877">
            <v>68.351235392666368</v>
          </cell>
        </row>
        <row r="878">
          <cell r="H878">
            <v>79.571225426028661</v>
          </cell>
        </row>
        <row r="879">
          <cell r="H879">
            <v>82.106146101297185</v>
          </cell>
        </row>
        <row r="880">
          <cell r="H880">
            <v>88.393064158060469</v>
          </cell>
        </row>
        <row r="881">
          <cell r="H881">
            <v>92.327520577119245</v>
          </cell>
        </row>
        <row r="882">
          <cell r="H882">
            <v>93.216262358074559</v>
          </cell>
        </row>
        <row r="906">
          <cell r="H906">
            <v>96.55917508812108</v>
          </cell>
        </row>
        <row r="907">
          <cell r="H907">
            <v>88.656828294001087</v>
          </cell>
        </row>
        <row r="908">
          <cell r="H908">
            <v>81.487578849068441</v>
          </cell>
        </row>
        <row r="909">
          <cell r="H909">
            <v>75.436041013344564</v>
          </cell>
        </row>
        <row r="910">
          <cell r="H910">
            <v>77.595485089323546</v>
          </cell>
        </row>
        <row r="911">
          <cell r="H911">
            <v>85.90249604768772</v>
          </cell>
        </row>
        <row r="912">
          <cell r="H912">
            <v>90.152804386413735</v>
          </cell>
        </row>
        <row r="913">
          <cell r="H913">
            <v>91.570732721093307</v>
          </cell>
        </row>
        <row r="914">
          <cell r="H914">
            <v>97.344952480933671</v>
          </cell>
        </row>
        <row r="915">
          <cell r="H915">
            <v>98.235473711331494</v>
          </cell>
        </row>
        <row r="916">
          <cell r="H916">
            <v>98.231145819080723</v>
          </cell>
        </row>
        <row r="917">
          <cell r="H917">
            <v>98.204660424735749</v>
          </cell>
        </row>
        <row r="918">
          <cell r="H918">
            <v>98.209137234323435</v>
          </cell>
        </row>
        <row r="942">
          <cell r="H942">
            <v>87.998499084757896</v>
          </cell>
        </row>
        <row r="943">
          <cell r="H943">
            <v>82.430151826947267</v>
          </cell>
        </row>
        <row r="944">
          <cell r="H944">
            <v>81.487578849068441</v>
          </cell>
        </row>
        <row r="945">
          <cell r="H945">
            <v>77.500110101760797</v>
          </cell>
        </row>
        <row r="946">
          <cell r="H946">
            <v>72.262295922601993</v>
          </cell>
        </row>
        <row r="947">
          <cell r="H947">
            <v>68.878309260549415</v>
          </cell>
        </row>
        <row r="948">
          <cell r="H948">
            <v>71.502977059275636</v>
          </cell>
        </row>
        <row r="949">
          <cell r="H949">
            <v>70.063602699831179</v>
          </cell>
        </row>
        <row r="950">
          <cell r="H950">
            <v>70.063602699831179</v>
          </cell>
        </row>
        <row r="951">
          <cell r="H951">
            <v>73.627425546942845</v>
          </cell>
        </row>
        <row r="952">
          <cell r="H952">
            <v>75.984004934121756</v>
          </cell>
        </row>
        <row r="953">
          <cell r="H953">
            <v>77.007783360974742</v>
          </cell>
        </row>
        <row r="954">
          <cell r="H954">
            <v>80.987934542814884</v>
          </cell>
        </row>
        <row r="978">
          <cell r="H978">
            <v>89.873288097977863</v>
          </cell>
        </row>
        <row r="979">
          <cell r="H979">
            <v>83.083191085074802</v>
          </cell>
        </row>
        <row r="980">
          <cell r="H980">
            <v>73.403801579739962</v>
          </cell>
        </row>
        <row r="981">
          <cell r="H981">
            <v>66.428989569440731</v>
          </cell>
        </row>
        <row r="982">
          <cell r="H982">
            <v>64.253726630839722</v>
          </cell>
        </row>
        <row r="983">
          <cell r="H983">
            <v>56.868629131746154</v>
          </cell>
        </row>
        <row r="984">
          <cell r="H984">
            <v>54.62525970368899</v>
          </cell>
        </row>
        <row r="985">
          <cell r="H985">
            <v>64.549111256689571</v>
          </cell>
        </row>
        <row r="986">
          <cell r="H986">
            <v>65.225911281245502</v>
          </cell>
        </row>
        <row r="987">
          <cell r="H987">
            <v>67.580321726852745</v>
          </cell>
        </row>
        <row r="988">
          <cell r="H988">
            <v>76.437114113345856</v>
          </cell>
        </row>
        <row r="989">
          <cell r="H989">
            <v>79.72607494692825</v>
          </cell>
        </row>
        <row r="990">
          <cell r="H990">
            <v>77.783062752468766</v>
          </cell>
        </row>
        <row r="1014">
          <cell r="H1014">
            <v>86.0467194673015</v>
          </cell>
        </row>
        <row r="1015">
          <cell r="H1015">
            <v>79.751570735784398</v>
          </cell>
        </row>
        <row r="1016">
          <cell r="H1016">
            <v>77.927909807003417</v>
          </cell>
        </row>
        <row r="1017">
          <cell r="H1017">
            <v>71.149184188620822</v>
          </cell>
        </row>
        <row r="1018">
          <cell r="H1018">
            <v>67.712139675672887</v>
          </cell>
        </row>
        <row r="1019">
          <cell r="H1019">
            <v>62.618462402108285</v>
          </cell>
        </row>
        <row r="1020">
          <cell r="H1020">
            <v>55.890143755702816</v>
          </cell>
        </row>
        <row r="1021">
          <cell r="H1021">
            <v>64.815566337493507</v>
          </cell>
        </row>
        <row r="1022">
          <cell r="H1022">
            <v>68.03578596278841</v>
          </cell>
        </row>
        <row r="1023">
          <cell r="H1023">
            <v>78.742699531414061</v>
          </cell>
        </row>
        <row r="1024">
          <cell r="H1024">
            <v>81.158079831414014</v>
          </cell>
        </row>
        <row r="1025">
          <cell r="H1025">
            <v>83.160372093864282</v>
          </cell>
        </row>
        <row r="1026">
          <cell r="H1026">
            <v>86.143233317917876</v>
          </cell>
        </row>
        <row r="1050">
          <cell r="H1050">
            <v>89.022905201295998</v>
          </cell>
        </row>
        <row r="1051">
          <cell r="H1051">
            <v>82.349831095541973</v>
          </cell>
        </row>
        <row r="1052">
          <cell r="H1052">
            <v>72.942100457355679</v>
          </cell>
        </row>
        <row r="1053">
          <cell r="H1053">
            <v>67.447127204143726</v>
          </cell>
        </row>
        <row r="1054">
          <cell r="H1054">
            <v>60.945438969294393</v>
          </cell>
        </row>
        <row r="1055">
          <cell r="H1055">
            <v>58.188289459069296</v>
          </cell>
        </row>
        <row r="1056">
          <cell r="H1056">
            <v>42.272912640710167</v>
          </cell>
        </row>
        <row r="1057">
          <cell r="H1057">
            <v>42.700610836063454</v>
          </cell>
        </row>
        <row r="1058">
          <cell r="H1058">
            <v>71.845967355719452</v>
          </cell>
        </row>
        <row r="1059">
          <cell r="H1059">
            <v>77.783258701669766</v>
          </cell>
        </row>
        <row r="1060">
          <cell r="H1060">
            <v>77.306313366446432</v>
          </cell>
        </row>
        <row r="1061">
          <cell r="H1061">
            <v>85.778016219296006</v>
          </cell>
        </row>
        <row r="1062">
          <cell r="H1062">
            <v>91.570732721093307</v>
          </cell>
        </row>
        <row r="1086">
          <cell r="H1086">
            <v>88.171370177668294</v>
          </cell>
        </row>
        <row r="1087">
          <cell r="H1087">
            <v>80.72567796841399</v>
          </cell>
        </row>
        <row r="1088">
          <cell r="H1088">
            <v>76.490431016735371</v>
          </cell>
        </row>
        <row r="1089">
          <cell r="H1089">
            <v>71.149184188620822</v>
          </cell>
        </row>
        <row r="1090">
          <cell r="H1090">
            <v>67.580321726852745</v>
          </cell>
        </row>
        <row r="1091">
          <cell r="H1091">
            <v>65.998048909915894</v>
          </cell>
        </row>
        <row r="1092">
          <cell r="H1092">
            <v>64.467119704332802</v>
          </cell>
        </row>
        <row r="1093">
          <cell r="H1093">
            <v>72.939842992423735</v>
          </cell>
        </row>
        <row r="1094">
          <cell r="H1094">
            <v>76.486153106181604</v>
          </cell>
        </row>
        <row r="1095">
          <cell r="H1095">
            <v>76.288451319675147</v>
          </cell>
        </row>
        <row r="1096">
          <cell r="H1096">
            <v>85.840587858319296</v>
          </cell>
        </row>
        <row r="1097">
          <cell r="H1097">
            <v>90.285851672166032</v>
          </cell>
        </row>
        <row r="1098">
          <cell r="H1098">
            <v>94.9996701525737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C3" t="str">
            <v>Mei 2022</v>
          </cell>
        </row>
      </sheetData>
      <sheetData sheetId="20">
        <row r="42">
          <cell r="C42" t="str">
            <v>Mengetahui,</v>
          </cell>
        </row>
      </sheetData>
      <sheetData sheetId="21"/>
      <sheetData sheetId="22">
        <row r="42">
          <cell r="C42" t="str">
            <v>Mengetahui,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e 45"/>
      <sheetName val="QAM1217"/>
      <sheetName val="QAM1823"/>
      <sheetName val="Sheet1"/>
      <sheetName val="data"/>
      <sheetName val="KURV.CLIM"/>
      <sheetName val="data untuk WXREV"/>
      <sheetName val="FKLIM12"/>
      <sheetName val="DATA FKLIM"/>
      <sheetName val="bank_data"/>
      <sheetName val="Angin"/>
      <sheetName val="VV"/>
      <sheetName val="TT"/>
      <sheetName val="Tw"/>
      <sheetName val="Td"/>
      <sheetName val="RH"/>
      <sheetName val="QFF"/>
      <sheetName val="QFE"/>
      <sheetName val="CH"/>
      <sheetName val="F-KLIM"/>
      <sheetName val="MTH"/>
      <sheetName val="eW"/>
      <sheetName val="Tab"/>
      <sheetName val="COVER"/>
      <sheetName val="KLIMAT"/>
    </sheetNames>
    <sheetDataSet>
      <sheetData sheetId="0">
        <row r="1">
          <cell r="AA1" t="str">
            <v>JUNI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e 45"/>
      <sheetName val="QAM1217"/>
      <sheetName val="QAM1823"/>
      <sheetName val="Sheet1"/>
      <sheetName val="data"/>
      <sheetName val="KURV.CLIM"/>
      <sheetName val="data untuk WXREV"/>
      <sheetName val="FKLIM12"/>
      <sheetName val="DATA FKLIM"/>
      <sheetName val="bank_data"/>
      <sheetName val="Angin"/>
      <sheetName val="VV"/>
      <sheetName val="TT"/>
      <sheetName val="Tw"/>
      <sheetName val="Td"/>
      <sheetName val="RH"/>
      <sheetName val="QFF"/>
      <sheetName val="QFE"/>
      <sheetName val="CH"/>
      <sheetName val="F-KLIM"/>
      <sheetName val="MTH"/>
      <sheetName val="eW"/>
      <sheetName val="Tab"/>
      <sheetName val="COVER"/>
      <sheetName val="KLIMAT"/>
    </sheetNames>
    <sheetDataSet>
      <sheetData sheetId="0">
        <row r="1">
          <cell r="AA1" t="str">
            <v>JULI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2:AB53"/>
  <sheetViews>
    <sheetView view="pageBreakPreview" zoomScale="118" zoomScaleNormal="100" zoomScaleSheetLayoutView="118" workbookViewId="0">
      <selection activeCell="U12" sqref="U12"/>
    </sheetView>
  </sheetViews>
  <sheetFormatPr defaultRowHeight="15" x14ac:dyDescent="0.25"/>
  <cols>
    <col min="1" max="28" width="5.7109375" customWidth="1"/>
  </cols>
  <sheetData>
    <row r="2" spans="1:28" x14ac:dyDescent="0.25">
      <c r="R2" s="1" t="s">
        <v>0</v>
      </c>
      <c r="T2" s="1"/>
      <c r="W2" s="1"/>
    </row>
    <row r="3" spans="1:28" x14ac:dyDescent="0.25">
      <c r="R3" s="1" t="s">
        <v>1</v>
      </c>
      <c r="T3" s="1" t="str">
        <f>'[1]1'!AA1</f>
        <v>JANUARI</v>
      </c>
      <c r="V3" s="2">
        <v>2022</v>
      </c>
      <c r="W3" s="1"/>
      <c r="Y3" s="59"/>
      <c r="Z3" s="59"/>
      <c r="AA3" s="2"/>
    </row>
    <row r="5" spans="1:2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4" t="s">
        <v>32</v>
      </c>
      <c r="AA5" s="4" t="s">
        <v>27</v>
      </c>
      <c r="AB5" s="4" t="s">
        <v>28</v>
      </c>
    </row>
    <row r="6" spans="1:28" x14ac:dyDescent="0.25">
      <c r="A6" s="5" t="s">
        <v>29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  <c r="P6" s="5">
        <v>15</v>
      </c>
      <c r="Q6" s="5">
        <v>16</v>
      </c>
      <c r="R6" s="5">
        <v>17</v>
      </c>
      <c r="S6" s="5">
        <v>18</v>
      </c>
      <c r="T6" s="5">
        <v>19</v>
      </c>
      <c r="U6" s="5">
        <v>20</v>
      </c>
      <c r="V6" s="5">
        <v>21</v>
      </c>
      <c r="W6" s="5">
        <v>22</v>
      </c>
      <c r="X6" s="5">
        <v>23</v>
      </c>
      <c r="Y6" s="5">
        <v>24</v>
      </c>
      <c r="Z6" s="5">
        <v>25</v>
      </c>
      <c r="AA6" s="5">
        <v>26</v>
      </c>
      <c r="AB6" s="5">
        <v>27</v>
      </c>
    </row>
    <row r="7" spans="1:28" x14ac:dyDescent="0.25">
      <c r="A7" s="6">
        <v>1</v>
      </c>
      <c r="B7" s="7">
        <v>82.588198229950223</v>
      </c>
      <c r="C7" s="7">
        <v>75.775603021681007</v>
      </c>
      <c r="D7" s="7">
        <v>66.900192873680993</v>
      </c>
      <c r="E7" s="7">
        <v>66.661614293760735</v>
      </c>
      <c r="F7" s="7">
        <v>61.320168699060616</v>
      </c>
      <c r="G7" s="7">
        <v>59.742484089310175</v>
      </c>
      <c r="H7" s="7">
        <v>67.447127204143726</v>
      </c>
      <c r="I7" s="7">
        <v>69.004717151586277</v>
      </c>
      <c r="J7" s="7">
        <v>72.492860597196724</v>
      </c>
      <c r="K7" s="7">
        <v>73.627425546942845</v>
      </c>
      <c r="L7" s="7">
        <v>78.650583612557497</v>
      </c>
      <c r="M7" s="7">
        <v>77.10835778197287</v>
      </c>
      <c r="N7" s="7">
        <v>79.841061697965984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7">
        <f>AVERAGE(B7:N7)</f>
        <v>71.627722676908419</v>
      </c>
      <c r="AA7" s="7">
        <f>MAX(B7:N7)</f>
        <v>82.588198229950223</v>
      </c>
      <c r="AB7" s="7">
        <f>MIN(B7:Y7)</f>
        <v>59.742484089310175</v>
      </c>
    </row>
    <row r="8" spans="1:28" x14ac:dyDescent="0.25">
      <c r="A8" s="9">
        <v>2</v>
      </c>
      <c r="B8" s="10">
        <v>94.163464436136877</v>
      </c>
      <c r="C8" s="10">
        <v>81.406521414660631</v>
      </c>
      <c r="D8" s="10">
        <v>74.790838423941608</v>
      </c>
      <c r="E8" s="10">
        <v>69.8152939061154</v>
      </c>
      <c r="F8" s="10">
        <v>69.34291301303891</v>
      </c>
      <c r="G8" s="10">
        <v>66.428989569440731</v>
      </c>
      <c r="H8" s="10">
        <v>67.971721534160309</v>
      </c>
      <c r="I8" s="10">
        <v>68.878309260549415</v>
      </c>
      <c r="J8" s="10">
        <v>72.378181491726195</v>
      </c>
      <c r="K8" s="10">
        <v>74.8972604533881</v>
      </c>
      <c r="L8" s="10">
        <v>75.278017067974289</v>
      </c>
      <c r="M8" s="10">
        <v>80.624211215301727</v>
      </c>
      <c r="N8" s="10">
        <v>84.914792630039202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0">
        <f t="shared" ref="Z8:Z34" si="0">AVERAGE(B8:N8)</f>
        <v>75.453116493574868</v>
      </c>
      <c r="AA8" s="10">
        <f t="shared" ref="AA8:AA34" si="1">MAX(B8:N8)</f>
        <v>94.163464436136877</v>
      </c>
      <c r="AB8" s="10">
        <f t="shared" ref="AB8:AB34" si="2">MIN(B8:Y8)</f>
        <v>66.428989569440731</v>
      </c>
    </row>
    <row r="9" spans="1:28" x14ac:dyDescent="0.25">
      <c r="A9" s="9">
        <v>3</v>
      </c>
      <c r="B9" s="10">
        <v>89.252861175848878</v>
      </c>
      <c r="C9" s="10">
        <v>84.042334277741404</v>
      </c>
      <c r="D9" s="10">
        <v>74.844083714500869</v>
      </c>
      <c r="E9" s="10">
        <v>73.985480335888511</v>
      </c>
      <c r="F9" s="10">
        <v>66.013057754206329</v>
      </c>
      <c r="G9" s="10">
        <v>63.742750164539494</v>
      </c>
      <c r="H9" s="10">
        <v>57.790496468272437</v>
      </c>
      <c r="I9" s="10">
        <v>58.047041138640054</v>
      </c>
      <c r="J9" s="10">
        <v>60.151797197992408</v>
      </c>
      <c r="K9" s="10">
        <v>66.900192873680993</v>
      </c>
      <c r="L9" s="10">
        <v>66.329633568275582</v>
      </c>
      <c r="M9" s="10">
        <v>73.897492943518245</v>
      </c>
      <c r="N9" s="10">
        <v>77.876992695799103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0">
        <f t="shared" si="0"/>
        <v>70.221093408377243</v>
      </c>
      <c r="AA9" s="10">
        <f t="shared" si="1"/>
        <v>89.252861175848878</v>
      </c>
      <c r="AB9" s="10">
        <f t="shared" si="2"/>
        <v>57.790496468272437</v>
      </c>
    </row>
    <row r="10" spans="1:28" x14ac:dyDescent="0.25">
      <c r="A10" s="9">
        <v>4</v>
      </c>
      <c r="B10" s="10">
        <v>80.174451946775193</v>
      </c>
      <c r="C10" s="10">
        <v>74.128057490557737</v>
      </c>
      <c r="D10" s="10">
        <v>70.784128109960974</v>
      </c>
      <c r="E10" s="10">
        <v>69.689179495833699</v>
      </c>
      <c r="F10" s="10">
        <v>64.37653120875278</v>
      </c>
      <c r="G10" s="10">
        <v>62.24177013835277</v>
      </c>
      <c r="H10" s="10">
        <v>66.765844771671453</v>
      </c>
      <c r="I10" s="10">
        <v>63.261821906483696</v>
      </c>
      <c r="J10" s="10">
        <v>61.39724798367007</v>
      </c>
      <c r="K10" s="10">
        <v>65.084089976587563</v>
      </c>
      <c r="L10" s="10">
        <v>68.958047938255689</v>
      </c>
      <c r="M10" s="10">
        <v>74.519814731536059</v>
      </c>
      <c r="N10" s="10">
        <v>79.010509396623206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0">
        <f t="shared" si="0"/>
        <v>69.260884238081616</v>
      </c>
      <c r="AA10" s="10">
        <f t="shared" si="1"/>
        <v>80.174451946775193</v>
      </c>
      <c r="AB10" s="10">
        <f t="shared" si="2"/>
        <v>61.39724798367007</v>
      </c>
    </row>
    <row r="11" spans="1:28" x14ac:dyDescent="0.25">
      <c r="A11" s="9">
        <v>5</v>
      </c>
      <c r="B11" s="10">
        <v>85.320624331577875</v>
      </c>
      <c r="C11" s="10">
        <v>73.646627416402168</v>
      </c>
      <c r="D11" s="10">
        <v>64.477474441055605</v>
      </c>
      <c r="E11" s="10">
        <v>57.175946208370831</v>
      </c>
      <c r="F11" s="10">
        <v>56.493445003113443</v>
      </c>
      <c r="G11" s="10">
        <v>57.362743557239149</v>
      </c>
      <c r="H11" s="10">
        <v>59.544256526856621</v>
      </c>
      <c r="I11" s="10">
        <v>57.113320009050803</v>
      </c>
      <c r="J11" s="10">
        <v>58.548277761608205</v>
      </c>
      <c r="K11" s="10">
        <v>58.215855691404158</v>
      </c>
      <c r="L11" s="10">
        <v>65.583841814763559</v>
      </c>
      <c r="M11" s="10">
        <v>64.125146742662523</v>
      </c>
      <c r="N11" s="10">
        <v>68.903870032636945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0">
        <f t="shared" si="0"/>
        <v>63.577802272057063</v>
      </c>
      <c r="AA11" s="10">
        <f t="shared" si="1"/>
        <v>85.320624331577875</v>
      </c>
      <c r="AB11" s="10">
        <f t="shared" si="2"/>
        <v>56.493445003113443</v>
      </c>
    </row>
    <row r="12" spans="1:28" x14ac:dyDescent="0.25">
      <c r="A12" s="9">
        <v>6</v>
      </c>
      <c r="B12" s="10">
        <v>83.672295453860002</v>
      </c>
      <c r="C12" s="10">
        <v>73.296724268708942</v>
      </c>
      <c r="D12" s="10">
        <v>62.501844359658676</v>
      </c>
      <c r="E12" s="10">
        <v>60.744979119168796</v>
      </c>
      <c r="F12" s="10">
        <v>58.047041138640054</v>
      </c>
      <c r="G12" s="10">
        <v>60.058413323373536</v>
      </c>
      <c r="H12" s="10">
        <v>58.366470092206576</v>
      </c>
      <c r="I12" s="10">
        <v>58.38292656417434</v>
      </c>
      <c r="J12" s="10">
        <v>60.313839144483104</v>
      </c>
      <c r="K12" s="10">
        <v>61.230544405257135</v>
      </c>
      <c r="L12" s="10">
        <v>66.900192873680993</v>
      </c>
      <c r="M12" s="10">
        <v>68.09153082700125</v>
      </c>
      <c r="N12" s="10">
        <v>69.171220515102988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0">
        <f t="shared" si="0"/>
        <v>64.675232468101257</v>
      </c>
      <c r="AA12" s="10">
        <f t="shared" si="1"/>
        <v>83.672295453860002</v>
      </c>
      <c r="AB12" s="10">
        <f t="shared" si="2"/>
        <v>58.047041138640054</v>
      </c>
    </row>
    <row r="13" spans="1:28" x14ac:dyDescent="0.25">
      <c r="A13" s="9">
        <v>7</v>
      </c>
      <c r="B13" s="10">
        <v>82.509603433418292</v>
      </c>
      <c r="C13" s="10">
        <v>71.540676129620792</v>
      </c>
      <c r="D13" s="10">
        <v>65.87148937682656</v>
      </c>
      <c r="E13" s="10">
        <v>62.63528567782356</v>
      </c>
      <c r="F13" s="10">
        <v>62.393615836263336</v>
      </c>
      <c r="G13" s="10">
        <v>64.607567227841869</v>
      </c>
      <c r="H13" s="10">
        <v>67.971721534160309</v>
      </c>
      <c r="I13" s="10">
        <v>62.766443326253274</v>
      </c>
      <c r="J13" s="10">
        <v>64.940785242956792</v>
      </c>
      <c r="K13" s="10">
        <v>67.561957351833584</v>
      </c>
      <c r="L13" s="10">
        <v>68.023695804104378</v>
      </c>
      <c r="M13" s="10">
        <v>73.703857651556206</v>
      </c>
      <c r="N13" s="10">
        <v>76.906124278850157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0">
        <f t="shared" si="0"/>
        <v>68.571755605500684</v>
      </c>
      <c r="AA13" s="10">
        <f t="shared" si="1"/>
        <v>82.509603433418292</v>
      </c>
      <c r="AB13" s="10">
        <f t="shared" si="2"/>
        <v>62.393615836263336</v>
      </c>
    </row>
    <row r="14" spans="1:28" x14ac:dyDescent="0.25">
      <c r="A14" s="9">
        <v>8</v>
      </c>
      <c r="B14" s="10">
        <v>85.252391550562905</v>
      </c>
      <c r="C14" s="10">
        <v>76.283935116749447</v>
      </c>
      <c r="D14" s="10">
        <v>62.571742246474706</v>
      </c>
      <c r="E14" s="10">
        <v>61.230544405257135</v>
      </c>
      <c r="F14" s="10">
        <v>56.858891937825497</v>
      </c>
      <c r="G14" s="10">
        <v>53.154807367449749</v>
      </c>
      <c r="H14" s="10">
        <v>52.225158709590701</v>
      </c>
      <c r="I14" s="10">
        <v>65.497454778462298</v>
      </c>
      <c r="J14" s="10">
        <v>60.058413323373536</v>
      </c>
      <c r="K14" s="10">
        <v>64.607567227841869</v>
      </c>
      <c r="L14" s="10">
        <v>71.268343418547644</v>
      </c>
      <c r="M14" s="10">
        <v>71.540676129620792</v>
      </c>
      <c r="N14" s="10">
        <v>81.073467546751985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0">
        <f t="shared" si="0"/>
        <v>66.278722596808322</v>
      </c>
      <c r="AA14" s="10">
        <f t="shared" si="1"/>
        <v>85.252391550562905</v>
      </c>
      <c r="AB14" s="10">
        <f t="shared" si="2"/>
        <v>52.225158709590701</v>
      </c>
    </row>
    <row r="15" spans="1:28" x14ac:dyDescent="0.25">
      <c r="A15" s="9">
        <v>9</v>
      </c>
      <c r="B15" s="10">
        <v>91.726372472715113</v>
      </c>
      <c r="C15" s="10">
        <v>81.406521414660631</v>
      </c>
      <c r="D15" s="10">
        <v>80.274456380418869</v>
      </c>
      <c r="E15" s="10">
        <v>77.595485089323546</v>
      </c>
      <c r="F15" s="10">
        <v>82.665948335567847</v>
      </c>
      <c r="G15" s="10">
        <v>75.488161722185069</v>
      </c>
      <c r="H15" s="10">
        <v>76.486153106181604</v>
      </c>
      <c r="I15" s="10">
        <v>73.00089443828621</v>
      </c>
      <c r="J15" s="10">
        <v>88.338556606876153</v>
      </c>
      <c r="K15" s="10">
        <v>87.785498780214084</v>
      </c>
      <c r="L15" s="10">
        <v>87.083169493220765</v>
      </c>
      <c r="M15" s="10">
        <v>90.219867449902509</v>
      </c>
      <c r="N15" s="10">
        <v>91.726372472715113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0">
        <f t="shared" si="0"/>
        <v>83.369035212482132</v>
      </c>
      <c r="AA15" s="10">
        <f t="shared" si="1"/>
        <v>91.726372472715113</v>
      </c>
      <c r="AB15" s="10">
        <f t="shared" si="2"/>
        <v>73.00089443828621</v>
      </c>
    </row>
    <row r="16" spans="1:28" x14ac:dyDescent="0.25">
      <c r="A16" s="9">
        <v>10</v>
      </c>
      <c r="B16" s="10">
        <v>95.633732962451376</v>
      </c>
      <c r="C16" s="10">
        <v>91.530740973431563</v>
      </c>
      <c r="D16" s="10">
        <v>86.300618759302623</v>
      </c>
      <c r="E16" s="10">
        <v>76.035417744881727</v>
      </c>
      <c r="F16" s="10">
        <v>67.765488009594236</v>
      </c>
      <c r="G16" s="10">
        <v>66.291787562703647</v>
      </c>
      <c r="H16" s="10">
        <v>65.087867682171279</v>
      </c>
      <c r="I16" s="10">
        <v>59.901258776394741</v>
      </c>
      <c r="J16" s="10">
        <v>88.707884038296882</v>
      </c>
      <c r="K16" s="10">
        <v>91.610285518898209</v>
      </c>
      <c r="L16" s="10">
        <v>91.838728868182031</v>
      </c>
      <c r="M16" s="10">
        <v>91.838728868182031</v>
      </c>
      <c r="N16" s="10">
        <v>91.875379228323595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>
        <f t="shared" si="0"/>
        <v>81.878301460985682</v>
      </c>
      <c r="AA16" s="10">
        <f t="shared" si="1"/>
        <v>95.633732962451376</v>
      </c>
      <c r="AB16" s="10">
        <f t="shared" si="2"/>
        <v>59.901258776394741</v>
      </c>
    </row>
    <row r="17" spans="1:28" x14ac:dyDescent="0.25">
      <c r="A17" s="9">
        <v>11</v>
      </c>
      <c r="B17" s="10">
        <v>91.68809926880499</v>
      </c>
      <c r="C17" s="10">
        <v>80.538517897156481</v>
      </c>
      <c r="D17" s="10">
        <v>76.086559339912753</v>
      </c>
      <c r="E17" s="10">
        <v>71.936121520927685</v>
      </c>
      <c r="F17" s="10">
        <v>70.185833175268371</v>
      </c>
      <c r="G17" s="10">
        <v>70.603838257377262</v>
      </c>
      <c r="H17" s="10">
        <v>71.732809990983498</v>
      </c>
      <c r="I17" s="10">
        <v>67.712139675672887</v>
      </c>
      <c r="J17" s="10">
        <v>93.387427765218007</v>
      </c>
      <c r="K17" s="10">
        <v>96.509206044790147</v>
      </c>
      <c r="L17" s="10">
        <v>98.256753770221422</v>
      </c>
      <c r="M17" s="10">
        <v>98.256753770221422</v>
      </c>
      <c r="N17" s="10">
        <v>98.256753770221422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>
        <f t="shared" si="0"/>
        <v>83.473139557444341</v>
      </c>
      <c r="AA17" s="10">
        <f t="shared" si="1"/>
        <v>98.256753770221422</v>
      </c>
      <c r="AB17" s="10">
        <f t="shared" si="2"/>
        <v>67.712139675672887</v>
      </c>
    </row>
    <row r="18" spans="1:28" x14ac:dyDescent="0.25">
      <c r="A18" s="9">
        <v>12</v>
      </c>
      <c r="B18" s="10">
        <v>91.49030389721446</v>
      </c>
      <c r="C18" s="10">
        <v>88.338556606876153</v>
      </c>
      <c r="D18" s="10">
        <v>84.113958008242946</v>
      </c>
      <c r="E18" s="10">
        <v>77.306313366446432</v>
      </c>
      <c r="F18" s="10">
        <v>74.259747398537471</v>
      </c>
      <c r="G18" s="10">
        <v>67.580321726852745</v>
      </c>
      <c r="H18" s="10">
        <v>64.325223913221464</v>
      </c>
      <c r="I18" s="10">
        <v>99.124695531497125</v>
      </c>
      <c r="J18" s="10">
        <v>99.124695531497125</v>
      </c>
      <c r="K18" s="10">
        <v>99.143243889871641</v>
      </c>
      <c r="L18" s="10">
        <v>98.293601843359184</v>
      </c>
      <c r="M18" s="10">
        <v>98.293601843359184</v>
      </c>
      <c r="N18" s="10">
        <v>98.293601843359184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>
        <f t="shared" si="0"/>
        <v>87.668297338487321</v>
      </c>
      <c r="AA18" s="10">
        <f t="shared" si="1"/>
        <v>99.143243889871641</v>
      </c>
      <c r="AB18" s="10">
        <f t="shared" si="2"/>
        <v>64.325223913221464</v>
      </c>
    </row>
    <row r="19" spans="1:28" x14ac:dyDescent="0.25">
      <c r="A19" s="9">
        <v>13</v>
      </c>
      <c r="B19" s="10">
        <v>96.542703442597727</v>
      </c>
      <c r="C19" s="10">
        <v>93.248155485521622</v>
      </c>
      <c r="D19" s="10">
        <v>82.349831095541973</v>
      </c>
      <c r="E19" s="10">
        <v>83.424000157422981</v>
      </c>
      <c r="F19" s="10">
        <v>79.973511654213979</v>
      </c>
      <c r="G19" s="10">
        <v>74.790838423941608</v>
      </c>
      <c r="H19" s="10">
        <v>65.656324163191087</v>
      </c>
      <c r="I19" s="10">
        <v>69.468545417964251</v>
      </c>
      <c r="J19" s="10">
        <v>74.42088280638572</v>
      </c>
      <c r="K19" s="10">
        <v>80.274456380418869</v>
      </c>
      <c r="L19" s="10">
        <v>85.11365227039191</v>
      </c>
      <c r="M19" s="10">
        <v>88.171370177668294</v>
      </c>
      <c r="N19" s="10">
        <v>89.775924385931475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>
        <f t="shared" si="0"/>
        <v>81.785399681630125</v>
      </c>
      <c r="AA19" s="10">
        <f t="shared" si="1"/>
        <v>96.542703442597727</v>
      </c>
      <c r="AB19" s="10">
        <f t="shared" si="2"/>
        <v>65.656324163191087</v>
      </c>
    </row>
    <row r="20" spans="1:28" x14ac:dyDescent="0.25">
      <c r="A20" s="9">
        <v>14</v>
      </c>
      <c r="B20" s="10">
        <v>91.49030389721446</v>
      </c>
      <c r="C20" s="10">
        <v>88.393064158060469</v>
      </c>
      <c r="D20" s="10">
        <v>85.650844615991446</v>
      </c>
      <c r="E20" s="10">
        <v>70.659857015026191</v>
      </c>
      <c r="F20" s="10">
        <v>65.43590651116466</v>
      </c>
      <c r="G20" s="10">
        <v>53.26321110968054</v>
      </c>
      <c r="H20" s="10">
        <v>55.719153950358233</v>
      </c>
      <c r="I20" s="10">
        <v>65.355012409298482</v>
      </c>
      <c r="J20" s="10">
        <v>65.020417112259793</v>
      </c>
      <c r="K20" s="10">
        <v>68.162933559853499</v>
      </c>
      <c r="L20" s="10">
        <v>65.437720093376825</v>
      </c>
      <c r="M20" s="10">
        <v>70.902869457656209</v>
      </c>
      <c r="N20" s="10">
        <v>74.838155669108346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>
        <f t="shared" si="0"/>
        <v>70.79457304300378</v>
      </c>
      <c r="AA20" s="10">
        <f t="shared" si="1"/>
        <v>91.49030389721446</v>
      </c>
      <c r="AB20" s="10">
        <f t="shared" si="2"/>
        <v>53.26321110968054</v>
      </c>
    </row>
    <row r="21" spans="1:28" x14ac:dyDescent="0.25">
      <c r="A21" s="9">
        <v>15</v>
      </c>
      <c r="B21" s="10">
        <v>89.227869660164401</v>
      </c>
      <c r="C21" s="10">
        <v>76.439220295820519</v>
      </c>
      <c r="D21" s="10">
        <v>68.750583528774655</v>
      </c>
      <c r="E21" s="10">
        <v>65.505185186216536</v>
      </c>
      <c r="F21" s="10">
        <v>60.499189001579424</v>
      </c>
      <c r="G21" s="10">
        <v>56.868629131746154</v>
      </c>
      <c r="H21" s="10">
        <v>58.447618062786887</v>
      </c>
      <c r="I21" s="10">
        <v>66.564776169429933</v>
      </c>
      <c r="J21" s="10">
        <v>68.750583528774655</v>
      </c>
      <c r="K21" s="10">
        <v>73.627425546942845</v>
      </c>
      <c r="L21" s="10">
        <v>81.406521414660631</v>
      </c>
      <c r="M21" s="10">
        <v>81.406521414660631</v>
      </c>
      <c r="N21" s="10">
        <v>82.588198229950223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>
        <f t="shared" si="0"/>
        <v>71.544793936269798</v>
      </c>
      <c r="AA21" s="10">
        <f t="shared" si="1"/>
        <v>89.227869660164401</v>
      </c>
      <c r="AB21" s="10">
        <f t="shared" si="2"/>
        <v>56.868629131746154</v>
      </c>
    </row>
    <row r="22" spans="1:28" x14ac:dyDescent="0.25">
      <c r="A22" s="9">
        <v>16</v>
      </c>
      <c r="B22" s="10">
        <v>79.751570735784398</v>
      </c>
      <c r="C22" s="10">
        <v>67.493394844692162</v>
      </c>
      <c r="D22" s="10">
        <v>64.081480385163289</v>
      </c>
      <c r="E22" s="10">
        <v>60.92873461851174</v>
      </c>
      <c r="F22" s="10">
        <v>54.040370815581454</v>
      </c>
      <c r="G22" s="10">
        <v>53.803662064775494</v>
      </c>
      <c r="H22" s="10">
        <v>58.188289459069296</v>
      </c>
      <c r="I22" s="10">
        <v>63.521896516560453</v>
      </c>
      <c r="J22" s="10">
        <v>67.842600044991912</v>
      </c>
      <c r="K22" s="10">
        <v>76.288451319675147</v>
      </c>
      <c r="L22" s="10">
        <v>76.188036463966284</v>
      </c>
      <c r="M22" s="10">
        <v>78.833844278754555</v>
      </c>
      <c r="N22" s="10">
        <v>80.103857872245882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>
        <f t="shared" si="0"/>
        <v>67.774322263059375</v>
      </c>
      <c r="AA22" s="10">
        <f t="shared" si="1"/>
        <v>80.103857872245882</v>
      </c>
      <c r="AB22" s="10">
        <f t="shared" si="2"/>
        <v>53.803662064775494</v>
      </c>
    </row>
    <row r="23" spans="1:28" x14ac:dyDescent="0.25">
      <c r="A23" s="9">
        <v>17</v>
      </c>
      <c r="B23" s="10">
        <v>92.417861155998366</v>
      </c>
      <c r="C23" s="10">
        <v>87.083169493220765</v>
      </c>
      <c r="D23" s="10">
        <v>79.420482251728856</v>
      </c>
      <c r="E23" s="10">
        <v>73.403801579739962</v>
      </c>
      <c r="F23" s="10">
        <v>70.185833175268371</v>
      </c>
      <c r="G23" s="10">
        <v>70.426534415240695</v>
      </c>
      <c r="H23" s="10">
        <v>64.948522456820541</v>
      </c>
      <c r="I23" s="10">
        <v>67.777538382204497</v>
      </c>
      <c r="J23" s="10">
        <v>78.916684137955912</v>
      </c>
      <c r="K23" s="10">
        <v>77.97739324005515</v>
      </c>
      <c r="L23" s="10">
        <v>78.531036461305234</v>
      </c>
      <c r="M23" s="10">
        <v>77.672865172438989</v>
      </c>
      <c r="N23" s="10">
        <v>83.595822687883285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>
        <f>AVERAGE(B23:N23)</f>
        <v>77.104426508450814</v>
      </c>
      <c r="AA23" s="10">
        <f t="shared" si="1"/>
        <v>92.417861155998366</v>
      </c>
      <c r="AB23" s="10">
        <f t="shared" si="2"/>
        <v>64.948522456820541</v>
      </c>
    </row>
    <row r="24" spans="1:28" x14ac:dyDescent="0.25">
      <c r="A24" s="9">
        <v>18</v>
      </c>
      <c r="B24" s="10">
        <v>84.424654208509068</v>
      </c>
      <c r="C24" s="10">
        <v>86.331586264172358</v>
      </c>
      <c r="D24" s="10">
        <v>80.103857872245882</v>
      </c>
      <c r="E24" s="10">
        <v>71.02877367431519</v>
      </c>
      <c r="F24" s="10">
        <v>71.02010642452916</v>
      </c>
      <c r="G24" s="10">
        <v>64.133116922887794</v>
      </c>
      <c r="H24" s="10">
        <v>65.430056266091114</v>
      </c>
      <c r="I24" s="10">
        <v>55.833675923694635</v>
      </c>
      <c r="J24" s="10">
        <v>69.940095578184994</v>
      </c>
      <c r="K24" s="10">
        <v>80.901467602170015</v>
      </c>
      <c r="L24" s="10">
        <v>85.183404505612287</v>
      </c>
      <c r="M24" s="10">
        <v>83.51850038326964</v>
      </c>
      <c r="N24" s="10">
        <v>86.529677058073943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>
        <f t="shared" si="0"/>
        <v>75.721459437212005</v>
      </c>
      <c r="AA24" s="10">
        <f t="shared" si="1"/>
        <v>86.529677058073943</v>
      </c>
      <c r="AB24" s="10">
        <f t="shared" si="2"/>
        <v>55.833675923694635</v>
      </c>
    </row>
    <row r="25" spans="1:28" x14ac:dyDescent="0.25">
      <c r="A25" s="9">
        <v>19</v>
      </c>
      <c r="B25" s="10">
        <v>91.49030389721446</v>
      </c>
      <c r="C25" s="10">
        <v>85.388113599959198</v>
      </c>
      <c r="D25" s="10">
        <v>77.10835778197287</v>
      </c>
      <c r="E25" s="10">
        <v>72.145186899335471</v>
      </c>
      <c r="F25" s="10">
        <v>70.185833175268371</v>
      </c>
      <c r="G25" s="10">
        <v>65.43590651116466</v>
      </c>
      <c r="H25" s="10">
        <v>71.732809990983498</v>
      </c>
      <c r="I25" s="10">
        <v>70.246475189369832</v>
      </c>
      <c r="J25" s="10">
        <v>76.162807368920355</v>
      </c>
      <c r="K25" s="10">
        <v>84.778538554989979</v>
      </c>
      <c r="L25" s="10">
        <v>85.454869935021705</v>
      </c>
      <c r="M25" s="10">
        <v>91.649405643001401</v>
      </c>
      <c r="N25" s="10">
        <v>92.417861155998366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>
        <f t="shared" si="0"/>
        <v>79.553574592553858</v>
      </c>
      <c r="AA25" s="10">
        <f t="shared" si="1"/>
        <v>92.417861155998366</v>
      </c>
      <c r="AB25" s="10">
        <f t="shared" si="2"/>
        <v>65.43590651116466</v>
      </c>
    </row>
    <row r="26" spans="1:28" x14ac:dyDescent="0.25">
      <c r="A26" s="9">
        <v>20</v>
      </c>
      <c r="B26" s="10">
        <v>94.857344951335847</v>
      </c>
      <c r="C26" s="10">
        <v>89.991996185280414</v>
      </c>
      <c r="D26" s="10">
        <v>87.083169493220765</v>
      </c>
      <c r="E26" s="10">
        <v>81.447158103938889</v>
      </c>
      <c r="F26" s="10">
        <v>76.742438575393706</v>
      </c>
      <c r="G26" s="10">
        <v>73.627425546942845</v>
      </c>
      <c r="H26" s="10">
        <v>71.907229173052954</v>
      </c>
      <c r="I26" s="10">
        <v>82.109828168016591</v>
      </c>
      <c r="J26" s="10">
        <v>87.841028577988951</v>
      </c>
      <c r="K26" s="10">
        <v>90.084639133086171</v>
      </c>
      <c r="L26" s="10">
        <v>90.787917811380879</v>
      </c>
      <c r="M26" s="10">
        <v>93.101814744269959</v>
      </c>
      <c r="N26" s="10">
        <v>97.305044971261651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>
        <f t="shared" si="0"/>
        <v>85.914387341166901</v>
      </c>
      <c r="AA26" s="10">
        <f t="shared" si="1"/>
        <v>97.305044971261651</v>
      </c>
      <c r="AB26" s="10">
        <f t="shared" si="2"/>
        <v>71.907229173052954</v>
      </c>
    </row>
    <row r="27" spans="1:28" x14ac:dyDescent="0.25">
      <c r="A27" s="9">
        <v>21</v>
      </c>
      <c r="B27" s="10">
        <v>94.820268572023863</v>
      </c>
      <c r="C27" s="10">
        <v>86.23817780941161</v>
      </c>
      <c r="D27" s="10">
        <v>75.72280511350607</v>
      </c>
      <c r="E27" s="10">
        <v>70.845773166653117</v>
      </c>
      <c r="F27" s="10">
        <v>67.31253681304905</v>
      </c>
      <c r="G27" s="10">
        <v>65.155184770327764</v>
      </c>
      <c r="H27" s="10">
        <v>70.366823657378404</v>
      </c>
      <c r="I27" s="10">
        <v>65.296272058668848</v>
      </c>
      <c r="J27" s="10">
        <v>72.262295922601993</v>
      </c>
      <c r="K27" s="10">
        <v>77.403724295248693</v>
      </c>
      <c r="L27" s="10">
        <v>81.406521414660631</v>
      </c>
      <c r="M27" s="10">
        <v>82.742865676712952</v>
      </c>
      <c r="N27" s="10">
        <v>85.520903747080652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>
        <f t="shared" si="0"/>
        <v>76.545704078255667</v>
      </c>
      <c r="AA27" s="10">
        <f t="shared" si="1"/>
        <v>94.820268572023863</v>
      </c>
      <c r="AB27" s="10">
        <f t="shared" si="2"/>
        <v>65.155184770327764</v>
      </c>
    </row>
    <row r="28" spans="1:28" x14ac:dyDescent="0.25">
      <c r="A28" s="9">
        <v>22</v>
      </c>
      <c r="B28" s="10">
        <v>86.782450820642936</v>
      </c>
      <c r="C28" s="10">
        <v>78.821838961493469</v>
      </c>
      <c r="D28" s="10">
        <v>70.534262536178971</v>
      </c>
      <c r="E28" s="10">
        <v>68.491104410455307</v>
      </c>
      <c r="F28" s="10">
        <v>69.8152939061154</v>
      </c>
      <c r="G28" s="10">
        <v>65.155184770327764</v>
      </c>
      <c r="H28" s="10">
        <v>68.878309260549415</v>
      </c>
      <c r="I28" s="10">
        <v>68.750583528774655</v>
      </c>
      <c r="J28" s="10">
        <v>72.262295922601993</v>
      </c>
      <c r="K28" s="10">
        <v>74.790838423941608</v>
      </c>
      <c r="L28" s="10">
        <v>75.984004934121756</v>
      </c>
      <c r="M28" s="10">
        <v>77.10835778197287</v>
      </c>
      <c r="N28" s="10">
        <v>79.661111093631618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>
        <f t="shared" si="0"/>
        <v>73.618125873139064</v>
      </c>
      <c r="AA28" s="10">
        <f t="shared" si="1"/>
        <v>86.782450820642936</v>
      </c>
      <c r="AB28" s="10">
        <f t="shared" si="2"/>
        <v>65.155184770327764</v>
      </c>
    </row>
    <row r="29" spans="1:28" x14ac:dyDescent="0.25">
      <c r="A29" s="9">
        <v>23</v>
      </c>
      <c r="B29" s="10">
        <v>94.881722302512387</v>
      </c>
      <c r="C29" s="10">
        <v>92.5057490985333</v>
      </c>
      <c r="D29" s="10">
        <v>91.783007040704518</v>
      </c>
      <c r="E29" s="10">
        <v>86.543747123845904</v>
      </c>
      <c r="F29" s="10">
        <v>78.833844278754555</v>
      </c>
      <c r="G29" s="10">
        <v>75.002570485722643</v>
      </c>
      <c r="H29" s="10">
        <v>76.486153106181604</v>
      </c>
      <c r="I29" s="10">
        <v>72.108361551714822</v>
      </c>
      <c r="J29" s="10">
        <v>72.718666055923123</v>
      </c>
      <c r="K29" s="10">
        <v>71.386268690121071</v>
      </c>
      <c r="L29" s="10">
        <v>75.278017067974289</v>
      </c>
      <c r="M29" s="10">
        <v>80.792874044966894</v>
      </c>
      <c r="N29" s="10">
        <v>84.149480987485191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>
        <f t="shared" si="0"/>
        <v>80.959266294956933</v>
      </c>
      <c r="AA29" s="10">
        <f t="shared" si="1"/>
        <v>94.881722302512387</v>
      </c>
      <c r="AB29" s="10">
        <f t="shared" si="2"/>
        <v>71.386268690121071</v>
      </c>
    </row>
    <row r="30" spans="1:28" x14ac:dyDescent="0.25">
      <c r="A30" s="9">
        <v>24</v>
      </c>
      <c r="B30" s="10">
        <v>86.994669754784013</v>
      </c>
      <c r="C30" s="10">
        <v>83.606312334340274</v>
      </c>
      <c r="D30" s="10">
        <v>69.980083663783901</v>
      </c>
      <c r="E30" s="10">
        <v>65.509690792051828</v>
      </c>
      <c r="F30" s="10">
        <v>60.55375970459901</v>
      </c>
      <c r="G30" s="10">
        <v>58.46581563659592</v>
      </c>
      <c r="H30" s="10">
        <v>62.306163689807228</v>
      </c>
      <c r="I30" s="10">
        <v>61.251613915834604</v>
      </c>
      <c r="J30" s="10">
        <v>65.43590651116466</v>
      </c>
      <c r="K30" s="10">
        <v>66.564776169429933</v>
      </c>
      <c r="L30" s="10">
        <v>73.627425546942845</v>
      </c>
      <c r="M30" s="10">
        <v>75.984004934121756</v>
      </c>
      <c r="N30" s="10">
        <v>82.665948335567847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>
        <f t="shared" si="0"/>
        <v>70.226628537617202</v>
      </c>
      <c r="AA30" s="10">
        <f t="shared" si="1"/>
        <v>86.994669754784013</v>
      </c>
      <c r="AB30" s="10">
        <f t="shared" si="2"/>
        <v>58.46581563659592</v>
      </c>
    </row>
    <row r="31" spans="1:28" x14ac:dyDescent="0.25">
      <c r="A31" s="9">
        <v>25</v>
      </c>
      <c r="B31" s="10">
        <v>79.661111093631618</v>
      </c>
      <c r="C31" s="10">
        <v>73.817406044593596</v>
      </c>
      <c r="D31" s="10">
        <v>65.012624330656905</v>
      </c>
      <c r="E31" s="10">
        <v>61.39724798367007</v>
      </c>
      <c r="F31" s="10">
        <v>57.698044088409048</v>
      </c>
      <c r="G31" s="10">
        <v>56.292842004429843</v>
      </c>
      <c r="H31" s="10">
        <v>53.714733983422406</v>
      </c>
      <c r="I31" s="10">
        <v>60.163373469332562</v>
      </c>
      <c r="J31" s="10">
        <v>63.92030827433247</v>
      </c>
      <c r="K31" s="10">
        <v>71.136536964193937</v>
      </c>
      <c r="L31" s="10">
        <v>75.209916123495276</v>
      </c>
      <c r="M31" s="10">
        <v>80.141255441717902</v>
      </c>
      <c r="N31" s="10">
        <v>82.268628724785273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>
        <f t="shared" si="0"/>
        <v>67.72569450205161</v>
      </c>
      <c r="AA31" s="10">
        <f t="shared" si="1"/>
        <v>82.268628724785273</v>
      </c>
      <c r="AB31" s="10">
        <f t="shared" si="2"/>
        <v>53.714733983422406</v>
      </c>
    </row>
    <row r="32" spans="1:28" x14ac:dyDescent="0.25">
      <c r="A32" s="9">
        <v>26</v>
      </c>
      <c r="B32" s="10">
        <v>88.473710441923501</v>
      </c>
      <c r="C32" s="10">
        <v>83.570239157393459</v>
      </c>
      <c r="D32" s="10">
        <v>72.378181491726195</v>
      </c>
      <c r="E32" s="10">
        <v>70.426534415240695</v>
      </c>
      <c r="F32" s="10">
        <v>66.96383709646085</v>
      </c>
      <c r="G32" s="10">
        <v>66.112975506451193</v>
      </c>
      <c r="H32" s="10">
        <v>65.155266973800323</v>
      </c>
      <c r="I32" s="10">
        <v>74.940208557606681</v>
      </c>
      <c r="J32" s="10">
        <v>90.498296070254241</v>
      </c>
      <c r="K32" s="10">
        <v>90.518926294960025</v>
      </c>
      <c r="L32" s="10">
        <v>94.881722302512387</v>
      </c>
      <c r="M32" s="10">
        <v>98.239777411123399</v>
      </c>
      <c r="N32" s="10">
        <v>97.389840276211174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>
        <f t="shared" si="0"/>
        <v>81.503808922743389</v>
      </c>
      <c r="AA32" s="10">
        <f t="shared" si="1"/>
        <v>98.239777411123399</v>
      </c>
      <c r="AB32" s="10">
        <f t="shared" si="2"/>
        <v>65.155266973800323</v>
      </c>
    </row>
    <row r="33" spans="1:28" x14ac:dyDescent="0.25">
      <c r="A33" s="9">
        <v>27</v>
      </c>
      <c r="B33" s="10">
        <v>90.873410030060825</v>
      </c>
      <c r="C33" s="10">
        <v>87.170243439315868</v>
      </c>
      <c r="D33" s="10">
        <v>77.355147873973394</v>
      </c>
      <c r="E33" s="10">
        <v>71.327459226856419</v>
      </c>
      <c r="F33" s="10">
        <v>65.574108128065092</v>
      </c>
      <c r="G33" s="10">
        <v>63.848642748405368</v>
      </c>
      <c r="H33" s="10">
        <v>66.96383709646085</v>
      </c>
      <c r="I33" s="10">
        <v>72.718666055923123</v>
      </c>
      <c r="J33" s="10">
        <v>81.80335062722672</v>
      </c>
      <c r="K33" s="10">
        <v>86.024359156205279</v>
      </c>
      <c r="L33" s="10">
        <v>87.423208278318512</v>
      </c>
      <c r="M33" s="10">
        <v>91.947511069393769</v>
      </c>
      <c r="N33" s="10">
        <v>89.968515836458096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>
        <f t="shared" si="0"/>
        <v>79.461419966666412</v>
      </c>
      <c r="AA33" s="10">
        <f t="shared" si="1"/>
        <v>91.947511069393769</v>
      </c>
      <c r="AB33" s="10">
        <f t="shared" si="2"/>
        <v>63.848642748405368</v>
      </c>
    </row>
    <row r="34" spans="1:28" x14ac:dyDescent="0.25">
      <c r="A34" s="9">
        <v>28</v>
      </c>
      <c r="B34" s="10">
        <v>90.061668333449816</v>
      </c>
      <c r="C34" s="10">
        <v>85.586225280384298</v>
      </c>
      <c r="D34" s="10">
        <v>84.254910681262245</v>
      </c>
      <c r="E34" s="10">
        <v>75.591583817912351</v>
      </c>
      <c r="F34" s="10">
        <v>75.26108138606412</v>
      </c>
      <c r="G34" s="10">
        <v>70.545039613137973</v>
      </c>
      <c r="H34" s="10">
        <v>65.43590651116466</v>
      </c>
      <c r="I34" s="10">
        <v>68.878309260549415</v>
      </c>
      <c r="J34" s="10">
        <v>73.627425546942845</v>
      </c>
      <c r="K34" s="10">
        <v>78.742699531414061</v>
      </c>
      <c r="L34" s="10">
        <v>85.714771674595454</v>
      </c>
      <c r="M34" s="10">
        <v>85.714771674595454</v>
      </c>
      <c r="N34" s="10">
        <v>84.042334277741404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>
        <f t="shared" si="0"/>
        <v>78.727440583785693</v>
      </c>
      <c r="AA34" s="10">
        <f t="shared" si="1"/>
        <v>90.061668333449816</v>
      </c>
      <c r="AB34" s="10">
        <f t="shared" si="2"/>
        <v>65.43590651116466</v>
      </c>
    </row>
    <row r="35" spans="1:28" x14ac:dyDescent="0.25">
      <c r="A35" s="39">
        <v>29</v>
      </c>
      <c r="B35" s="40">
        <v>89.89729287406746</v>
      </c>
      <c r="C35" s="40">
        <v>86.964847685921953</v>
      </c>
      <c r="D35" s="40">
        <v>79.796436443991382</v>
      </c>
      <c r="E35" s="40">
        <v>65.800145285813329</v>
      </c>
      <c r="F35" s="40">
        <v>63.631422711503951</v>
      </c>
      <c r="G35" s="40">
        <v>62.380066553592698</v>
      </c>
      <c r="H35" s="40">
        <v>62.146701580153895</v>
      </c>
      <c r="I35" s="40">
        <v>66.112975506451193</v>
      </c>
      <c r="J35" s="40">
        <v>66.20199092413057</v>
      </c>
      <c r="K35" s="40">
        <v>72.492860597196724</v>
      </c>
      <c r="L35" s="40">
        <v>74.150906799894273</v>
      </c>
      <c r="M35" s="40">
        <v>75.984004934121756</v>
      </c>
      <c r="N35" s="40">
        <v>80.792874044966894</v>
      </c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10">
        <f t="shared" ref="Z35:Z37" si="3">AVERAGE(B35:N35)</f>
        <v>72.796348149369692</v>
      </c>
      <c r="AA35" s="10">
        <f t="shared" ref="AA35:AA37" si="4">MAX(B35:N35)</f>
        <v>89.89729287406746</v>
      </c>
      <c r="AB35" s="10">
        <f t="shared" ref="AB35:AB37" si="5">MIN(B35:Y35)</f>
        <v>62.146701580153895</v>
      </c>
    </row>
    <row r="36" spans="1:28" x14ac:dyDescent="0.25">
      <c r="A36" s="9">
        <v>30</v>
      </c>
      <c r="B36" s="10">
        <v>87.757506732025263</v>
      </c>
      <c r="C36" s="10">
        <v>82.78101573578131</v>
      </c>
      <c r="D36" s="10">
        <v>74.790838423941608</v>
      </c>
      <c r="E36" s="10">
        <v>68.163066517159137</v>
      </c>
      <c r="F36" s="10">
        <v>68.03578596278841</v>
      </c>
      <c r="G36" s="10">
        <v>63.776608354367085</v>
      </c>
      <c r="H36" s="10">
        <v>65.497454778462298</v>
      </c>
      <c r="I36" s="10">
        <v>64.607567227841869</v>
      </c>
      <c r="J36" s="10">
        <v>64.181859698380748</v>
      </c>
      <c r="K36" s="10">
        <v>68.750583528774655</v>
      </c>
      <c r="L36" s="10">
        <v>72.378181491726195</v>
      </c>
      <c r="M36" s="10">
        <v>78.924031421175627</v>
      </c>
      <c r="N36" s="10">
        <v>81.567778571788381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>
        <f t="shared" si="3"/>
        <v>72.400944495708657</v>
      </c>
      <c r="AA36" s="10">
        <f t="shared" si="4"/>
        <v>87.757506732025263</v>
      </c>
      <c r="AB36" s="10">
        <f t="shared" si="5"/>
        <v>63.776608354367085</v>
      </c>
    </row>
    <row r="37" spans="1:28" ht="15.75" thickBot="1" x14ac:dyDescent="0.3">
      <c r="A37" s="39">
        <v>31</v>
      </c>
      <c r="B37" s="40">
        <v>91.68809926880499</v>
      </c>
      <c r="C37" s="40">
        <v>84.113958008242946</v>
      </c>
      <c r="D37" s="40">
        <v>70.659857015026191</v>
      </c>
      <c r="E37" s="40">
        <v>67.712139675672887</v>
      </c>
      <c r="F37" s="40">
        <v>65.710896599700163</v>
      </c>
      <c r="G37" s="40">
        <v>61.251613915834604</v>
      </c>
      <c r="H37" s="40">
        <v>59.901258776394741</v>
      </c>
      <c r="I37" s="40">
        <v>62.526746674677049</v>
      </c>
      <c r="J37" s="40">
        <v>61.933305204455813</v>
      </c>
      <c r="K37" s="40">
        <v>59.14292493267974</v>
      </c>
      <c r="L37" s="40">
        <v>59.14292493267974</v>
      </c>
      <c r="M37" s="40">
        <v>72.643352373229064</v>
      </c>
      <c r="N37" s="40">
        <v>82.430151826947267</v>
      </c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10">
        <f t="shared" si="3"/>
        <v>69.14286378494964</v>
      </c>
      <c r="AA37" s="10">
        <f t="shared" si="4"/>
        <v>91.68809926880499</v>
      </c>
      <c r="AB37" s="10">
        <f t="shared" si="5"/>
        <v>59.14292493267974</v>
      </c>
    </row>
    <row r="38" spans="1:28" ht="16.5" thickTop="1" thickBot="1" x14ac:dyDescent="0.3">
      <c r="A38" s="35" t="s">
        <v>27</v>
      </c>
      <c r="B38" s="36">
        <f t="shared" ref="B38:N38" si="6">MAX(B7:B34)</f>
        <v>96.542703442597727</v>
      </c>
      <c r="C38" s="36">
        <f t="shared" si="6"/>
        <v>93.248155485521622</v>
      </c>
      <c r="D38" s="36">
        <f t="shared" si="6"/>
        <v>91.783007040704518</v>
      </c>
      <c r="E38" s="36">
        <f t="shared" si="6"/>
        <v>86.543747123845904</v>
      </c>
      <c r="F38" s="36">
        <f t="shared" si="6"/>
        <v>82.665948335567847</v>
      </c>
      <c r="G38" s="36">
        <f t="shared" si="6"/>
        <v>75.488161722185069</v>
      </c>
      <c r="H38" s="36">
        <f t="shared" si="6"/>
        <v>76.486153106181604</v>
      </c>
      <c r="I38" s="36">
        <f t="shared" si="6"/>
        <v>99.124695531497125</v>
      </c>
      <c r="J38" s="36">
        <f t="shared" si="6"/>
        <v>99.124695531497125</v>
      </c>
      <c r="K38" s="36">
        <f t="shared" si="6"/>
        <v>99.143243889871641</v>
      </c>
      <c r="L38" s="36">
        <f t="shared" si="6"/>
        <v>98.293601843359184</v>
      </c>
      <c r="M38" s="36">
        <f t="shared" si="6"/>
        <v>98.293601843359184</v>
      </c>
      <c r="N38" s="36">
        <f t="shared" si="6"/>
        <v>98.293601843359184</v>
      </c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>
        <f>MAX(Z7:Z34)</f>
        <v>87.668297338487321</v>
      </c>
      <c r="AA38" s="38">
        <f>MAX(AA7:AA34)</f>
        <v>99.143243889871641</v>
      </c>
      <c r="AB38" s="38">
        <f>MAX(AB7:AB34)</f>
        <v>73.00089443828621</v>
      </c>
    </row>
    <row r="39" spans="1:28" ht="16.5" thickTop="1" thickBot="1" x14ac:dyDescent="0.3">
      <c r="A39" s="35" t="s">
        <v>28</v>
      </c>
      <c r="B39" s="36">
        <f t="shared" ref="B39:N39" si="7">MIN(B7:B34)</f>
        <v>79.661111093631618</v>
      </c>
      <c r="C39" s="36">
        <f t="shared" si="7"/>
        <v>67.493394844692162</v>
      </c>
      <c r="D39" s="36">
        <f t="shared" si="7"/>
        <v>62.501844359658676</v>
      </c>
      <c r="E39" s="36">
        <f t="shared" si="7"/>
        <v>57.175946208370831</v>
      </c>
      <c r="F39" s="36">
        <f t="shared" si="7"/>
        <v>54.040370815581454</v>
      </c>
      <c r="G39" s="36">
        <f t="shared" si="7"/>
        <v>53.154807367449749</v>
      </c>
      <c r="H39" s="36">
        <f t="shared" si="7"/>
        <v>52.225158709590701</v>
      </c>
      <c r="I39" s="36">
        <f t="shared" si="7"/>
        <v>55.833675923694635</v>
      </c>
      <c r="J39" s="36">
        <f t="shared" si="7"/>
        <v>58.548277761608205</v>
      </c>
      <c r="K39" s="36">
        <f t="shared" si="7"/>
        <v>58.215855691404158</v>
      </c>
      <c r="L39" s="36">
        <f t="shared" si="7"/>
        <v>65.437720093376825</v>
      </c>
      <c r="M39" s="36">
        <f t="shared" si="7"/>
        <v>64.125146742662523</v>
      </c>
      <c r="N39" s="36">
        <f t="shared" si="7"/>
        <v>68.903870032636945</v>
      </c>
      <c r="O39" s="37"/>
      <c r="P39" s="37"/>
      <c r="Q39" s="37"/>
      <c r="R39" s="33"/>
      <c r="S39" s="34"/>
      <c r="T39" s="33"/>
      <c r="U39" s="33"/>
      <c r="V39" s="33"/>
      <c r="W39" s="33"/>
      <c r="X39" s="33"/>
      <c r="Y39" s="33"/>
      <c r="Z39" s="38">
        <f>MIN(Z8:Z38)</f>
        <v>63.577802272057063</v>
      </c>
      <c r="AA39" s="38">
        <f>MIN(AA8:AA38)</f>
        <v>80.103857872245882</v>
      </c>
      <c r="AB39" s="38">
        <f>MIN(AB8:AB38)</f>
        <v>52.225158709590701</v>
      </c>
    </row>
    <row r="40" spans="1:28" ht="15.75" thickTop="1" x14ac:dyDescent="0.25">
      <c r="A40" s="35" t="s">
        <v>35</v>
      </c>
      <c r="B40" s="36">
        <f t="shared" ref="B40:N40" si="8">AVERAGE(B7:B34)</f>
        <v>88.793715087755842</v>
      </c>
      <c r="C40" s="36">
        <f t="shared" si="8"/>
        <v>82.057846731444315</v>
      </c>
      <c r="D40" s="36">
        <f t="shared" si="8"/>
        <v>75.038821992514613</v>
      </c>
      <c r="E40" s="36">
        <f t="shared" si="8"/>
        <v>70.481696404821093</v>
      </c>
      <c r="F40" s="36">
        <f t="shared" si="8"/>
        <v>67.136370580156594</v>
      </c>
      <c r="G40" s="36">
        <f t="shared" si="8"/>
        <v>64.293971941730135</v>
      </c>
      <c r="H40" s="36">
        <f t="shared" si="8"/>
        <v>64.894716047669206</v>
      </c>
      <c r="I40" s="36">
        <f t="shared" si="8"/>
        <v>67.417005683285538</v>
      </c>
      <c r="J40" s="36">
        <f t="shared" si="8"/>
        <v>73.616557527550199</v>
      </c>
      <c r="K40" s="36">
        <f t="shared" si="8"/>
        <v>76.994162950836312</v>
      </c>
      <c r="L40" s="36">
        <f t="shared" si="8"/>
        <v>79.789048441838546</v>
      </c>
      <c r="M40" s="36">
        <f t="shared" si="8"/>
        <v>82.148166045041407</v>
      </c>
      <c r="N40" s="36">
        <f t="shared" si="8"/>
        <v>84.666837550635833</v>
      </c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8">
        <f>AVERAGE(Z9:Z39)</f>
        <v>74.95230792778905</v>
      </c>
      <c r="AA40" s="38">
        <f t="shared" ref="AA40:AB40" si="9">AVERAGE(AA9:AA39)</f>
        <v>90.050458316986692</v>
      </c>
      <c r="AB40" s="38">
        <f t="shared" si="9"/>
        <v>61.922999179886894</v>
      </c>
    </row>
    <row r="41" spans="1:28" x14ac:dyDescent="0.2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x14ac:dyDescent="0.25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Y42" s="21" t="s">
        <v>36</v>
      </c>
      <c r="Z42" s="21"/>
      <c r="AA42" s="28"/>
      <c r="AB42" s="28"/>
    </row>
    <row r="43" spans="1:28" x14ac:dyDescent="0.25">
      <c r="A43" s="15" t="s">
        <v>30</v>
      </c>
      <c r="Y43" s="21"/>
      <c r="Z43" s="21"/>
      <c r="AA43" s="16"/>
      <c r="AB43" s="16"/>
    </row>
    <row r="44" spans="1:28" x14ac:dyDescent="0.25">
      <c r="A44" s="17"/>
      <c r="B44" s="18" t="s">
        <v>31</v>
      </c>
      <c r="C44" s="16"/>
      <c r="D44" s="16"/>
      <c r="E44" s="16"/>
      <c r="F44" s="19"/>
      <c r="G44" s="57"/>
      <c r="H44" s="57"/>
      <c r="I44" s="57"/>
      <c r="J44" s="57"/>
      <c r="K44" s="57"/>
      <c r="L44" s="57"/>
      <c r="M44" s="20"/>
      <c r="N44" s="20"/>
      <c r="O44" s="20"/>
      <c r="P44" s="20"/>
      <c r="Q44" s="20"/>
      <c r="R44" s="21"/>
      <c r="S44" s="22"/>
      <c r="Y44" s="21" t="str">
        <f>[1]COVER!X4</f>
        <v>PEMBUAT LAPORAN,</v>
      </c>
      <c r="Z44" s="21"/>
      <c r="AA44" s="16"/>
      <c r="AB44" s="16"/>
    </row>
    <row r="45" spans="1:28" x14ac:dyDescent="0.25">
      <c r="A45" s="19"/>
      <c r="B45" s="19"/>
      <c r="C45" s="16"/>
      <c r="D45" s="16"/>
      <c r="E45" s="16"/>
      <c r="F45" s="19"/>
      <c r="G45" s="57"/>
      <c r="H45" s="57"/>
      <c r="I45" s="57"/>
      <c r="J45" s="57"/>
      <c r="K45" s="57"/>
      <c r="L45" s="57"/>
      <c r="M45" s="20"/>
      <c r="N45" s="20"/>
      <c r="O45" s="20"/>
      <c r="P45" s="20"/>
      <c r="Q45" s="20"/>
      <c r="R45" s="21"/>
      <c r="S45" s="22"/>
      <c r="Y45" s="22"/>
      <c r="Z45" s="21"/>
      <c r="AB45" s="21"/>
    </row>
    <row r="46" spans="1:28" x14ac:dyDescent="0.25">
      <c r="A46" s="19"/>
      <c r="B46" s="19"/>
      <c r="C46" s="16"/>
      <c r="D46" s="16"/>
      <c r="E46" s="16"/>
      <c r="F46" s="19"/>
      <c r="G46" s="57"/>
      <c r="H46" s="57"/>
      <c r="I46" s="57"/>
      <c r="J46" s="57"/>
      <c r="K46" s="57"/>
      <c r="L46" s="57"/>
      <c r="M46" s="20"/>
      <c r="N46" s="20"/>
      <c r="O46" s="20"/>
      <c r="P46" s="20"/>
      <c r="Q46" s="20"/>
      <c r="R46" s="21"/>
      <c r="S46" s="22"/>
      <c r="Y46" s="22"/>
      <c r="Z46" s="21"/>
      <c r="AA46" s="21"/>
      <c r="AB46" s="21"/>
    </row>
    <row r="47" spans="1:28" x14ac:dyDescent="0.25">
      <c r="A47" s="19"/>
      <c r="B47" s="19"/>
      <c r="C47" s="16"/>
      <c r="D47" s="16"/>
      <c r="E47" s="16"/>
      <c r="F47" s="19"/>
      <c r="G47" s="57"/>
      <c r="H47" s="57"/>
      <c r="I47" s="57"/>
      <c r="J47" s="57"/>
      <c r="K47" s="57"/>
      <c r="L47" s="57"/>
      <c r="M47" s="20"/>
      <c r="N47" s="20"/>
      <c r="O47" s="20"/>
      <c r="P47" s="20"/>
      <c r="Q47" s="20"/>
      <c r="R47" s="21"/>
      <c r="S47" s="22"/>
      <c r="Y47" s="22"/>
      <c r="Z47" s="21"/>
      <c r="AA47" s="21"/>
      <c r="AB47" s="21"/>
    </row>
    <row r="48" spans="1:28" x14ac:dyDescent="0.25">
      <c r="A48" s="19"/>
      <c r="B48" s="19"/>
      <c r="C48" s="16"/>
      <c r="D48" s="16"/>
      <c r="E48" s="16"/>
      <c r="F48" s="19"/>
      <c r="G48" s="21"/>
      <c r="H48" s="21"/>
      <c r="I48" s="21"/>
      <c r="J48" s="21"/>
      <c r="K48" s="21"/>
      <c r="L48" s="21"/>
      <c r="M48" s="20"/>
      <c r="N48" s="20"/>
      <c r="O48" s="20"/>
      <c r="P48" s="20"/>
      <c r="Q48" s="20"/>
      <c r="R48" s="21"/>
      <c r="S48" s="22"/>
      <c r="Y48" s="26" t="s">
        <v>33</v>
      </c>
      <c r="Z48" s="26"/>
      <c r="AA48" s="21"/>
      <c r="AB48" s="16"/>
    </row>
    <row r="49" spans="1:28" x14ac:dyDescent="0.25">
      <c r="A49" s="19"/>
      <c r="B49" s="19"/>
      <c r="C49" s="16"/>
      <c r="D49" s="16"/>
      <c r="E49" s="16"/>
      <c r="F49" s="19"/>
      <c r="G49" s="21"/>
      <c r="H49" s="21"/>
      <c r="I49" s="21"/>
      <c r="J49" s="20"/>
      <c r="K49" s="20"/>
      <c r="L49" s="20"/>
      <c r="M49" s="20"/>
      <c r="N49" s="20"/>
      <c r="O49" s="22"/>
      <c r="P49" s="23"/>
      <c r="Q49" s="23"/>
      <c r="R49" s="21"/>
      <c r="S49" s="22"/>
      <c r="Y49" s="21" t="s">
        <v>34</v>
      </c>
      <c r="Z49" s="21"/>
      <c r="AA49" s="21"/>
      <c r="AB49" s="16"/>
    </row>
    <row r="50" spans="1:28" x14ac:dyDescent="0.25">
      <c r="A50" s="19"/>
      <c r="B50" s="19"/>
      <c r="C50" s="16"/>
      <c r="D50" s="16"/>
      <c r="E50" s="16"/>
      <c r="F50" s="19"/>
      <c r="G50" s="58"/>
      <c r="H50" s="58"/>
      <c r="I50" s="58"/>
      <c r="J50" s="58"/>
      <c r="K50" s="58"/>
      <c r="L50" s="58"/>
      <c r="M50" s="24"/>
      <c r="N50" s="24"/>
      <c r="O50" s="24"/>
      <c r="P50" s="24"/>
      <c r="Q50" s="24"/>
      <c r="R50" s="21"/>
      <c r="S50" s="22"/>
      <c r="AA50" s="21"/>
      <c r="AB50" s="16"/>
    </row>
    <row r="51" spans="1:28" x14ac:dyDescent="0.25">
      <c r="A51" s="19"/>
      <c r="B51" s="19"/>
      <c r="C51" s="16"/>
      <c r="D51" s="16"/>
      <c r="E51" s="16"/>
      <c r="F51" s="19"/>
      <c r="G51" s="57"/>
      <c r="H51" s="57"/>
      <c r="I51" s="57"/>
      <c r="J51" s="57"/>
      <c r="K51" s="57"/>
      <c r="L51" s="57"/>
      <c r="M51" s="25"/>
      <c r="N51" s="25"/>
      <c r="O51" s="25"/>
      <c r="P51" s="25"/>
      <c r="Q51" s="25"/>
      <c r="R51" s="21"/>
      <c r="S51" s="22"/>
      <c r="AA51" s="21"/>
      <c r="AB51" s="26"/>
    </row>
    <row r="52" spans="1:28" x14ac:dyDescent="0.25">
      <c r="AA52" s="26"/>
      <c r="AB52" s="21"/>
    </row>
    <row r="53" spans="1:28" x14ac:dyDescent="0.25">
      <c r="AA53" s="21"/>
    </row>
  </sheetData>
  <mergeCells count="7">
    <mergeCell ref="G47:L47"/>
    <mergeCell ref="G50:L50"/>
    <mergeCell ref="G51:L51"/>
    <mergeCell ref="G46:L46"/>
    <mergeCell ref="Y3:Z3"/>
    <mergeCell ref="G44:L44"/>
    <mergeCell ref="G45:L45"/>
  </mergeCells>
  <printOptions horizontalCentered="1" verticalCentered="1"/>
  <pageMargins left="0.70866141732283472" right="0.51181102362204722" top="0.55118110236220474" bottom="0.35433070866141736" header="0.31496062992125984" footer="0.31496062992125984"/>
  <pageSetup paperSize="9" scale="7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2:AB50"/>
  <sheetViews>
    <sheetView workbookViewId="0">
      <selection activeCell="U12" sqref="U12"/>
    </sheetView>
  </sheetViews>
  <sheetFormatPr defaultRowHeight="15" x14ac:dyDescent="0.25"/>
  <cols>
    <col min="1" max="28" width="5.7109375" customWidth="1"/>
  </cols>
  <sheetData>
    <row r="2" spans="1:28" x14ac:dyDescent="0.25">
      <c r="R2" s="1" t="s">
        <v>0</v>
      </c>
      <c r="T2" s="1"/>
      <c r="W2" s="1"/>
    </row>
    <row r="3" spans="1:28" x14ac:dyDescent="0.25">
      <c r="R3" s="1" t="s">
        <v>1</v>
      </c>
      <c r="T3" s="1" t="str">
        <f>'[2]1'!AA1</f>
        <v>FEBRUARI</v>
      </c>
      <c r="V3" s="2">
        <f>JANUARI!V3</f>
        <v>2022</v>
      </c>
      <c r="W3" s="1"/>
      <c r="Y3" s="59"/>
      <c r="Z3" s="59"/>
      <c r="AA3" s="2"/>
    </row>
    <row r="5" spans="1:2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4" t="s">
        <v>32</v>
      </c>
      <c r="AA5" s="4" t="s">
        <v>27</v>
      </c>
      <c r="AB5" s="4" t="s">
        <v>28</v>
      </c>
    </row>
    <row r="6" spans="1:28" x14ac:dyDescent="0.25">
      <c r="A6" s="5" t="s">
        <v>29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  <c r="P6" s="5">
        <v>15</v>
      </c>
      <c r="Q6" s="5">
        <v>16</v>
      </c>
      <c r="R6" s="5">
        <v>17</v>
      </c>
      <c r="S6" s="5">
        <v>18</v>
      </c>
      <c r="T6" s="5">
        <v>19</v>
      </c>
      <c r="U6" s="5">
        <v>20</v>
      </c>
      <c r="V6" s="5">
        <v>21</v>
      </c>
      <c r="W6" s="5">
        <v>22</v>
      </c>
      <c r="X6" s="5">
        <v>23</v>
      </c>
      <c r="Y6" s="5">
        <v>24</v>
      </c>
      <c r="Z6" s="5">
        <v>25</v>
      </c>
      <c r="AA6" s="5">
        <v>26</v>
      </c>
      <c r="AB6" s="5">
        <v>27</v>
      </c>
    </row>
    <row r="7" spans="1:28" x14ac:dyDescent="0.25">
      <c r="A7" s="6">
        <v>1</v>
      </c>
      <c r="B7" s="7">
        <v>85.320624331577875</v>
      </c>
      <c r="C7" s="7">
        <v>79.661111093631618</v>
      </c>
      <c r="D7" s="7">
        <v>69.432938262154266</v>
      </c>
      <c r="E7" s="7">
        <v>65.929364226997365</v>
      </c>
      <c r="F7" s="7">
        <v>64.253726630839722</v>
      </c>
      <c r="G7" s="7">
        <v>64.467119704332802</v>
      </c>
      <c r="H7" s="7">
        <v>60.653921043515282</v>
      </c>
      <c r="I7" s="7">
        <v>54.795615964282696</v>
      </c>
      <c r="J7" s="7">
        <v>66.934878139346566</v>
      </c>
      <c r="K7" s="7">
        <v>71.819793770269541</v>
      </c>
      <c r="L7" s="7">
        <v>75.106783972489893</v>
      </c>
      <c r="M7" s="7">
        <v>78.348875512470201</v>
      </c>
      <c r="N7" s="7">
        <v>82.149028733191955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7">
        <f>AVERAGE(B7:N7)</f>
        <v>70.682598568084586</v>
      </c>
      <c r="AA7" s="7">
        <f>MAX(B7:N7)</f>
        <v>85.320624331577875</v>
      </c>
      <c r="AB7" s="7">
        <f>MIN(B7:Y7)</f>
        <v>54.795615964282696</v>
      </c>
    </row>
    <row r="8" spans="1:28" x14ac:dyDescent="0.25">
      <c r="A8" s="9">
        <v>2</v>
      </c>
      <c r="B8" s="10">
        <v>90.107484814320046</v>
      </c>
      <c r="C8" s="10">
        <v>78.463382904995044</v>
      </c>
      <c r="D8" s="10">
        <v>75.158484273679989</v>
      </c>
      <c r="E8" s="10">
        <v>70.843197374237789</v>
      </c>
      <c r="F8" s="10">
        <v>66.336216408985308</v>
      </c>
      <c r="G8" s="10">
        <v>69.898158389603509</v>
      </c>
      <c r="H8" s="10">
        <v>81.324594065900854</v>
      </c>
      <c r="I8" s="10">
        <v>83.747930818606349</v>
      </c>
      <c r="J8" s="10">
        <v>83.822740725063611</v>
      </c>
      <c r="K8" s="10">
        <v>80.987934542814884</v>
      </c>
      <c r="L8" s="10">
        <v>84.254910681262245</v>
      </c>
      <c r="M8" s="10">
        <v>82.818961990568795</v>
      </c>
      <c r="N8" s="10">
        <v>80.987934542814884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0">
        <f t="shared" ref="Z8:Z34" si="0">AVERAGE(B8:N8)</f>
        <v>79.134763964065641</v>
      </c>
      <c r="AA8" s="10">
        <f t="shared" ref="AA8:AA34" si="1">MAX(B8:N8)</f>
        <v>90.107484814320046</v>
      </c>
      <c r="AB8" s="10">
        <f t="shared" ref="AB8:AB34" si="2">MIN(B8:Y8)</f>
        <v>66.336216408985308</v>
      </c>
    </row>
    <row r="9" spans="1:28" x14ac:dyDescent="0.25">
      <c r="A9" s="9">
        <v>3</v>
      </c>
      <c r="B9" s="10">
        <v>89.152066463184553</v>
      </c>
      <c r="C9" s="10">
        <v>82.588198229950223</v>
      </c>
      <c r="D9" s="10">
        <v>72.026837161300264</v>
      </c>
      <c r="E9" s="10">
        <v>66.428989569440731</v>
      </c>
      <c r="F9" s="10">
        <v>66.336216408985308</v>
      </c>
      <c r="G9" s="10">
        <v>56.87583283612598</v>
      </c>
      <c r="H9" s="10">
        <v>51.678170495170825</v>
      </c>
      <c r="I9" s="10">
        <v>88.171370177668294</v>
      </c>
      <c r="J9" s="10">
        <v>91.366255333533658</v>
      </c>
      <c r="K9" s="10">
        <v>91.49030389721446</v>
      </c>
      <c r="L9" s="10">
        <v>88.338556606876153</v>
      </c>
      <c r="M9" s="10">
        <v>89.968515836458096</v>
      </c>
      <c r="N9" s="10">
        <v>91.530740973431563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0">
        <f t="shared" si="0"/>
        <v>78.919388768410784</v>
      </c>
      <c r="AA9" s="10">
        <f t="shared" si="1"/>
        <v>91.530740973431563</v>
      </c>
      <c r="AB9" s="10">
        <f t="shared" si="2"/>
        <v>51.678170495170825</v>
      </c>
    </row>
    <row r="10" spans="1:28" x14ac:dyDescent="0.25">
      <c r="A10" s="9">
        <v>4</v>
      </c>
      <c r="B10" s="10">
        <v>93.263970887488853</v>
      </c>
      <c r="C10" s="10">
        <v>87.14137533712541</v>
      </c>
      <c r="D10" s="10">
        <v>77.403724295248693</v>
      </c>
      <c r="E10" s="10">
        <v>71.149184188620822</v>
      </c>
      <c r="F10" s="10">
        <v>62.543899557637658</v>
      </c>
      <c r="G10" s="10">
        <v>62.157219363840795</v>
      </c>
      <c r="H10" s="10">
        <v>63.272628740286528</v>
      </c>
      <c r="I10" s="10">
        <v>63.41398020819986</v>
      </c>
      <c r="J10" s="10">
        <v>68.163066517159137</v>
      </c>
      <c r="K10" s="10">
        <v>63.442284316336661</v>
      </c>
      <c r="L10" s="10">
        <v>70.659857015026191</v>
      </c>
      <c r="M10" s="10">
        <v>76.742438575393706</v>
      </c>
      <c r="N10" s="10">
        <v>82.18802079495012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0">
        <f t="shared" si="0"/>
        <v>72.426280753639588</v>
      </c>
      <c r="AA10" s="10">
        <f t="shared" si="1"/>
        <v>93.263970887488853</v>
      </c>
      <c r="AB10" s="10">
        <f t="shared" si="2"/>
        <v>62.157219363840795</v>
      </c>
    </row>
    <row r="11" spans="1:28" x14ac:dyDescent="0.25">
      <c r="A11" s="9">
        <v>5</v>
      </c>
      <c r="B11" s="10">
        <v>92.272101638943951</v>
      </c>
      <c r="C11" s="10">
        <v>90.015347770751774</v>
      </c>
      <c r="D11" s="10">
        <v>90.152804386413735</v>
      </c>
      <c r="E11" s="10">
        <v>85.487976512302907</v>
      </c>
      <c r="F11" s="10">
        <v>87.227515539196531</v>
      </c>
      <c r="G11" s="10">
        <v>85.809385557479587</v>
      </c>
      <c r="H11" s="10">
        <v>88.758392692627268</v>
      </c>
      <c r="I11" s="10">
        <v>87.083169493220765</v>
      </c>
      <c r="J11" s="10">
        <v>88.656828294001087</v>
      </c>
      <c r="K11" s="10">
        <v>87.785498780214084</v>
      </c>
      <c r="L11" s="10">
        <v>83.969930982786138</v>
      </c>
      <c r="M11" s="10">
        <v>91.801681435810139</v>
      </c>
      <c r="N11" s="10">
        <v>93.32637261393613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0">
        <f t="shared" si="0"/>
        <v>88.642077361360336</v>
      </c>
      <c r="AA11" s="10">
        <f t="shared" si="1"/>
        <v>93.32637261393613</v>
      </c>
      <c r="AB11" s="10">
        <f t="shared" si="2"/>
        <v>83.969930982786138</v>
      </c>
    </row>
    <row r="12" spans="1:28" x14ac:dyDescent="0.25">
      <c r="A12" s="9">
        <v>6</v>
      </c>
      <c r="B12" s="10">
        <v>85.520903747080652</v>
      </c>
      <c r="C12" s="10">
        <v>74.353712606600766</v>
      </c>
      <c r="D12" s="10">
        <v>69.689179495833699</v>
      </c>
      <c r="E12" s="10">
        <v>68.878309260549415</v>
      </c>
      <c r="F12" s="10">
        <v>65.846291311698906</v>
      </c>
      <c r="G12" s="10">
        <v>65.020417112259793</v>
      </c>
      <c r="H12" s="10">
        <v>65.728424430578627</v>
      </c>
      <c r="I12" s="10">
        <v>94.820268572023863</v>
      </c>
      <c r="J12" s="10">
        <v>95.686157817243497</v>
      </c>
      <c r="K12" s="10">
        <v>94.857344951335847</v>
      </c>
      <c r="L12" s="10">
        <v>94.857344951335847</v>
      </c>
      <c r="M12" s="10">
        <v>94.039434048310284</v>
      </c>
      <c r="N12" s="10">
        <v>91.530740973431563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0">
        <f t="shared" si="0"/>
        <v>81.602194559867911</v>
      </c>
      <c r="AA12" s="10">
        <f t="shared" si="1"/>
        <v>95.686157817243497</v>
      </c>
      <c r="AB12" s="10">
        <f t="shared" si="2"/>
        <v>65.020417112259793</v>
      </c>
    </row>
    <row r="13" spans="1:28" x14ac:dyDescent="0.25">
      <c r="A13" s="9">
        <v>7</v>
      </c>
      <c r="B13" s="10">
        <v>94.067528369454564</v>
      </c>
      <c r="C13" s="10">
        <v>89.399978397389404</v>
      </c>
      <c r="D13" s="10">
        <v>87.757506732025263</v>
      </c>
      <c r="E13" s="10">
        <v>88.656828294001087</v>
      </c>
      <c r="F13" s="10">
        <v>82.341933189139525</v>
      </c>
      <c r="G13" s="10">
        <v>81.72565273312577</v>
      </c>
      <c r="H13" s="10">
        <v>80.274456380418869</v>
      </c>
      <c r="I13" s="10">
        <v>78.968770071674953</v>
      </c>
      <c r="J13" s="10">
        <v>75.488161722185069</v>
      </c>
      <c r="K13" s="10">
        <v>77.45204443952214</v>
      </c>
      <c r="L13" s="10">
        <v>58.773897429687729</v>
      </c>
      <c r="M13" s="10">
        <v>65.140771878420878</v>
      </c>
      <c r="N13" s="10">
        <v>84.184813194407482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0">
        <f t="shared" si="0"/>
        <v>80.325564833188679</v>
      </c>
      <c r="AA13" s="10">
        <f t="shared" si="1"/>
        <v>94.067528369454564</v>
      </c>
      <c r="AB13" s="10">
        <f t="shared" si="2"/>
        <v>58.773897429687729</v>
      </c>
    </row>
    <row r="14" spans="1:28" x14ac:dyDescent="0.25">
      <c r="A14" s="9">
        <v>8</v>
      </c>
      <c r="B14" s="10">
        <v>89.202740698163467</v>
      </c>
      <c r="C14" s="10">
        <v>84.744011969391934</v>
      </c>
      <c r="D14" s="10">
        <v>78.510558575732205</v>
      </c>
      <c r="E14" s="10">
        <v>72.145186899335471</v>
      </c>
      <c r="F14" s="10">
        <v>70.485939030390881</v>
      </c>
      <c r="G14" s="10">
        <v>60.867908793077085</v>
      </c>
      <c r="H14" s="10">
        <v>61.467654281162396</v>
      </c>
      <c r="I14" s="10">
        <v>62.482083766699034</v>
      </c>
      <c r="J14" s="10">
        <v>68.491104410455307</v>
      </c>
      <c r="K14" s="10">
        <v>73.627425546942845</v>
      </c>
      <c r="L14" s="10">
        <v>77.689863336652138</v>
      </c>
      <c r="M14" s="10">
        <v>77.689863336652138</v>
      </c>
      <c r="N14" s="10">
        <v>79.929597624557786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0">
        <f t="shared" si="0"/>
        <v>73.641072174554836</v>
      </c>
      <c r="AA14" s="10">
        <f t="shared" si="1"/>
        <v>89.202740698163467</v>
      </c>
      <c r="AB14" s="10">
        <f t="shared" si="2"/>
        <v>60.867908793077085</v>
      </c>
    </row>
    <row r="15" spans="1:28" x14ac:dyDescent="0.25">
      <c r="A15" s="9">
        <v>9</v>
      </c>
      <c r="B15" s="10">
        <v>91.726372472715113</v>
      </c>
      <c r="C15" s="10">
        <v>87.255921724445045</v>
      </c>
      <c r="D15" s="10">
        <v>80.792874044966894</v>
      </c>
      <c r="E15" s="10">
        <v>71.149184188620822</v>
      </c>
      <c r="F15" s="10">
        <v>66.564776169429933</v>
      </c>
      <c r="G15" s="10">
        <v>63.377902771134032</v>
      </c>
      <c r="H15" s="10">
        <v>65.846291311698906</v>
      </c>
      <c r="I15" s="10">
        <v>61.701086461119935</v>
      </c>
      <c r="J15" s="10">
        <v>66.153150333807702</v>
      </c>
      <c r="K15" s="10">
        <v>84.254910681262245</v>
      </c>
      <c r="L15" s="10">
        <v>85.714771674595454</v>
      </c>
      <c r="M15" s="10">
        <v>85.714771674595454</v>
      </c>
      <c r="N15" s="10">
        <v>85.520903747080652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0">
        <f t="shared" si="0"/>
        <v>76.597916711959414</v>
      </c>
      <c r="AA15" s="10">
        <f t="shared" si="1"/>
        <v>91.726372472715113</v>
      </c>
      <c r="AB15" s="10">
        <f t="shared" si="2"/>
        <v>61.701086461119935</v>
      </c>
    </row>
    <row r="16" spans="1:28" x14ac:dyDescent="0.25">
      <c r="A16" s="9">
        <v>10</v>
      </c>
      <c r="B16" s="10">
        <v>86.0467194673015</v>
      </c>
      <c r="C16" s="10">
        <v>84.604013298737655</v>
      </c>
      <c r="D16" s="10">
        <v>83.497511678222452</v>
      </c>
      <c r="E16" s="10">
        <v>66.900192873680993</v>
      </c>
      <c r="F16" s="10">
        <v>63.890643783239518</v>
      </c>
      <c r="G16" s="10">
        <v>63.085448392751509</v>
      </c>
      <c r="H16" s="10">
        <v>64.87831079401542</v>
      </c>
      <c r="I16" s="10">
        <v>61.854702278070761</v>
      </c>
      <c r="J16" s="10">
        <v>64.593811903059645</v>
      </c>
      <c r="K16" s="10">
        <v>66.291787562703647</v>
      </c>
      <c r="L16" s="10">
        <v>67.244712053996224</v>
      </c>
      <c r="M16" s="10">
        <v>76.288451319675147</v>
      </c>
      <c r="N16" s="10">
        <v>86.874398747756558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>
        <f t="shared" si="0"/>
        <v>72.003900319477765</v>
      </c>
      <c r="AA16" s="10">
        <f t="shared" si="1"/>
        <v>86.874398747756558</v>
      </c>
      <c r="AB16" s="10">
        <f t="shared" si="2"/>
        <v>61.854702278070761</v>
      </c>
    </row>
    <row r="17" spans="1:28" x14ac:dyDescent="0.25">
      <c r="A17" s="9">
        <v>11</v>
      </c>
      <c r="B17" s="10">
        <v>94.881722302512387</v>
      </c>
      <c r="C17" s="10">
        <v>92.523040045494852</v>
      </c>
      <c r="D17" s="10">
        <v>78.696763824771196</v>
      </c>
      <c r="E17" s="10">
        <v>64.575896105923405</v>
      </c>
      <c r="F17" s="10">
        <v>64.521761371631854</v>
      </c>
      <c r="G17" s="10">
        <v>64.181859698380748</v>
      </c>
      <c r="H17" s="10">
        <v>66.765844771671453</v>
      </c>
      <c r="I17" s="10">
        <v>65.018373925888184</v>
      </c>
      <c r="J17" s="10">
        <v>69.004717151586277</v>
      </c>
      <c r="K17" s="10">
        <v>94.857344951335847</v>
      </c>
      <c r="L17" s="10">
        <v>94.832696070056826</v>
      </c>
      <c r="M17" s="10">
        <v>93.167757326285368</v>
      </c>
      <c r="N17" s="10">
        <v>94.832696070056826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>
        <f t="shared" si="0"/>
        <v>79.835421047353492</v>
      </c>
      <c r="AA17" s="10">
        <f t="shared" si="1"/>
        <v>94.881722302512387</v>
      </c>
      <c r="AB17" s="10">
        <f t="shared" si="2"/>
        <v>64.181859698380748</v>
      </c>
    </row>
    <row r="18" spans="1:28" x14ac:dyDescent="0.25">
      <c r="A18" s="9">
        <v>12</v>
      </c>
      <c r="B18" s="10">
        <v>93.167757326285368</v>
      </c>
      <c r="C18" s="10">
        <v>85.520903747080652</v>
      </c>
      <c r="D18" s="10">
        <v>77.306313366446432</v>
      </c>
      <c r="E18" s="10">
        <v>73.737489280068019</v>
      </c>
      <c r="F18" s="10">
        <v>65.012624330656905</v>
      </c>
      <c r="G18" s="10">
        <v>60.789978564915728</v>
      </c>
      <c r="H18" s="10">
        <v>60.058413323373536</v>
      </c>
      <c r="I18" s="10">
        <v>62.146701580153895</v>
      </c>
      <c r="J18" s="10">
        <v>66.564776169429933</v>
      </c>
      <c r="K18" s="10">
        <v>67.580321726852745</v>
      </c>
      <c r="L18" s="10">
        <v>72.145186899335471</v>
      </c>
      <c r="M18" s="10">
        <v>75.171263301276241</v>
      </c>
      <c r="N18" s="10">
        <v>81.158079831414014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>
        <f t="shared" si="0"/>
        <v>72.335369957483763</v>
      </c>
      <c r="AA18" s="10">
        <f t="shared" si="1"/>
        <v>93.167757326285368</v>
      </c>
      <c r="AB18" s="10">
        <f t="shared" si="2"/>
        <v>60.058413323373536</v>
      </c>
    </row>
    <row r="19" spans="1:28" x14ac:dyDescent="0.25">
      <c r="A19" s="9">
        <v>13</v>
      </c>
      <c r="B19" s="10">
        <v>93.200183366846844</v>
      </c>
      <c r="C19" s="10">
        <v>88.446975599750772</v>
      </c>
      <c r="D19" s="10">
        <v>86.964847685921953</v>
      </c>
      <c r="E19" s="10">
        <v>84.881004323264378</v>
      </c>
      <c r="F19" s="10">
        <v>84.184813194407482</v>
      </c>
      <c r="G19" s="10">
        <v>81.647132592884702</v>
      </c>
      <c r="H19" s="10">
        <v>77.036192642231512</v>
      </c>
      <c r="I19" s="10">
        <v>76.486153106181604</v>
      </c>
      <c r="J19" s="10">
        <v>77.500110101760797</v>
      </c>
      <c r="K19" s="10">
        <v>91.68809926880499</v>
      </c>
      <c r="L19" s="10">
        <v>93.034382575167328</v>
      </c>
      <c r="M19" s="10">
        <v>98.231145819080723</v>
      </c>
      <c r="N19" s="10">
        <v>100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>
        <f t="shared" si="0"/>
        <v>87.177003098177167</v>
      </c>
      <c r="AA19" s="10">
        <f t="shared" si="1"/>
        <v>100</v>
      </c>
      <c r="AB19" s="10">
        <f t="shared" si="2"/>
        <v>76.486153106181604</v>
      </c>
    </row>
    <row r="20" spans="1:28" x14ac:dyDescent="0.25">
      <c r="A20" s="9">
        <v>14</v>
      </c>
      <c r="B20" s="10">
        <v>99.111804667896138</v>
      </c>
      <c r="C20" s="10">
        <v>98.252545101544754</v>
      </c>
      <c r="D20" s="10">
        <v>95.706722906100097</v>
      </c>
      <c r="E20" s="10">
        <v>88.500299434478777</v>
      </c>
      <c r="F20" s="10">
        <v>78.463382904995044</v>
      </c>
      <c r="G20" s="10">
        <v>73.627425546942845</v>
      </c>
      <c r="H20" s="10">
        <v>66.765844771671453</v>
      </c>
      <c r="I20" s="10">
        <v>66.699166870239253</v>
      </c>
      <c r="J20" s="10">
        <v>77.783258701669766</v>
      </c>
      <c r="K20" s="10">
        <v>79.188979706999518</v>
      </c>
      <c r="L20" s="10">
        <v>80.358414363599238</v>
      </c>
      <c r="M20" s="10">
        <v>83.115365273761171</v>
      </c>
      <c r="N20" s="10">
        <v>84.392875079781277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>
        <f t="shared" si="0"/>
        <v>82.458929640744572</v>
      </c>
      <c r="AA20" s="10">
        <f t="shared" si="1"/>
        <v>99.111804667896138</v>
      </c>
      <c r="AB20" s="10">
        <f t="shared" si="2"/>
        <v>66.699166870239253</v>
      </c>
    </row>
    <row r="21" spans="1:28" x14ac:dyDescent="0.25">
      <c r="A21" s="9">
        <v>15</v>
      </c>
      <c r="B21" s="10">
        <v>98.239777411123399</v>
      </c>
      <c r="C21" s="10">
        <v>99.118304162574816</v>
      </c>
      <c r="D21" s="10">
        <v>98.248312933070963</v>
      </c>
      <c r="E21" s="10">
        <v>98.248312933070963</v>
      </c>
      <c r="F21" s="10">
        <v>90.744461481913447</v>
      </c>
      <c r="G21" s="10">
        <v>87.024329978942021</v>
      </c>
      <c r="H21" s="10">
        <v>82.627178119246338</v>
      </c>
      <c r="I21" s="10">
        <v>82.109828168016591</v>
      </c>
      <c r="J21" s="10">
        <v>77.207862783481787</v>
      </c>
      <c r="K21" s="10">
        <v>78.510558575732205</v>
      </c>
      <c r="L21" s="10">
        <v>81.990960597676377</v>
      </c>
      <c r="M21" s="10">
        <v>83.349693389860491</v>
      </c>
      <c r="N21" s="10">
        <v>88.500299434478777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>
        <f t="shared" si="0"/>
        <v>88.147683074552944</v>
      </c>
      <c r="AA21" s="10">
        <f t="shared" si="1"/>
        <v>99.118304162574816</v>
      </c>
      <c r="AB21" s="10">
        <f t="shared" si="2"/>
        <v>77.207862783481787</v>
      </c>
    </row>
    <row r="22" spans="1:28" x14ac:dyDescent="0.25">
      <c r="A22" s="9">
        <v>16</v>
      </c>
      <c r="B22" s="10">
        <v>86.904713358166006</v>
      </c>
      <c r="C22" s="10">
        <v>81.990960597676377</v>
      </c>
      <c r="D22" s="10">
        <v>73.403801579739962</v>
      </c>
      <c r="E22" s="10">
        <v>70.185833175268371</v>
      </c>
      <c r="F22" s="10">
        <v>66.428989569440731</v>
      </c>
      <c r="G22" s="10">
        <v>64.181859698380748</v>
      </c>
      <c r="H22" s="10">
        <v>69.958278393209923</v>
      </c>
      <c r="I22" s="10">
        <v>73.867569775877556</v>
      </c>
      <c r="J22" s="10">
        <v>79.101586094726713</v>
      </c>
      <c r="K22" s="10">
        <v>84.49443757604655</v>
      </c>
      <c r="L22" s="10">
        <v>90.894492082389988</v>
      </c>
      <c r="M22" s="10">
        <v>93.184015238193481</v>
      </c>
      <c r="N22" s="10">
        <v>93.151408980028577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>
        <f t="shared" si="0"/>
        <v>79.0575343168573</v>
      </c>
      <c r="AA22" s="10">
        <f t="shared" si="1"/>
        <v>93.184015238193481</v>
      </c>
      <c r="AB22" s="10">
        <f t="shared" si="2"/>
        <v>64.181859698380748</v>
      </c>
    </row>
    <row r="23" spans="1:28" x14ac:dyDescent="0.25">
      <c r="A23" s="9">
        <v>17</v>
      </c>
      <c r="B23" s="10">
        <v>96.575465562829351</v>
      </c>
      <c r="C23" s="10">
        <v>89.327020835807261</v>
      </c>
      <c r="D23" s="10">
        <v>82.18802079495012</v>
      </c>
      <c r="E23" s="10">
        <v>75.436041013344564</v>
      </c>
      <c r="F23" s="10">
        <v>73.11263982827613</v>
      </c>
      <c r="G23" s="10">
        <v>61.776757977006589</v>
      </c>
      <c r="H23" s="10">
        <v>58.447618062786887</v>
      </c>
      <c r="I23" s="10">
        <v>59.50557001413803</v>
      </c>
      <c r="J23" s="10">
        <v>60.058413323373536</v>
      </c>
      <c r="K23" s="10">
        <v>84.660169927124755</v>
      </c>
      <c r="L23" s="10">
        <v>82.186531997321282</v>
      </c>
      <c r="M23" s="10">
        <v>87.61523116507621</v>
      </c>
      <c r="N23" s="10">
        <v>88.283444305094761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>
        <f>AVERAGE(B23:N23)</f>
        <v>76.859455754394588</v>
      </c>
      <c r="AA23" s="10">
        <f t="shared" si="1"/>
        <v>96.575465562829351</v>
      </c>
      <c r="AB23" s="10">
        <f t="shared" si="2"/>
        <v>58.447618062786887</v>
      </c>
    </row>
    <row r="24" spans="1:28" x14ac:dyDescent="0.25">
      <c r="A24" s="9">
        <v>18</v>
      </c>
      <c r="B24" s="10">
        <v>91.610285518898209</v>
      </c>
      <c r="C24" s="10">
        <v>87.083169493220765</v>
      </c>
      <c r="D24" s="10">
        <v>77.500110101760797</v>
      </c>
      <c r="E24" s="10">
        <v>70.907094274853861</v>
      </c>
      <c r="F24" s="10">
        <v>72.492860597196724</v>
      </c>
      <c r="G24" s="10">
        <v>77.500110101760797</v>
      </c>
      <c r="H24" s="10">
        <v>81.324594065900854</v>
      </c>
      <c r="I24" s="10">
        <v>73.589090280768175</v>
      </c>
      <c r="J24" s="10">
        <v>74.464742122921493</v>
      </c>
      <c r="K24" s="10">
        <v>76.387735371476012</v>
      </c>
      <c r="L24" s="10">
        <v>79.331071737183549</v>
      </c>
      <c r="M24" s="10">
        <v>82.627178119246338</v>
      </c>
      <c r="N24" s="10">
        <v>86.874398747756558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>
        <f t="shared" si="0"/>
        <v>79.360956964072628</v>
      </c>
      <c r="AA24" s="10">
        <f t="shared" si="1"/>
        <v>91.610285518898209</v>
      </c>
      <c r="AB24" s="10">
        <f t="shared" si="2"/>
        <v>70.907094274853861</v>
      </c>
    </row>
    <row r="25" spans="1:28" x14ac:dyDescent="0.25">
      <c r="A25" s="9">
        <v>19</v>
      </c>
      <c r="B25" s="10">
        <v>90.152804386413735</v>
      </c>
      <c r="C25" s="10">
        <v>84.113958008242946</v>
      </c>
      <c r="D25" s="10">
        <v>78.557482738561959</v>
      </c>
      <c r="E25" s="10">
        <v>66.900192873680993</v>
      </c>
      <c r="F25" s="10">
        <v>65.87148937682656</v>
      </c>
      <c r="G25" s="10">
        <v>66.699166870239253</v>
      </c>
      <c r="H25" s="10">
        <v>70.279028134765525</v>
      </c>
      <c r="I25" s="10">
        <v>69.302773600807882</v>
      </c>
      <c r="J25" s="10">
        <v>74.790838423941608</v>
      </c>
      <c r="K25" s="10">
        <v>76.188036463966284</v>
      </c>
      <c r="L25" s="10">
        <v>76.188036463966284</v>
      </c>
      <c r="M25" s="10">
        <v>80.751044817867111</v>
      </c>
      <c r="N25" s="10">
        <v>82.818961990568795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>
        <f t="shared" si="0"/>
        <v>75.585678011526838</v>
      </c>
      <c r="AA25" s="10">
        <f t="shared" si="1"/>
        <v>90.152804386413735</v>
      </c>
      <c r="AB25" s="10">
        <f t="shared" si="2"/>
        <v>65.87148937682656</v>
      </c>
    </row>
    <row r="26" spans="1:28" x14ac:dyDescent="0.25">
      <c r="A26" s="9">
        <v>20</v>
      </c>
      <c r="B26" s="10">
        <v>89.277716228241317</v>
      </c>
      <c r="C26" s="10">
        <v>85.553652914719294</v>
      </c>
      <c r="D26" s="10">
        <v>83.53397272966221</v>
      </c>
      <c r="E26" s="10">
        <v>82.265385267633121</v>
      </c>
      <c r="F26" s="10">
        <v>73.290208372739471</v>
      </c>
      <c r="G26" s="10">
        <v>70.295635929820108</v>
      </c>
      <c r="H26" s="10">
        <v>70.306804629940927</v>
      </c>
      <c r="I26" s="10">
        <v>71.502977059275636</v>
      </c>
      <c r="J26" s="10">
        <v>75.209916123495276</v>
      </c>
      <c r="K26" s="10">
        <v>79.101586094726713</v>
      </c>
      <c r="L26" s="10">
        <v>83.329595082535334</v>
      </c>
      <c r="M26" s="10">
        <v>84.725253092859219</v>
      </c>
      <c r="N26" s="10">
        <v>84.392875079781277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>
        <f t="shared" si="0"/>
        <v>79.445044508109987</v>
      </c>
      <c r="AA26" s="10">
        <f t="shared" si="1"/>
        <v>89.277716228241317</v>
      </c>
      <c r="AB26" s="10">
        <f t="shared" si="2"/>
        <v>70.295635929820108</v>
      </c>
    </row>
    <row r="27" spans="1:28" x14ac:dyDescent="0.25">
      <c r="A27" s="9">
        <v>21</v>
      </c>
      <c r="B27" s="10">
        <v>85.252391550562905</v>
      </c>
      <c r="C27" s="10">
        <v>82.588198229950223</v>
      </c>
      <c r="D27" s="10">
        <v>71.219499795393986</v>
      </c>
      <c r="E27" s="10">
        <v>69.561733871083121</v>
      </c>
      <c r="F27" s="10">
        <v>66.291787562703647</v>
      </c>
      <c r="G27" s="10">
        <v>63.742750164539494</v>
      </c>
      <c r="H27" s="10">
        <v>65.084089976587563</v>
      </c>
      <c r="I27" s="10">
        <v>63.890643783239518</v>
      </c>
      <c r="J27" s="10">
        <v>67.580321726852745</v>
      </c>
      <c r="K27" s="10">
        <v>72.378181491726195</v>
      </c>
      <c r="L27" s="10">
        <v>80.189608416928536</v>
      </c>
      <c r="M27" s="10">
        <v>81.567778571788381</v>
      </c>
      <c r="N27" s="10">
        <v>84.392875079781277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>
        <f t="shared" si="0"/>
        <v>73.364604632395199</v>
      </c>
      <c r="AA27" s="10">
        <f t="shared" si="1"/>
        <v>85.252391550562905</v>
      </c>
      <c r="AB27" s="10">
        <f t="shared" si="2"/>
        <v>63.742750164539494</v>
      </c>
    </row>
    <row r="28" spans="1:28" x14ac:dyDescent="0.25">
      <c r="A28" s="9">
        <v>22</v>
      </c>
      <c r="B28" s="10">
        <v>95.737147113229895</v>
      </c>
      <c r="C28" s="10">
        <v>89.152066463184553</v>
      </c>
      <c r="D28" s="10">
        <v>89.676361964203792</v>
      </c>
      <c r="E28" s="10">
        <v>83.36125761542948</v>
      </c>
      <c r="F28" s="10">
        <v>79.193789527509622</v>
      </c>
      <c r="G28" s="10">
        <v>68.694642920204942</v>
      </c>
      <c r="H28" s="10">
        <v>68.031922436139453</v>
      </c>
      <c r="I28" s="10">
        <v>62.862117161185417</v>
      </c>
      <c r="J28" s="10">
        <v>59.453574425237399</v>
      </c>
      <c r="K28" s="10">
        <v>64.723001126635779</v>
      </c>
      <c r="L28" s="10">
        <v>64.575896105923405</v>
      </c>
      <c r="M28" s="10">
        <v>65.732710568710175</v>
      </c>
      <c r="N28" s="10">
        <v>71.808434645276193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>
        <f t="shared" si="0"/>
        <v>74.07714785175925</v>
      </c>
      <c r="AA28" s="10">
        <f t="shared" si="1"/>
        <v>95.737147113229895</v>
      </c>
      <c r="AB28" s="10">
        <f t="shared" si="2"/>
        <v>59.453574425237399</v>
      </c>
    </row>
    <row r="29" spans="1:28" x14ac:dyDescent="0.25">
      <c r="A29" s="9">
        <v>23</v>
      </c>
      <c r="B29" s="10">
        <v>87.318648771035683</v>
      </c>
      <c r="C29" s="10">
        <v>80.72567796841399</v>
      </c>
      <c r="D29" s="10">
        <v>74.790838423941608</v>
      </c>
      <c r="E29" s="10">
        <v>66.291787562703647</v>
      </c>
      <c r="F29" s="10">
        <v>62.936946230597066</v>
      </c>
      <c r="G29" s="10">
        <v>61.099310160599352</v>
      </c>
      <c r="H29" s="10">
        <v>62.157219363840795</v>
      </c>
      <c r="I29" s="10">
        <v>64.037006586816375</v>
      </c>
      <c r="J29" s="10">
        <v>66.291787562703647</v>
      </c>
      <c r="K29" s="10">
        <v>67.31253681304905</v>
      </c>
      <c r="L29" s="10">
        <v>73.737489280068019</v>
      </c>
      <c r="M29" s="10">
        <v>75.880357993618631</v>
      </c>
      <c r="N29" s="10">
        <v>79.841061697965984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>
        <f t="shared" si="0"/>
        <v>70.955436031950313</v>
      </c>
      <c r="AA29" s="10">
        <f t="shared" si="1"/>
        <v>87.318648771035683</v>
      </c>
      <c r="AB29" s="10">
        <f t="shared" si="2"/>
        <v>61.099310160599352</v>
      </c>
    </row>
    <row r="30" spans="1:28" x14ac:dyDescent="0.25">
      <c r="A30" s="9">
        <v>24</v>
      </c>
      <c r="B30" s="10">
        <v>69.616433202942503</v>
      </c>
      <c r="C30" s="10">
        <v>68.630725562523594</v>
      </c>
      <c r="D30" s="10">
        <v>63.472406165815251</v>
      </c>
      <c r="E30" s="10">
        <v>62.012723099250643</v>
      </c>
      <c r="F30" s="10">
        <v>66.759819879049701</v>
      </c>
      <c r="G30" s="10">
        <v>62.327271178886356</v>
      </c>
      <c r="H30" s="10">
        <v>62.786899188970658</v>
      </c>
      <c r="I30" s="10">
        <v>65.155184770327764</v>
      </c>
      <c r="J30" s="10">
        <v>67.069391343588762</v>
      </c>
      <c r="K30" s="10">
        <v>64.037006586816375</v>
      </c>
      <c r="L30" s="10">
        <v>63.442284316336661</v>
      </c>
      <c r="M30" s="10">
        <v>72.360506749185618</v>
      </c>
      <c r="N30" s="10">
        <v>79.661111093631618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>
        <f t="shared" si="0"/>
        <v>66.717827933640422</v>
      </c>
      <c r="AA30" s="10">
        <f t="shared" si="1"/>
        <v>79.661111093631618</v>
      </c>
      <c r="AB30" s="10">
        <f t="shared" si="2"/>
        <v>62.012723099250643</v>
      </c>
    </row>
    <row r="31" spans="1:28" x14ac:dyDescent="0.25">
      <c r="A31" s="9">
        <v>25</v>
      </c>
      <c r="B31" s="10">
        <v>75.354740389794898</v>
      </c>
      <c r="C31" s="10">
        <v>69.616433202942503</v>
      </c>
      <c r="D31" s="10">
        <v>61.528243407321895</v>
      </c>
      <c r="E31" s="10">
        <v>58.41118307464204</v>
      </c>
      <c r="F31" s="10">
        <v>57.876458523541388</v>
      </c>
      <c r="G31" s="10">
        <v>63.593304274154171</v>
      </c>
      <c r="H31" s="10">
        <v>71.907229173052954</v>
      </c>
      <c r="I31" s="10">
        <v>78.833844278754555</v>
      </c>
      <c r="J31" s="10">
        <v>73.627425546942845</v>
      </c>
      <c r="K31" s="10">
        <v>77.207862783481787</v>
      </c>
      <c r="L31" s="10">
        <v>82.818961990568795</v>
      </c>
      <c r="M31" s="10">
        <v>81.324594065900854</v>
      </c>
      <c r="N31" s="10">
        <v>87.083169493220765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>
        <f t="shared" si="0"/>
        <v>72.244880784947654</v>
      </c>
      <c r="AA31" s="10">
        <f t="shared" si="1"/>
        <v>87.083169493220765</v>
      </c>
      <c r="AB31" s="10">
        <f t="shared" si="2"/>
        <v>57.876458523541388</v>
      </c>
    </row>
    <row r="32" spans="1:28" x14ac:dyDescent="0.25">
      <c r="A32" s="9">
        <v>26</v>
      </c>
      <c r="B32" s="10">
        <v>85.11365227039191</v>
      </c>
      <c r="C32" s="10">
        <v>71.808434645276193</v>
      </c>
      <c r="D32" s="10">
        <v>63.549959746338857</v>
      </c>
      <c r="E32" s="10">
        <v>62.482083766699034</v>
      </c>
      <c r="F32" s="10">
        <v>56.425985205068486</v>
      </c>
      <c r="G32" s="10">
        <v>59.385499971646972</v>
      </c>
      <c r="H32" s="10">
        <v>58.954286372354957</v>
      </c>
      <c r="I32" s="10">
        <v>62.006739346876962</v>
      </c>
      <c r="J32" s="10">
        <v>65.296272058668848</v>
      </c>
      <c r="K32" s="10">
        <v>81.158079831414014</v>
      </c>
      <c r="L32" s="10">
        <v>85.388113599959198</v>
      </c>
      <c r="M32" s="10">
        <v>88.283444305094761</v>
      </c>
      <c r="N32" s="10">
        <v>96.542703442597727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>
        <f t="shared" si="0"/>
        <v>72.030404197106776</v>
      </c>
      <c r="AA32" s="10">
        <f t="shared" si="1"/>
        <v>96.542703442597727</v>
      </c>
      <c r="AB32" s="10">
        <f t="shared" si="2"/>
        <v>56.425985205068486</v>
      </c>
    </row>
    <row r="33" spans="1:28" x14ac:dyDescent="0.25">
      <c r="A33" s="9">
        <v>27</v>
      </c>
      <c r="B33" s="10">
        <v>84.93585065488034</v>
      </c>
      <c r="C33" s="10">
        <v>86.206701945338793</v>
      </c>
      <c r="D33" s="10">
        <v>85.74647865707125</v>
      </c>
      <c r="E33" s="10">
        <v>70.481021129204805</v>
      </c>
      <c r="F33" s="10">
        <v>64.037006586816375</v>
      </c>
      <c r="G33" s="10">
        <v>60.025341146773712</v>
      </c>
      <c r="H33" s="10">
        <v>54.040370815581454</v>
      </c>
      <c r="I33" s="10">
        <v>64.607567227841869</v>
      </c>
      <c r="J33" s="10">
        <v>73.846409065303362</v>
      </c>
      <c r="K33" s="10">
        <v>77.689863336652138</v>
      </c>
      <c r="L33" s="10">
        <v>82.968737558370691</v>
      </c>
      <c r="M33" s="10">
        <v>84.392875079781277</v>
      </c>
      <c r="N33" s="10">
        <v>85.714771674595454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>
        <f t="shared" si="0"/>
        <v>74.976384221400892</v>
      </c>
      <c r="AA33" s="10">
        <f t="shared" si="1"/>
        <v>86.206701945338793</v>
      </c>
      <c r="AB33" s="10">
        <f t="shared" si="2"/>
        <v>54.040370815581454</v>
      </c>
    </row>
    <row r="34" spans="1:28" ht="15.75" thickBot="1" x14ac:dyDescent="0.3">
      <c r="A34" s="9">
        <v>28</v>
      </c>
      <c r="B34" s="10">
        <v>88.500299434478777</v>
      </c>
      <c r="C34" s="10">
        <v>82.665948335567847</v>
      </c>
      <c r="D34" s="10">
        <v>74.683288699912481</v>
      </c>
      <c r="E34" s="10">
        <v>71.268343418547644</v>
      </c>
      <c r="F34" s="10">
        <v>70.426534415240695</v>
      </c>
      <c r="G34" s="10">
        <v>69.940095578184994</v>
      </c>
      <c r="H34" s="10">
        <v>68.228128647776614</v>
      </c>
      <c r="I34" s="10">
        <v>70.663521711631745</v>
      </c>
      <c r="J34" s="10">
        <v>65.222516903667213</v>
      </c>
      <c r="K34" s="10">
        <v>73.817406044593596</v>
      </c>
      <c r="L34" s="10">
        <v>79.420482251728856</v>
      </c>
      <c r="M34" s="10">
        <v>79.841061697965984</v>
      </c>
      <c r="N34" s="10">
        <v>81.870162518564499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>
        <f t="shared" si="0"/>
        <v>75.119060742912367</v>
      </c>
      <c r="AA34" s="10">
        <f t="shared" si="1"/>
        <v>88.500299434478777</v>
      </c>
      <c r="AB34" s="10">
        <f t="shared" si="2"/>
        <v>65.222516903667213</v>
      </c>
    </row>
    <row r="35" spans="1:28" ht="16.5" thickTop="1" thickBot="1" x14ac:dyDescent="0.3">
      <c r="A35" s="35" t="s">
        <v>27</v>
      </c>
      <c r="B35" s="36">
        <f>MAX(B7:B34)</f>
        <v>99.111804667896138</v>
      </c>
      <c r="C35" s="36">
        <f t="shared" ref="C35:N35" si="3">MAX(C7:C34)</f>
        <v>99.118304162574816</v>
      </c>
      <c r="D35" s="36">
        <f t="shared" si="3"/>
        <v>98.248312933070963</v>
      </c>
      <c r="E35" s="36">
        <f t="shared" si="3"/>
        <v>98.248312933070963</v>
      </c>
      <c r="F35" s="36">
        <f t="shared" si="3"/>
        <v>90.744461481913447</v>
      </c>
      <c r="G35" s="36">
        <f t="shared" si="3"/>
        <v>87.024329978942021</v>
      </c>
      <c r="H35" s="36">
        <f t="shared" si="3"/>
        <v>88.758392692627268</v>
      </c>
      <c r="I35" s="36">
        <f t="shared" si="3"/>
        <v>94.820268572023863</v>
      </c>
      <c r="J35" s="36">
        <f t="shared" si="3"/>
        <v>95.686157817243497</v>
      </c>
      <c r="K35" s="36">
        <f t="shared" si="3"/>
        <v>94.857344951335847</v>
      </c>
      <c r="L35" s="36">
        <f t="shared" si="3"/>
        <v>94.857344951335847</v>
      </c>
      <c r="M35" s="36">
        <f t="shared" si="3"/>
        <v>98.231145819080723</v>
      </c>
      <c r="N35" s="36">
        <f t="shared" si="3"/>
        <v>100</v>
      </c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8">
        <f>MAX(Z7:Z34)</f>
        <v>88.642077361360336</v>
      </c>
      <c r="AA35" s="38">
        <f>MAX(AA7:AA34)</f>
        <v>100</v>
      </c>
      <c r="AB35" s="38">
        <f>MAX(AB7:AB34)</f>
        <v>83.969930982786138</v>
      </c>
    </row>
    <row r="36" spans="1:28" ht="16.5" thickTop="1" thickBot="1" x14ac:dyDescent="0.3">
      <c r="A36" s="35" t="s">
        <v>28</v>
      </c>
      <c r="B36" s="36">
        <f>MIN(B8:B35)</f>
        <v>69.616433202942503</v>
      </c>
      <c r="C36" s="36">
        <f t="shared" ref="C36:N36" si="4">MIN(C8:C35)</f>
        <v>68.630725562523594</v>
      </c>
      <c r="D36" s="36">
        <f t="shared" si="4"/>
        <v>61.528243407321895</v>
      </c>
      <c r="E36" s="36">
        <f t="shared" si="4"/>
        <v>58.41118307464204</v>
      </c>
      <c r="F36" s="36">
        <f t="shared" si="4"/>
        <v>56.425985205068486</v>
      </c>
      <c r="G36" s="36">
        <f t="shared" si="4"/>
        <v>56.87583283612598</v>
      </c>
      <c r="H36" s="36">
        <f t="shared" si="4"/>
        <v>51.678170495170825</v>
      </c>
      <c r="I36" s="36">
        <f t="shared" si="4"/>
        <v>59.50557001413803</v>
      </c>
      <c r="J36" s="36">
        <f t="shared" si="4"/>
        <v>59.453574425237399</v>
      </c>
      <c r="K36" s="36">
        <f t="shared" si="4"/>
        <v>63.442284316336661</v>
      </c>
      <c r="L36" s="36">
        <f t="shared" si="4"/>
        <v>58.773897429687729</v>
      </c>
      <c r="M36" s="36">
        <f t="shared" si="4"/>
        <v>65.140771878420878</v>
      </c>
      <c r="N36" s="36">
        <f t="shared" si="4"/>
        <v>71.808434645276193</v>
      </c>
      <c r="O36" s="37"/>
      <c r="P36" s="37"/>
      <c r="Q36" s="37"/>
      <c r="R36" s="33"/>
      <c r="S36" s="34"/>
      <c r="T36" s="33"/>
      <c r="U36" s="33"/>
      <c r="V36" s="33"/>
      <c r="W36" s="33"/>
      <c r="X36" s="33"/>
      <c r="Y36" s="33"/>
      <c r="Z36" s="38">
        <f>MIN(Z8:Z35)</f>
        <v>66.717827933640422</v>
      </c>
      <c r="AA36" s="38">
        <f>MIN(AA8:AA35)</f>
        <v>79.661111093631618</v>
      </c>
      <c r="AB36" s="38">
        <f>MIN(AB8:AB35)</f>
        <v>51.678170495170825</v>
      </c>
    </row>
    <row r="37" spans="1:28" ht="15.75" thickTop="1" x14ac:dyDescent="0.25">
      <c r="A37" s="35" t="s">
        <v>35</v>
      </c>
      <c r="B37" s="36">
        <f>AVERAGE(B7:B34)</f>
        <v>89.343996657384295</v>
      </c>
      <c r="C37" s="36">
        <f t="shared" ref="C37:N37" si="5">AVERAGE(C7:C34)</f>
        <v>84.341134649726015</v>
      </c>
      <c r="D37" s="36">
        <f t="shared" si="5"/>
        <v>78.614137300948656</v>
      </c>
      <c r="E37" s="36">
        <f t="shared" si="5"/>
        <v>73.10986055739049</v>
      </c>
      <c r="F37" s="36">
        <f t="shared" si="5"/>
        <v>69.78209703529123</v>
      </c>
      <c r="G37" s="36">
        <f t="shared" si="5"/>
        <v>67.493482785999802</v>
      </c>
      <c r="H37" s="36">
        <f t="shared" si="5"/>
        <v>67.808670968731349</v>
      </c>
      <c r="I37" s="36">
        <f t="shared" si="5"/>
        <v>70.332993109270987</v>
      </c>
      <c r="J37" s="36">
        <f t="shared" si="5"/>
        <v>72.836788386614529</v>
      </c>
      <c r="K37" s="36">
        <f t="shared" si="5"/>
        <v>77.963947720216098</v>
      </c>
      <c r="L37" s="36">
        <f t="shared" si="5"/>
        <v>79.765841789065135</v>
      </c>
      <c r="M37" s="36">
        <f t="shared" si="5"/>
        <v>82.495537220853819</v>
      </c>
      <c r="N37" s="36">
        <f t="shared" si="5"/>
        <v>86.055067182505482</v>
      </c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8">
        <f>AVERAGE(Z9:Z36)</f>
        <v>77.11668298381592</v>
      </c>
      <c r="AA37" s="38">
        <f t="shared" ref="AA37:AB37" si="6">AVERAGE(AA9:AA36)</f>
        <v>91.74005149684865</v>
      </c>
      <c r="AB37" s="38">
        <f t="shared" si="6"/>
        <v>64.138652743420735</v>
      </c>
    </row>
    <row r="38" spans="1:28" x14ac:dyDescent="0.25">
      <c r="A38" s="15"/>
      <c r="AA38" s="16"/>
      <c r="AB38" s="16"/>
    </row>
    <row r="39" spans="1:28" x14ac:dyDescent="0.25">
      <c r="A39" s="19"/>
      <c r="B39" s="19"/>
      <c r="C39" s="16"/>
      <c r="D39" s="16"/>
      <c r="E39" s="16"/>
      <c r="F39" s="19"/>
      <c r="G39" s="57"/>
      <c r="H39" s="57"/>
      <c r="I39" s="57"/>
      <c r="J39" s="57"/>
      <c r="K39" s="57"/>
      <c r="L39" s="57"/>
      <c r="M39" s="20"/>
      <c r="N39" s="20"/>
      <c r="O39" s="20"/>
      <c r="P39" s="20"/>
      <c r="Q39" s="20"/>
      <c r="R39" s="21"/>
      <c r="S39" s="22"/>
      <c r="T39" s="57"/>
      <c r="U39" s="57"/>
      <c r="V39" s="57"/>
      <c r="W39" s="57"/>
      <c r="X39" s="57"/>
      <c r="Y39" s="57"/>
      <c r="Z39" s="57"/>
      <c r="AA39" s="16"/>
      <c r="AB39" s="16"/>
    </row>
    <row r="40" spans="1:28" x14ac:dyDescent="0.25">
      <c r="A40" s="15" t="s">
        <v>30</v>
      </c>
      <c r="AA40" s="16"/>
      <c r="AB40" s="16"/>
    </row>
    <row r="41" spans="1:28" x14ac:dyDescent="0.25">
      <c r="A41" s="17"/>
      <c r="B41" s="18" t="s">
        <v>31</v>
      </c>
      <c r="C41" s="16"/>
      <c r="D41" s="16"/>
      <c r="E41" s="16"/>
      <c r="F41" s="19"/>
      <c r="G41" s="57"/>
      <c r="H41" s="57"/>
      <c r="I41" s="57"/>
      <c r="J41" s="57"/>
      <c r="K41" s="57"/>
      <c r="L41" s="57"/>
      <c r="M41" s="20"/>
      <c r="N41" s="20"/>
      <c r="O41" s="20"/>
      <c r="P41" s="20"/>
      <c r="Q41" s="20"/>
      <c r="R41" s="21"/>
      <c r="S41" s="22"/>
      <c r="AA41" s="16"/>
      <c r="AB41" s="16"/>
    </row>
    <row r="42" spans="1:28" x14ac:dyDescent="0.25">
      <c r="A42" s="19"/>
      <c r="B42" s="19"/>
      <c r="C42" s="16"/>
      <c r="D42" s="16"/>
      <c r="E42" s="16"/>
      <c r="F42" s="19"/>
      <c r="G42" s="57"/>
      <c r="H42" s="57"/>
      <c r="I42" s="57"/>
      <c r="J42" s="57"/>
      <c r="K42" s="57"/>
      <c r="L42" s="57"/>
      <c r="M42" s="20"/>
      <c r="N42" s="20"/>
      <c r="O42" s="20"/>
      <c r="P42" s="20"/>
      <c r="Q42" s="20"/>
      <c r="R42" s="21"/>
      <c r="S42" s="22"/>
      <c r="AB42" s="16"/>
    </row>
    <row r="43" spans="1:28" x14ac:dyDescent="0.25">
      <c r="A43" s="19"/>
      <c r="B43" s="19"/>
      <c r="C43" s="16"/>
      <c r="D43" s="16"/>
      <c r="E43" s="16"/>
      <c r="F43" s="19"/>
      <c r="G43" s="57"/>
      <c r="H43" s="57"/>
      <c r="I43" s="57"/>
      <c r="J43" s="57"/>
      <c r="K43" s="57"/>
      <c r="L43" s="57"/>
      <c r="M43" s="20"/>
      <c r="N43" s="20"/>
      <c r="O43" s="20"/>
      <c r="P43" s="20"/>
      <c r="Q43" s="20"/>
      <c r="R43" s="21"/>
      <c r="S43" s="22"/>
      <c r="Y43" s="21" t="s">
        <v>40</v>
      </c>
      <c r="Z43" s="21"/>
      <c r="AA43" s="21"/>
      <c r="AB43" s="16"/>
    </row>
    <row r="44" spans="1:28" x14ac:dyDescent="0.25">
      <c r="A44" s="19"/>
      <c r="B44" s="19"/>
      <c r="C44" s="16"/>
      <c r="D44" s="16"/>
      <c r="E44" s="16"/>
      <c r="F44" s="19"/>
      <c r="G44" s="57"/>
      <c r="H44" s="57"/>
      <c r="I44" s="57"/>
      <c r="J44" s="57"/>
      <c r="K44" s="57"/>
      <c r="L44" s="57"/>
      <c r="M44" s="20"/>
      <c r="N44" s="20"/>
      <c r="O44" s="20"/>
      <c r="P44" s="20"/>
      <c r="Q44" s="20"/>
      <c r="R44" s="21"/>
      <c r="S44" s="22"/>
      <c r="Y44" s="21"/>
      <c r="Z44" s="21"/>
      <c r="AA44" s="21"/>
      <c r="AB44" s="16"/>
    </row>
    <row r="45" spans="1:28" x14ac:dyDescent="0.25">
      <c r="A45" s="19"/>
      <c r="B45" s="19"/>
      <c r="C45" s="16"/>
      <c r="D45" s="16"/>
      <c r="E45" s="16"/>
      <c r="F45" s="19"/>
      <c r="G45" s="21"/>
      <c r="H45" s="21"/>
      <c r="I45" s="21"/>
      <c r="J45" s="21"/>
      <c r="K45" s="21"/>
      <c r="L45" s="21"/>
      <c r="M45" s="20"/>
      <c r="N45" s="20"/>
      <c r="O45" s="20"/>
      <c r="P45" s="20"/>
      <c r="Q45" s="20"/>
      <c r="R45" s="21"/>
      <c r="S45" s="22"/>
      <c r="Y45" s="21" t="str">
        <f>[1]COVER!X4</f>
        <v>PEMBUAT LAPORAN,</v>
      </c>
      <c r="Z45" s="21"/>
      <c r="AA45" s="21"/>
      <c r="AB45" s="16"/>
    </row>
    <row r="46" spans="1:28" x14ac:dyDescent="0.25">
      <c r="A46" s="19"/>
      <c r="B46" s="19"/>
      <c r="C46" s="16"/>
      <c r="D46" s="16"/>
      <c r="E46" s="16"/>
      <c r="F46" s="19"/>
      <c r="G46" s="21"/>
      <c r="H46" s="21"/>
      <c r="I46" s="21"/>
      <c r="J46" s="20"/>
      <c r="K46" s="20"/>
      <c r="L46" s="20"/>
      <c r="M46" s="20"/>
      <c r="N46" s="20"/>
      <c r="O46" s="22"/>
      <c r="P46" s="23"/>
      <c r="Q46" s="23"/>
      <c r="R46" s="21"/>
      <c r="S46" s="22"/>
      <c r="Y46" s="22"/>
      <c r="Z46" s="21"/>
      <c r="AA46" s="21"/>
    </row>
    <row r="47" spans="1:28" x14ac:dyDescent="0.25">
      <c r="A47" s="19"/>
      <c r="B47" s="19"/>
      <c r="C47" s="16"/>
      <c r="D47" s="16"/>
      <c r="E47" s="16"/>
      <c r="F47" s="19"/>
      <c r="G47" s="58"/>
      <c r="H47" s="58"/>
      <c r="I47" s="58"/>
      <c r="J47" s="58"/>
      <c r="K47" s="58"/>
      <c r="L47" s="58"/>
      <c r="M47" s="24"/>
      <c r="N47" s="24"/>
      <c r="O47" s="24"/>
      <c r="P47" s="24"/>
      <c r="Q47" s="24"/>
      <c r="R47" s="21"/>
      <c r="S47" s="22"/>
      <c r="Y47" s="22"/>
      <c r="Z47" s="21"/>
      <c r="AA47" s="21"/>
    </row>
    <row r="48" spans="1:28" x14ac:dyDescent="0.25">
      <c r="A48" s="19"/>
      <c r="B48" s="19"/>
      <c r="C48" s="16"/>
      <c r="D48" s="16"/>
      <c r="E48" s="16"/>
      <c r="F48" s="19"/>
      <c r="G48" s="57"/>
      <c r="H48" s="57"/>
      <c r="I48" s="57"/>
      <c r="J48" s="57"/>
      <c r="K48" s="57"/>
      <c r="L48" s="57"/>
      <c r="M48" s="25"/>
      <c r="N48" s="25"/>
      <c r="O48" s="25"/>
      <c r="P48" s="25"/>
      <c r="Q48" s="25"/>
      <c r="R48" s="21"/>
      <c r="S48" s="22"/>
      <c r="Y48" s="22"/>
      <c r="Z48" s="21"/>
      <c r="AA48" s="21"/>
    </row>
    <row r="49" spans="25:27" x14ac:dyDescent="0.25">
      <c r="Y49" s="26" t="s">
        <v>33</v>
      </c>
      <c r="Z49" s="26"/>
      <c r="AA49" s="26"/>
    </row>
    <row r="50" spans="25:27" x14ac:dyDescent="0.25">
      <c r="Y50" s="21" t="s">
        <v>34</v>
      </c>
      <c r="Z50" s="21"/>
      <c r="AA50" s="21"/>
    </row>
  </sheetData>
  <mergeCells count="9">
    <mergeCell ref="Y3:Z3"/>
    <mergeCell ref="G39:L39"/>
    <mergeCell ref="T39:Z39"/>
    <mergeCell ref="G47:L47"/>
    <mergeCell ref="G48:L48"/>
    <mergeCell ref="G41:L41"/>
    <mergeCell ref="G44:L44"/>
    <mergeCell ref="G42:L42"/>
    <mergeCell ref="G43:L43"/>
  </mergeCells>
  <pageMargins left="1.26" right="0.7" top="0.75" bottom="0.75" header="0.3" footer="0.3"/>
  <pageSetup paperSize="9" scale="65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2:AB53"/>
  <sheetViews>
    <sheetView workbookViewId="0">
      <selection activeCell="U12" sqref="U12"/>
    </sheetView>
  </sheetViews>
  <sheetFormatPr defaultRowHeight="15" x14ac:dyDescent="0.25"/>
  <cols>
    <col min="1" max="28" width="5.7109375" customWidth="1"/>
  </cols>
  <sheetData>
    <row r="2" spans="1:28" x14ac:dyDescent="0.25">
      <c r="R2" s="1" t="s">
        <v>0</v>
      </c>
      <c r="T2" s="1"/>
      <c r="W2" s="1"/>
    </row>
    <row r="3" spans="1:28" x14ac:dyDescent="0.25">
      <c r="R3" s="1" t="s">
        <v>1</v>
      </c>
      <c r="T3" s="1" t="str">
        <f>'[3]1'!AA1</f>
        <v>MARET</v>
      </c>
      <c r="V3" s="2">
        <f>JANUARI!V3</f>
        <v>2022</v>
      </c>
      <c r="W3" s="1"/>
      <c r="Y3" s="59"/>
      <c r="Z3" s="59"/>
      <c r="AA3" s="2"/>
    </row>
    <row r="5" spans="1:2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4" t="s">
        <v>32</v>
      </c>
      <c r="AA5" s="4" t="s">
        <v>27</v>
      </c>
      <c r="AB5" s="4" t="s">
        <v>28</v>
      </c>
    </row>
    <row r="6" spans="1:28" x14ac:dyDescent="0.25">
      <c r="A6" s="5" t="s">
        <v>29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  <c r="P6" s="5">
        <v>15</v>
      </c>
      <c r="Q6" s="5">
        <v>16</v>
      </c>
      <c r="R6" s="5">
        <v>17</v>
      </c>
      <c r="S6" s="5">
        <v>18</v>
      </c>
      <c r="T6" s="5">
        <v>19</v>
      </c>
      <c r="U6" s="5">
        <v>20</v>
      </c>
      <c r="V6" s="5">
        <v>21</v>
      </c>
      <c r="W6" s="5">
        <v>22</v>
      </c>
      <c r="X6" s="5">
        <v>23</v>
      </c>
      <c r="Y6" s="5">
        <v>24</v>
      </c>
      <c r="Z6" s="5">
        <v>25</v>
      </c>
      <c r="AA6" s="5">
        <v>26</v>
      </c>
      <c r="AB6" s="5">
        <v>27</v>
      </c>
    </row>
    <row r="7" spans="1:28" x14ac:dyDescent="0.25">
      <c r="A7" s="6">
        <v>1</v>
      </c>
      <c r="B7" s="7">
        <v>81.93474538130927</v>
      </c>
      <c r="C7" s="7">
        <v>75.5087640076149</v>
      </c>
      <c r="D7" s="7">
        <v>70.534262536178971</v>
      </c>
      <c r="E7" s="7">
        <v>59.864099621704895</v>
      </c>
      <c r="F7" s="7">
        <v>56.773204762458128</v>
      </c>
      <c r="G7" s="7">
        <v>58.202923077934045</v>
      </c>
      <c r="H7" s="7">
        <v>62.692642780679932</v>
      </c>
      <c r="I7" s="7">
        <v>61.701086461119935</v>
      </c>
      <c r="J7" s="7">
        <v>66.661614293760735</v>
      </c>
      <c r="K7" s="7">
        <v>77.500110101760797</v>
      </c>
      <c r="L7" s="7">
        <v>75.278017067974289</v>
      </c>
      <c r="M7" s="7">
        <v>78.650583612557497</v>
      </c>
      <c r="N7" s="7">
        <v>81.324594065900854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7">
        <f>AVERAGE(B7:N7)</f>
        <v>69.740511366996486</v>
      </c>
      <c r="AA7" s="7">
        <f>MAX(B7:N7)</f>
        <v>81.93474538130927</v>
      </c>
      <c r="AB7" s="7">
        <f>MIN(B7:Y7)</f>
        <v>56.773204762458128</v>
      </c>
    </row>
    <row r="8" spans="1:28" x14ac:dyDescent="0.25">
      <c r="A8" s="9">
        <v>2</v>
      </c>
      <c r="B8" s="10">
        <v>85.252391550562905</v>
      </c>
      <c r="C8" s="10">
        <v>79.661111093631618</v>
      </c>
      <c r="D8" s="10">
        <v>69.432938262154266</v>
      </c>
      <c r="E8" s="10">
        <v>68.359313222541118</v>
      </c>
      <c r="F8" s="10">
        <v>72.262295922601993</v>
      </c>
      <c r="G8" s="10">
        <v>76.288451319675147</v>
      </c>
      <c r="H8" s="10">
        <v>80.060640139168598</v>
      </c>
      <c r="I8" s="10">
        <v>90.197634108095627</v>
      </c>
      <c r="J8" s="10">
        <v>94.929677919351548</v>
      </c>
      <c r="K8" s="10">
        <v>88.707884038296882</v>
      </c>
      <c r="L8" s="10">
        <v>90.97768104354212</v>
      </c>
      <c r="M8" s="10">
        <v>94.905832015442712</v>
      </c>
      <c r="N8" s="10">
        <v>97.402346673399194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0">
        <f t="shared" ref="Z8:Z37" si="0">AVERAGE(B8:N8)</f>
        <v>83.726015177574126</v>
      </c>
      <c r="AA8" s="10">
        <f t="shared" ref="AA8:AA37" si="1">MAX(B8:N8)</f>
        <v>97.402346673399194</v>
      </c>
      <c r="AB8" s="10">
        <f t="shared" ref="AB8:AB37" si="2">MIN(B8:Y8)</f>
        <v>68.359313222541118</v>
      </c>
    </row>
    <row r="9" spans="1:28" x14ac:dyDescent="0.25">
      <c r="A9" s="9">
        <v>3</v>
      </c>
      <c r="B9" s="10">
        <v>83.47951680701334</v>
      </c>
      <c r="C9" s="10">
        <v>73.897492943518245</v>
      </c>
      <c r="D9" s="10">
        <v>67.215482099335503</v>
      </c>
      <c r="E9" s="10">
        <v>68.226128580990107</v>
      </c>
      <c r="F9" s="10">
        <v>69.940095578184994</v>
      </c>
      <c r="G9" s="10">
        <v>73.954200751397892</v>
      </c>
      <c r="H9" s="10">
        <v>75.106783972489893</v>
      </c>
      <c r="I9" s="10">
        <v>74.526912339076702</v>
      </c>
      <c r="J9" s="10">
        <v>77.547923062771758</v>
      </c>
      <c r="K9" s="10">
        <v>79.375895765672524</v>
      </c>
      <c r="L9" s="10">
        <v>83.53397272966221</v>
      </c>
      <c r="M9" s="10">
        <v>90.241980925036074</v>
      </c>
      <c r="N9" s="10">
        <v>94.163464436136877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0">
        <f t="shared" si="0"/>
        <v>77.785373076252782</v>
      </c>
      <c r="AA9" s="10">
        <f t="shared" si="1"/>
        <v>94.163464436136877</v>
      </c>
      <c r="AB9" s="10">
        <f t="shared" si="2"/>
        <v>67.215482099335503</v>
      </c>
    </row>
    <row r="10" spans="1:28" x14ac:dyDescent="0.25">
      <c r="A10" s="9">
        <v>4</v>
      </c>
      <c r="B10" s="10">
        <v>89.152066463184553</v>
      </c>
      <c r="C10" s="10">
        <v>81.158079831414014</v>
      </c>
      <c r="D10" s="10">
        <v>73.985480335888511</v>
      </c>
      <c r="E10" s="10">
        <v>70.419549564463992</v>
      </c>
      <c r="F10" s="10">
        <v>70.968093696139277</v>
      </c>
      <c r="G10" s="10">
        <v>68.54843367058875</v>
      </c>
      <c r="H10" s="10">
        <v>65.998048909915894</v>
      </c>
      <c r="I10" s="10">
        <v>70.185833175268371</v>
      </c>
      <c r="J10" s="10">
        <v>72.492860597196724</v>
      </c>
      <c r="K10" s="10">
        <v>81.567778571788381</v>
      </c>
      <c r="L10" s="10">
        <v>85.840587858319296</v>
      </c>
      <c r="M10" s="10">
        <v>85.778016219296006</v>
      </c>
      <c r="N10" s="10">
        <v>87.198956473953885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0">
        <f t="shared" si="0"/>
        <v>77.17644502826289</v>
      </c>
      <c r="AA10" s="10">
        <f t="shared" si="1"/>
        <v>89.152066463184553</v>
      </c>
      <c r="AB10" s="10">
        <f t="shared" si="2"/>
        <v>65.998048909915894</v>
      </c>
    </row>
    <row r="11" spans="1:28" x14ac:dyDescent="0.25">
      <c r="A11" s="9">
        <v>5</v>
      </c>
      <c r="B11" s="10">
        <v>93.23225285248688</v>
      </c>
      <c r="C11" s="10">
        <v>84.113958008242946</v>
      </c>
      <c r="D11" s="10">
        <v>73.290208372739471</v>
      </c>
      <c r="E11" s="10">
        <v>74.313740619690805</v>
      </c>
      <c r="F11" s="10">
        <v>71.502977059275636</v>
      </c>
      <c r="G11" s="10">
        <v>74.42088280638572</v>
      </c>
      <c r="H11" s="10">
        <v>73.403801579739962</v>
      </c>
      <c r="I11" s="10">
        <v>73.737489280068019</v>
      </c>
      <c r="J11" s="10">
        <v>74.8972604533881</v>
      </c>
      <c r="K11" s="10">
        <v>77.500110101760797</v>
      </c>
      <c r="L11" s="10">
        <v>81.406521414660631</v>
      </c>
      <c r="M11" s="10">
        <v>82.742865676712952</v>
      </c>
      <c r="N11" s="10">
        <v>82.588198229950223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0">
        <f t="shared" si="0"/>
        <v>78.242328188854003</v>
      </c>
      <c r="AA11" s="10">
        <f t="shared" si="1"/>
        <v>93.23225285248688</v>
      </c>
      <c r="AB11" s="10">
        <f t="shared" si="2"/>
        <v>71.502977059275636</v>
      </c>
    </row>
    <row r="12" spans="1:28" x14ac:dyDescent="0.25">
      <c r="A12" s="9">
        <v>6</v>
      </c>
      <c r="B12" s="10">
        <v>92.234637268432095</v>
      </c>
      <c r="C12" s="10">
        <v>86.84391758944578</v>
      </c>
      <c r="D12" s="10">
        <v>74.844083714500869</v>
      </c>
      <c r="E12" s="10">
        <v>69.302773600807882</v>
      </c>
      <c r="F12" s="10">
        <v>67.039089716075779</v>
      </c>
      <c r="G12" s="10">
        <v>66.661614293760735</v>
      </c>
      <c r="H12" s="10">
        <v>67.842600044991912</v>
      </c>
      <c r="I12" s="10">
        <v>65.087867682171279</v>
      </c>
      <c r="J12" s="10">
        <v>65.929364226997365</v>
      </c>
      <c r="K12" s="10">
        <v>67.965835729306434</v>
      </c>
      <c r="L12" s="10">
        <v>71.463418455242063</v>
      </c>
      <c r="M12" s="10">
        <v>77.831603044410059</v>
      </c>
      <c r="N12" s="10">
        <v>83.386946886828312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0">
        <f t="shared" si="0"/>
        <v>73.57182709638235</v>
      </c>
      <c r="AA12" s="10">
        <f t="shared" si="1"/>
        <v>92.234637268432095</v>
      </c>
      <c r="AB12" s="10">
        <f t="shared" si="2"/>
        <v>65.087867682171279</v>
      </c>
    </row>
    <row r="13" spans="1:28" x14ac:dyDescent="0.25">
      <c r="A13" s="9">
        <v>7</v>
      </c>
      <c r="B13" s="10">
        <v>93.263970887488853</v>
      </c>
      <c r="C13" s="10">
        <v>84.778538554989979</v>
      </c>
      <c r="D13" s="10">
        <v>78.320328916904955</v>
      </c>
      <c r="E13" s="10">
        <v>75.22478195265451</v>
      </c>
      <c r="F13" s="10">
        <v>69.087682892353442</v>
      </c>
      <c r="G13" s="10">
        <v>70.002009832208074</v>
      </c>
      <c r="H13" s="10">
        <v>68.556483518474465</v>
      </c>
      <c r="I13" s="10">
        <v>70.063602699831179</v>
      </c>
      <c r="J13" s="10">
        <v>71.208919124870533</v>
      </c>
      <c r="K13" s="10">
        <v>70.970344401697773</v>
      </c>
      <c r="L13" s="10">
        <v>74.353712606600766</v>
      </c>
      <c r="M13" s="10">
        <v>85.650844615991446</v>
      </c>
      <c r="N13" s="10">
        <v>90.241980925036074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0">
        <f t="shared" si="0"/>
        <v>77.055630840700161</v>
      </c>
      <c r="AA13" s="10">
        <f t="shared" si="1"/>
        <v>93.263970887488853</v>
      </c>
      <c r="AB13" s="10">
        <f t="shared" si="2"/>
        <v>68.556483518474465</v>
      </c>
    </row>
    <row r="14" spans="1:28" x14ac:dyDescent="0.25">
      <c r="A14" s="9">
        <v>8</v>
      </c>
      <c r="B14" s="10">
        <v>88.338556606876153</v>
      </c>
      <c r="C14" s="10">
        <v>87.14137533712541</v>
      </c>
      <c r="D14" s="10">
        <v>78.023196869385998</v>
      </c>
      <c r="E14" s="10">
        <v>74.313740619690805</v>
      </c>
      <c r="F14" s="10">
        <v>73.627425546942845</v>
      </c>
      <c r="G14" s="10">
        <v>70.063602699831179</v>
      </c>
      <c r="H14" s="10">
        <v>69.129825374936743</v>
      </c>
      <c r="I14" s="10">
        <v>67.52939348140707</v>
      </c>
      <c r="J14" s="10">
        <v>67.907326992273624</v>
      </c>
      <c r="K14" s="10">
        <v>72.378181491726195</v>
      </c>
      <c r="L14" s="10">
        <v>73.627425546942845</v>
      </c>
      <c r="M14" s="10">
        <v>85.778016219296006</v>
      </c>
      <c r="N14" s="10">
        <v>88.758392692627268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0">
        <f t="shared" si="0"/>
        <v>76.662804575312464</v>
      </c>
      <c r="AA14" s="10">
        <f t="shared" si="1"/>
        <v>88.758392692627268</v>
      </c>
      <c r="AB14" s="10">
        <f t="shared" si="2"/>
        <v>67.52939348140707</v>
      </c>
    </row>
    <row r="15" spans="1:28" x14ac:dyDescent="0.25">
      <c r="A15" s="9">
        <v>9</v>
      </c>
      <c r="B15" s="10">
        <v>95.776939219542612</v>
      </c>
      <c r="C15" s="10">
        <v>95.022497897906916</v>
      </c>
      <c r="D15" s="10">
        <v>90.241980925036074</v>
      </c>
      <c r="E15" s="10">
        <v>77.879884789248322</v>
      </c>
      <c r="F15" s="10">
        <v>76.387818684939546</v>
      </c>
      <c r="G15" s="10">
        <v>76.583468902286143</v>
      </c>
      <c r="H15" s="10">
        <v>73.388540588710029</v>
      </c>
      <c r="I15" s="10">
        <v>74.37439491091294</v>
      </c>
      <c r="J15" s="10">
        <v>75.158484273679989</v>
      </c>
      <c r="K15" s="10">
        <v>81.72565273312577</v>
      </c>
      <c r="L15" s="10">
        <v>79.286008484751306</v>
      </c>
      <c r="M15" s="10">
        <v>85.840587858319296</v>
      </c>
      <c r="N15" s="10">
        <v>90.219867449902509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0">
        <f t="shared" si="0"/>
        <v>82.452778978335488</v>
      </c>
      <c r="AA15" s="10">
        <f t="shared" si="1"/>
        <v>95.776939219542612</v>
      </c>
      <c r="AB15" s="10">
        <f t="shared" si="2"/>
        <v>73.388540588710029</v>
      </c>
    </row>
    <row r="16" spans="1:28" x14ac:dyDescent="0.25">
      <c r="A16" s="9">
        <v>10</v>
      </c>
      <c r="B16" s="10">
        <v>99.12889752649663</v>
      </c>
      <c r="C16" s="10">
        <v>96.575465562829351</v>
      </c>
      <c r="D16" s="10">
        <v>90.26397538441725</v>
      </c>
      <c r="E16" s="10">
        <v>76.642437179068139</v>
      </c>
      <c r="F16" s="10">
        <v>76.288451319675147</v>
      </c>
      <c r="G16" s="10">
        <v>81.956325304643215</v>
      </c>
      <c r="H16" s="10">
        <v>77.179643109755858</v>
      </c>
      <c r="I16" s="10">
        <v>71.502977059275636</v>
      </c>
      <c r="J16" s="10">
        <v>73.846409065303362</v>
      </c>
      <c r="K16" s="10">
        <v>76.288451319675147</v>
      </c>
      <c r="L16" s="10">
        <v>81.487578849068441</v>
      </c>
      <c r="M16" s="10">
        <v>82.818961990568795</v>
      </c>
      <c r="N16" s="10">
        <v>91.76423123386563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>
        <f t="shared" si="0"/>
        <v>82.749523454203256</v>
      </c>
      <c r="AA16" s="10">
        <f t="shared" si="1"/>
        <v>99.12889752649663</v>
      </c>
      <c r="AB16" s="10">
        <f t="shared" si="2"/>
        <v>71.502977059275636</v>
      </c>
    </row>
    <row r="17" spans="1:28" x14ac:dyDescent="0.25">
      <c r="A17" s="9">
        <v>11</v>
      </c>
      <c r="B17" s="10">
        <v>93.982304522171901</v>
      </c>
      <c r="C17" s="10">
        <v>91.610285518898209</v>
      </c>
      <c r="D17" s="10">
        <v>82.818961990568795</v>
      </c>
      <c r="E17" s="10">
        <v>77.500110101760797</v>
      </c>
      <c r="F17" s="10">
        <v>73.168395429676977</v>
      </c>
      <c r="G17" s="10">
        <v>70.246475189369832</v>
      </c>
      <c r="H17" s="10">
        <v>66.564776169429933</v>
      </c>
      <c r="I17" s="10">
        <v>64.181859698380748</v>
      </c>
      <c r="J17" s="10">
        <v>77.403724295248693</v>
      </c>
      <c r="K17" s="10">
        <v>82.818961990568795</v>
      </c>
      <c r="L17" s="10">
        <v>91.570732721093307</v>
      </c>
      <c r="M17" s="10">
        <v>91.570732721093307</v>
      </c>
      <c r="N17" s="10">
        <v>91.570732721093307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>
        <f t="shared" si="0"/>
        <v>81.154465620719606</v>
      </c>
      <c r="AA17" s="10">
        <f t="shared" si="1"/>
        <v>93.982304522171901</v>
      </c>
      <c r="AB17" s="10">
        <f t="shared" si="2"/>
        <v>64.181859698380748</v>
      </c>
    </row>
    <row r="18" spans="1:28" x14ac:dyDescent="0.25">
      <c r="A18" s="9">
        <v>12</v>
      </c>
      <c r="B18" s="10">
        <v>89.152066463184553</v>
      </c>
      <c r="C18" s="10">
        <v>83.969930982786138</v>
      </c>
      <c r="D18" s="10">
        <v>81.647132592884702</v>
      </c>
      <c r="E18" s="10">
        <v>74.36745176745147</v>
      </c>
      <c r="F18" s="10">
        <v>69.53087395956544</v>
      </c>
      <c r="G18" s="10">
        <v>71.618485316430721</v>
      </c>
      <c r="H18" s="10">
        <v>70.306804629940927</v>
      </c>
      <c r="I18" s="10">
        <v>73.333931893494324</v>
      </c>
      <c r="J18" s="10">
        <v>74.790838423941608</v>
      </c>
      <c r="K18" s="10">
        <v>93.341761138885474</v>
      </c>
      <c r="L18" s="10">
        <v>97.420848300357392</v>
      </c>
      <c r="M18" s="10">
        <v>97.426947704947793</v>
      </c>
      <c r="N18" s="10">
        <v>96.583543673787005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>
        <f t="shared" si="0"/>
        <v>82.576201295973661</v>
      </c>
      <c r="AA18" s="10">
        <f t="shared" si="1"/>
        <v>97.426947704947793</v>
      </c>
      <c r="AB18" s="10">
        <f t="shared" si="2"/>
        <v>69.53087395956544</v>
      </c>
    </row>
    <row r="19" spans="1:28" x14ac:dyDescent="0.25">
      <c r="A19" s="9">
        <v>13</v>
      </c>
      <c r="B19" s="10">
        <v>92.417861155998366</v>
      </c>
      <c r="C19" s="10">
        <v>86.300618759302623</v>
      </c>
      <c r="D19" s="10">
        <v>79.853642841431665</v>
      </c>
      <c r="E19" s="10">
        <v>73.550683808263827</v>
      </c>
      <c r="F19" s="10">
        <v>65.157006187363564</v>
      </c>
      <c r="G19" s="10">
        <v>66.244302282615067</v>
      </c>
      <c r="H19" s="10">
        <v>61.772640092012487</v>
      </c>
      <c r="I19" s="10">
        <v>60.820648257169466</v>
      </c>
      <c r="J19" s="10">
        <v>63.343482991922606</v>
      </c>
      <c r="K19" s="10">
        <v>74.954312989357916</v>
      </c>
      <c r="L19" s="10">
        <v>81.747392354782136</v>
      </c>
      <c r="M19" s="10">
        <v>93.357066109442584</v>
      </c>
      <c r="N19" s="10">
        <v>94.136427807973831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>
        <f t="shared" si="0"/>
        <v>76.435083510587418</v>
      </c>
      <c r="AA19" s="10">
        <f t="shared" si="1"/>
        <v>94.136427807973831</v>
      </c>
      <c r="AB19" s="10">
        <f t="shared" si="2"/>
        <v>60.820648257169466</v>
      </c>
    </row>
    <row r="20" spans="1:28" x14ac:dyDescent="0.25">
      <c r="A20" s="9">
        <v>14</v>
      </c>
      <c r="B20" s="10">
        <v>93.310899934118908</v>
      </c>
      <c r="C20" s="10">
        <v>89.565679958987744</v>
      </c>
      <c r="D20" s="10">
        <v>77.783258701669766</v>
      </c>
      <c r="E20" s="10">
        <v>70.366823657378404</v>
      </c>
      <c r="F20" s="10">
        <v>67.52939348140707</v>
      </c>
      <c r="G20" s="10">
        <v>66.402815546958095</v>
      </c>
      <c r="H20" s="10">
        <v>64.815566337493507</v>
      </c>
      <c r="I20" s="10">
        <v>68.09952255247191</v>
      </c>
      <c r="J20" s="10">
        <v>70.185833175268371</v>
      </c>
      <c r="K20" s="10">
        <v>81.487578849068441</v>
      </c>
      <c r="L20" s="10">
        <v>88.707884038296882</v>
      </c>
      <c r="M20" s="10">
        <v>90.936312785053204</v>
      </c>
      <c r="N20" s="10">
        <v>91.68809926880499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>
        <f t="shared" si="0"/>
        <v>78.529205252844406</v>
      </c>
      <c r="AA20" s="10">
        <f t="shared" si="1"/>
        <v>93.310899934118908</v>
      </c>
      <c r="AB20" s="10">
        <f t="shared" si="2"/>
        <v>64.815566337493507</v>
      </c>
    </row>
    <row r="21" spans="1:28" x14ac:dyDescent="0.25">
      <c r="A21" s="9">
        <v>15</v>
      </c>
      <c r="B21" s="10">
        <v>98.281521692045985</v>
      </c>
      <c r="C21" s="10">
        <v>96.591577461984471</v>
      </c>
      <c r="D21" s="10">
        <v>94.905832015442712</v>
      </c>
      <c r="E21" s="10">
        <v>98.265101285460787</v>
      </c>
      <c r="F21" s="10">
        <v>92.470882622427581</v>
      </c>
      <c r="G21" s="10">
        <v>81.158079831414014</v>
      </c>
      <c r="H21" s="10">
        <v>79.751570735784398</v>
      </c>
      <c r="I21" s="10">
        <v>77.536418360475921</v>
      </c>
      <c r="J21" s="10">
        <v>78.368269882760842</v>
      </c>
      <c r="K21" s="10">
        <v>76.231615849498809</v>
      </c>
      <c r="L21" s="10">
        <v>85.714771674595454</v>
      </c>
      <c r="M21" s="10">
        <v>90.152804386413735</v>
      </c>
      <c r="N21" s="10">
        <v>91.68809926880499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>
        <f t="shared" si="0"/>
        <v>87.778195774393055</v>
      </c>
      <c r="AA21" s="10">
        <f t="shared" si="1"/>
        <v>98.281521692045985</v>
      </c>
      <c r="AB21" s="10">
        <f t="shared" si="2"/>
        <v>76.231615849498809</v>
      </c>
    </row>
    <row r="22" spans="1:28" x14ac:dyDescent="0.25">
      <c r="A22" s="9">
        <v>16</v>
      </c>
      <c r="B22" s="10">
        <v>93.967822792523947</v>
      </c>
      <c r="C22" s="10">
        <v>83.969930982786138</v>
      </c>
      <c r="D22" s="10">
        <v>77.257218949011659</v>
      </c>
      <c r="E22" s="10">
        <v>73.00025131200691</v>
      </c>
      <c r="F22" s="10">
        <v>70.783615739250223</v>
      </c>
      <c r="G22" s="10">
        <v>67.52939348140707</v>
      </c>
      <c r="H22" s="10">
        <v>71.308960902813283</v>
      </c>
      <c r="I22" s="10">
        <v>75.512973119707212</v>
      </c>
      <c r="J22" s="10">
        <v>76.092794436640972</v>
      </c>
      <c r="K22" s="10">
        <v>94.782567829893352</v>
      </c>
      <c r="L22" s="10">
        <v>93.101814744269959</v>
      </c>
      <c r="M22" s="10">
        <v>93.101814744269959</v>
      </c>
      <c r="N22" s="10">
        <v>93.101814744269959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>
        <f t="shared" si="0"/>
        <v>81.808536444526965</v>
      </c>
      <c r="AA22" s="10">
        <f t="shared" si="1"/>
        <v>94.782567829893352</v>
      </c>
      <c r="AB22" s="10">
        <f t="shared" si="2"/>
        <v>67.52939348140707</v>
      </c>
    </row>
    <row r="23" spans="1:28" x14ac:dyDescent="0.25">
      <c r="A23" s="9">
        <v>17</v>
      </c>
      <c r="B23" s="10">
        <v>91.49030389721446</v>
      </c>
      <c r="C23" s="10">
        <v>83.27457998973739</v>
      </c>
      <c r="D23" s="10">
        <v>78.210768764976834</v>
      </c>
      <c r="E23" s="10">
        <v>71.327459226856419</v>
      </c>
      <c r="F23" s="10">
        <v>70.426534415240695</v>
      </c>
      <c r="G23" s="10">
        <v>71.902113313051856</v>
      </c>
      <c r="H23" s="10">
        <v>74.628404029991131</v>
      </c>
      <c r="I23" s="10">
        <v>65.42092889006355</v>
      </c>
      <c r="J23" s="10">
        <v>69.636133951420746</v>
      </c>
      <c r="K23" s="10">
        <v>73.679306414265739</v>
      </c>
      <c r="L23" s="10">
        <v>77.055254220699581</v>
      </c>
      <c r="M23" s="10">
        <v>82.031624455479871</v>
      </c>
      <c r="N23" s="10">
        <v>87.531808735198595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>
        <f>AVERAGE(B23:N23)</f>
        <v>76.662709254169002</v>
      </c>
      <c r="AA23" s="10">
        <f t="shared" si="1"/>
        <v>91.49030389721446</v>
      </c>
      <c r="AB23" s="10">
        <f t="shared" si="2"/>
        <v>65.42092889006355</v>
      </c>
    </row>
    <row r="24" spans="1:28" x14ac:dyDescent="0.25">
      <c r="A24" s="9">
        <v>18</v>
      </c>
      <c r="B24" s="10">
        <v>87.977252816761265</v>
      </c>
      <c r="C24" s="10">
        <v>78.833844278754555</v>
      </c>
      <c r="D24" s="10">
        <v>73.168395429676977</v>
      </c>
      <c r="E24" s="10">
        <v>71.732809990983498</v>
      </c>
      <c r="F24" s="10">
        <v>75.0908627897592</v>
      </c>
      <c r="G24" s="10">
        <v>75.806823288786362</v>
      </c>
      <c r="H24" s="10">
        <v>87.000035270188846</v>
      </c>
      <c r="I24" s="10">
        <v>84.9164786910125</v>
      </c>
      <c r="J24" s="10">
        <v>90.936312785053204</v>
      </c>
      <c r="K24" s="10">
        <v>89.375791190256564</v>
      </c>
      <c r="L24" s="10">
        <v>90.329253075595716</v>
      </c>
      <c r="M24" s="10">
        <v>90.329253075595716</v>
      </c>
      <c r="N24" s="10">
        <v>91.929622498239695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>
        <f t="shared" si="0"/>
        <v>83.648210398512617</v>
      </c>
      <c r="AA24" s="10">
        <f t="shared" si="1"/>
        <v>91.929622498239695</v>
      </c>
      <c r="AB24" s="10">
        <f t="shared" si="2"/>
        <v>71.732809990983498</v>
      </c>
    </row>
    <row r="25" spans="1:28" x14ac:dyDescent="0.25">
      <c r="A25" s="9">
        <v>19</v>
      </c>
      <c r="B25" s="10">
        <v>91.76423123386563</v>
      </c>
      <c r="C25" s="10">
        <v>90.414674222953053</v>
      </c>
      <c r="D25" s="10">
        <v>77.783258701669766</v>
      </c>
      <c r="E25" s="10">
        <v>80.844153787245361</v>
      </c>
      <c r="F25" s="10">
        <v>74.166461988785088</v>
      </c>
      <c r="G25" s="10">
        <v>71.618485316430721</v>
      </c>
      <c r="H25" s="10">
        <v>71.502977059275636</v>
      </c>
      <c r="I25" s="10">
        <v>71.7895335799344</v>
      </c>
      <c r="J25" s="10">
        <v>72.774389198543687</v>
      </c>
      <c r="K25" s="10">
        <v>74.42088280638572</v>
      </c>
      <c r="L25" s="10">
        <v>76.841388548609814</v>
      </c>
      <c r="M25" s="10">
        <v>80.751044817867111</v>
      </c>
      <c r="N25" s="10">
        <v>84.981826594222483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>
        <f t="shared" si="0"/>
        <v>78.434869835060653</v>
      </c>
      <c r="AA25" s="10">
        <f t="shared" si="1"/>
        <v>91.76423123386563</v>
      </c>
      <c r="AB25" s="10">
        <f t="shared" si="2"/>
        <v>71.502977059275636</v>
      </c>
    </row>
    <row r="26" spans="1:28" x14ac:dyDescent="0.25">
      <c r="A26" s="9">
        <v>20</v>
      </c>
      <c r="B26" s="10">
        <v>85.183404505612287</v>
      </c>
      <c r="C26" s="10">
        <v>78.272129214173759</v>
      </c>
      <c r="D26" s="10">
        <v>72.538694573499654</v>
      </c>
      <c r="E26" s="10">
        <v>71.149184188620822</v>
      </c>
      <c r="F26" s="10">
        <v>68.421303550004168</v>
      </c>
      <c r="G26" s="10">
        <v>64.948522456820541</v>
      </c>
      <c r="H26" s="10">
        <v>63.664428451879665</v>
      </c>
      <c r="I26" s="10">
        <v>66.564776169429933</v>
      </c>
      <c r="J26" s="10">
        <v>71.149184188620822</v>
      </c>
      <c r="K26" s="10">
        <v>72.145186899335471</v>
      </c>
      <c r="L26" s="10">
        <v>73.175405263054287</v>
      </c>
      <c r="M26" s="10">
        <v>77.007783360974742</v>
      </c>
      <c r="N26" s="10">
        <v>79.661111093631618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>
        <f t="shared" si="0"/>
        <v>72.606239531973657</v>
      </c>
      <c r="AA26" s="10">
        <f t="shared" si="1"/>
        <v>85.183404505612287</v>
      </c>
      <c r="AB26" s="10">
        <f t="shared" si="2"/>
        <v>63.664428451879665</v>
      </c>
    </row>
    <row r="27" spans="1:28" x14ac:dyDescent="0.25">
      <c r="A27" s="9">
        <v>21</v>
      </c>
      <c r="B27" s="10">
        <v>92.5057490985333</v>
      </c>
      <c r="C27" s="10">
        <v>83.642193622521788</v>
      </c>
      <c r="D27" s="10">
        <v>82.529805083943302</v>
      </c>
      <c r="E27" s="10">
        <v>70.002009832208074</v>
      </c>
      <c r="F27" s="10">
        <v>66.699166870239253</v>
      </c>
      <c r="G27" s="10">
        <v>68.611509620522042</v>
      </c>
      <c r="H27" s="10">
        <v>67.399650108779625</v>
      </c>
      <c r="I27" s="10">
        <v>74.36745176745147</v>
      </c>
      <c r="J27" s="10">
        <v>82.818961990568795</v>
      </c>
      <c r="K27" s="10">
        <v>87.053829510721272</v>
      </c>
      <c r="L27" s="10">
        <v>90.936312785053204</v>
      </c>
      <c r="M27" s="10">
        <v>94.136427807973831</v>
      </c>
      <c r="N27" s="10">
        <v>93.279699683616485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>
        <f t="shared" si="0"/>
        <v>81.075597521702491</v>
      </c>
      <c r="AA27" s="10">
        <f t="shared" si="1"/>
        <v>94.136427807973831</v>
      </c>
      <c r="AB27" s="10">
        <f t="shared" si="2"/>
        <v>66.699166870239253</v>
      </c>
    </row>
    <row r="28" spans="1:28" x14ac:dyDescent="0.25">
      <c r="A28" s="9">
        <v>22</v>
      </c>
      <c r="B28" s="10">
        <v>85.981488210162851</v>
      </c>
      <c r="C28" s="10">
        <v>87.672608893545984</v>
      </c>
      <c r="D28" s="10">
        <v>83.497511678222452</v>
      </c>
      <c r="E28" s="10">
        <v>78.439747354776088</v>
      </c>
      <c r="F28" s="10">
        <v>69.191897713005147</v>
      </c>
      <c r="G28" s="10">
        <v>60.499189001579424</v>
      </c>
      <c r="H28" s="10">
        <v>58.013564822097621</v>
      </c>
      <c r="I28" s="10">
        <v>61.033920578076575</v>
      </c>
      <c r="J28" s="10">
        <v>66.360566723102252</v>
      </c>
      <c r="K28" s="10">
        <v>76.692570230570951</v>
      </c>
      <c r="L28" s="10">
        <v>85.714771674595454</v>
      </c>
      <c r="M28" s="10">
        <v>91.68809926880499</v>
      </c>
      <c r="N28" s="10">
        <v>96.492174886425602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>
        <f t="shared" si="0"/>
        <v>77.021393156535794</v>
      </c>
      <c r="AA28" s="10">
        <f t="shared" si="1"/>
        <v>96.492174886425602</v>
      </c>
      <c r="AB28" s="10">
        <f t="shared" si="2"/>
        <v>58.013564822097621</v>
      </c>
    </row>
    <row r="29" spans="1:28" x14ac:dyDescent="0.25">
      <c r="A29" s="9">
        <v>23</v>
      </c>
      <c r="B29" s="10">
        <v>89.351472317795313</v>
      </c>
      <c r="C29" s="10">
        <v>82.931592253339616</v>
      </c>
      <c r="D29" s="10">
        <v>77.226964015307502</v>
      </c>
      <c r="E29" s="10">
        <v>74.631844628274578</v>
      </c>
      <c r="F29" s="10">
        <v>68.09952255247191</v>
      </c>
      <c r="G29" s="10">
        <v>78.742699531414061</v>
      </c>
      <c r="H29" s="10">
        <v>78.210768764976834</v>
      </c>
      <c r="I29" s="10">
        <v>70.185833175268371</v>
      </c>
      <c r="J29" s="10">
        <v>71.149184188620822</v>
      </c>
      <c r="K29" s="10">
        <v>77.403724295248693</v>
      </c>
      <c r="L29" s="10">
        <v>81.406521414660631</v>
      </c>
      <c r="M29" s="10">
        <v>81.324594065900854</v>
      </c>
      <c r="N29" s="10">
        <v>82.665948335567847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>
        <f t="shared" si="0"/>
        <v>77.948513041449786</v>
      </c>
      <c r="AA29" s="10">
        <f t="shared" si="1"/>
        <v>89.351472317795313</v>
      </c>
      <c r="AB29" s="10">
        <f t="shared" si="2"/>
        <v>68.09952255247191</v>
      </c>
    </row>
    <row r="30" spans="1:28" x14ac:dyDescent="0.25">
      <c r="A30" s="9">
        <v>24</v>
      </c>
      <c r="B30" s="10">
        <v>94.025270126761001</v>
      </c>
      <c r="C30" s="10">
        <v>89.351472317795313</v>
      </c>
      <c r="D30" s="10">
        <v>86.573410896904008</v>
      </c>
      <c r="E30" s="10">
        <v>76.742438575393706</v>
      </c>
      <c r="F30" s="10">
        <v>70.542172192683722</v>
      </c>
      <c r="G30" s="10">
        <v>68.54843367058875</v>
      </c>
      <c r="H30" s="10">
        <v>68.611509620522042</v>
      </c>
      <c r="I30" s="10">
        <v>69.191897713005147</v>
      </c>
      <c r="J30" s="10">
        <v>78.650583612557497</v>
      </c>
      <c r="K30" s="10">
        <v>87.58630517534786</v>
      </c>
      <c r="L30" s="10">
        <v>93.051382644666774</v>
      </c>
      <c r="M30" s="10">
        <v>95.696468862586542</v>
      </c>
      <c r="N30" s="10">
        <v>95.706722906100097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>
        <f t="shared" si="0"/>
        <v>82.636774485762487</v>
      </c>
      <c r="AA30" s="10">
        <f t="shared" si="1"/>
        <v>95.706722906100097</v>
      </c>
      <c r="AB30" s="10">
        <f t="shared" si="2"/>
        <v>68.54843367058875</v>
      </c>
    </row>
    <row r="31" spans="1:28" x14ac:dyDescent="0.25">
      <c r="A31" s="9">
        <v>25</v>
      </c>
      <c r="B31" s="10">
        <v>94.905832015442712</v>
      </c>
      <c r="C31" s="10">
        <v>90.241980925036074</v>
      </c>
      <c r="D31" s="10">
        <v>85.113759488939039</v>
      </c>
      <c r="E31" s="10">
        <v>81.159545206842822</v>
      </c>
      <c r="F31" s="10">
        <v>73.333931893494324</v>
      </c>
      <c r="G31" s="10">
        <v>71.957973431143657</v>
      </c>
      <c r="H31" s="10">
        <v>70.312627571698897</v>
      </c>
      <c r="I31" s="10">
        <v>80.146846762623213</v>
      </c>
      <c r="J31" s="10">
        <v>79.552833071479668</v>
      </c>
      <c r="K31" s="10">
        <v>80.358414363599238</v>
      </c>
      <c r="L31" s="10">
        <v>84.660169927124755</v>
      </c>
      <c r="M31" s="10">
        <v>87.477795424947232</v>
      </c>
      <c r="N31" s="10">
        <v>88.85779948974681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>
        <f t="shared" si="0"/>
        <v>82.159962274778337</v>
      </c>
      <c r="AA31" s="10">
        <f t="shared" si="1"/>
        <v>94.905832015442712</v>
      </c>
      <c r="AB31" s="10">
        <f t="shared" si="2"/>
        <v>70.312627571698897</v>
      </c>
    </row>
    <row r="32" spans="1:28" x14ac:dyDescent="0.25">
      <c r="A32" s="9">
        <v>26</v>
      </c>
      <c r="B32" s="10">
        <v>85.650844615991446</v>
      </c>
      <c r="C32" s="10">
        <v>81.487578849068441</v>
      </c>
      <c r="D32" s="10">
        <v>83.888101916958107</v>
      </c>
      <c r="E32" s="10">
        <v>75.106783972489893</v>
      </c>
      <c r="F32" s="10">
        <v>66.428989569440731</v>
      </c>
      <c r="G32" s="10">
        <v>69.253651821422508</v>
      </c>
      <c r="H32" s="10">
        <v>69.854164416590351</v>
      </c>
      <c r="I32" s="10">
        <v>68.351235392666368</v>
      </c>
      <c r="J32" s="10">
        <v>69.376214104399224</v>
      </c>
      <c r="K32" s="10">
        <v>75.34518411408348</v>
      </c>
      <c r="L32" s="10">
        <v>83.969930982786138</v>
      </c>
      <c r="M32" s="10">
        <v>86.964847685921953</v>
      </c>
      <c r="N32" s="10">
        <v>90.015347770751774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>
        <f t="shared" si="0"/>
        <v>77.360990400966955</v>
      </c>
      <c r="AA32" s="10">
        <f t="shared" si="1"/>
        <v>90.015347770751774</v>
      </c>
      <c r="AB32" s="10">
        <f t="shared" si="2"/>
        <v>66.428989569440731</v>
      </c>
    </row>
    <row r="33" spans="1:28" x14ac:dyDescent="0.25">
      <c r="A33" s="9">
        <v>27</v>
      </c>
      <c r="B33" s="10">
        <v>85.320624331577875</v>
      </c>
      <c r="C33" s="10">
        <v>83.896736925091147</v>
      </c>
      <c r="D33" s="10">
        <v>78.650583612557497</v>
      </c>
      <c r="E33" s="10">
        <v>74.790838423941608</v>
      </c>
      <c r="F33" s="10">
        <v>72.378181491726195</v>
      </c>
      <c r="G33" s="10">
        <v>67.580321726852745</v>
      </c>
      <c r="H33" s="10">
        <v>66.291787562703647</v>
      </c>
      <c r="I33" s="10">
        <v>66.867095546257474</v>
      </c>
      <c r="J33" s="10">
        <v>67.447127204143726</v>
      </c>
      <c r="K33" s="10">
        <v>71.70224549645998</v>
      </c>
      <c r="L33" s="10">
        <v>73.627425546942845</v>
      </c>
      <c r="M33" s="10">
        <v>81.487578849068441</v>
      </c>
      <c r="N33" s="10">
        <v>83.349693389860491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>
        <f t="shared" si="0"/>
        <v>74.876172315937211</v>
      </c>
      <c r="AA33" s="10">
        <f t="shared" si="1"/>
        <v>85.320624331577875</v>
      </c>
      <c r="AB33" s="10">
        <f t="shared" si="2"/>
        <v>66.291787562703647</v>
      </c>
    </row>
    <row r="34" spans="1:28" x14ac:dyDescent="0.25">
      <c r="A34" s="9">
        <v>28</v>
      </c>
      <c r="B34" s="10">
        <v>85.286601548039613</v>
      </c>
      <c r="C34" s="10">
        <v>79.796436443991382</v>
      </c>
      <c r="D34" s="10">
        <v>71.819793770269541</v>
      </c>
      <c r="E34" s="10">
        <v>68.09952255247191</v>
      </c>
      <c r="F34" s="10">
        <v>64.746586328337798</v>
      </c>
      <c r="G34" s="10">
        <v>62.815675987966344</v>
      </c>
      <c r="H34" s="10">
        <v>62.719514883671465</v>
      </c>
      <c r="I34" s="10">
        <v>60.239017765110127</v>
      </c>
      <c r="J34" s="10">
        <v>98.204660424735749</v>
      </c>
      <c r="K34" s="10">
        <v>98.213588769040797</v>
      </c>
      <c r="L34" s="10">
        <v>98.213588769040797</v>
      </c>
      <c r="M34" s="10">
        <v>98.213588769040797</v>
      </c>
      <c r="N34" s="10">
        <v>98.222416748831193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>
        <f t="shared" si="0"/>
        <v>80.506999443119042</v>
      </c>
      <c r="AA34" s="10">
        <f t="shared" si="1"/>
        <v>98.222416748831193</v>
      </c>
      <c r="AB34" s="10">
        <f t="shared" si="2"/>
        <v>60.239017765110127</v>
      </c>
    </row>
    <row r="35" spans="1:28" x14ac:dyDescent="0.25">
      <c r="A35" s="9">
        <v>29</v>
      </c>
      <c r="B35" s="10">
        <v>95.601567019713727</v>
      </c>
      <c r="C35" s="10">
        <v>93.167757326285368</v>
      </c>
      <c r="D35" s="10">
        <v>88.73320626629463</v>
      </c>
      <c r="E35" s="10">
        <v>76.692570230570951</v>
      </c>
      <c r="F35" s="10">
        <v>64.37653120875278</v>
      </c>
      <c r="G35" s="10">
        <v>66.534998351115604</v>
      </c>
      <c r="H35" s="10">
        <v>64.884196544104626</v>
      </c>
      <c r="I35" s="10">
        <v>67.657815927065471</v>
      </c>
      <c r="J35" s="10">
        <v>70.907094274853861</v>
      </c>
      <c r="K35" s="10">
        <v>80.72567796841399</v>
      </c>
      <c r="L35" s="10">
        <v>82.186531997321282</v>
      </c>
      <c r="M35" s="10">
        <v>85.183404505612287</v>
      </c>
      <c r="N35" s="10">
        <v>88.227718470582545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0">
        <f t="shared" si="0"/>
        <v>78.836851545437469</v>
      </c>
      <c r="AA35" s="10">
        <f t="shared" si="1"/>
        <v>95.601567019713727</v>
      </c>
      <c r="AB35" s="10">
        <f t="shared" si="2"/>
        <v>64.37653120875278</v>
      </c>
    </row>
    <row r="36" spans="1:28" x14ac:dyDescent="0.25">
      <c r="A36" s="9">
        <v>30</v>
      </c>
      <c r="B36" s="10">
        <v>88.199622694956588</v>
      </c>
      <c r="C36" s="10">
        <v>81.406521414660631</v>
      </c>
      <c r="D36" s="10">
        <v>74.150906799894273</v>
      </c>
      <c r="E36" s="10">
        <v>70.723724571512406</v>
      </c>
      <c r="F36" s="10">
        <v>67.46468805249836</v>
      </c>
      <c r="G36" s="10">
        <v>63.129839291018797</v>
      </c>
      <c r="H36" s="10">
        <v>60.883078350661421</v>
      </c>
      <c r="I36" s="10">
        <v>67.539979891535864</v>
      </c>
      <c r="J36" s="10">
        <v>65.87148937682656</v>
      </c>
      <c r="K36" s="10">
        <v>85.713227748106121</v>
      </c>
      <c r="L36" s="10">
        <v>89.726422015020518</v>
      </c>
      <c r="M36" s="10">
        <v>90.633693699591888</v>
      </c>
      <c r="N36" s="10">
        <v>91.510578504116353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>
        <f t="shared" si="0"/>
        <v>76.688751723876891</v>
      </c>
      <c r="AA36" s="10">
        <f t="shared" si="1"/>
        <v>91.510578504116353</v>
      </c>
      <c r="AB36" s="10">
        <f t="shared" si="2"/>
        <v>60.883078350661421</v>
      </c>
    </row>
    <row r="37" spans="1:28" ht="15.75" thickBot="1" x14ac:dyDescent="0.3">
      <c r="A37" s="12">
        <v>31</v>
      </c>
      <c r="B37" s="13">
        <v>86.399003938332569</v>
      </c>
      <c r="C37" s="13">
        <v>87.34905348890554</v>
      </c>
      <c r="D37" s="13">
        <v>73.473086580417231</v>
      </c>
      <c r="E37" s="13">
        <v>69.432938262154266</v>
      </c>
      <c r="F37" s="13">
        <v>65.012624330656905</v>
      </c>
      <c r="G37" s="13">
        <v>62.006739346876962</v>
      </c>
      <c r="H37" s="13">
        <v>63.129839291018797</v>
      </c>
      <c r="I37" s="13">
        <v>65.631231505447289</v>
      </c>
      <c r="J37" s="13">
        <v>67.158816216759121</v>
      </c>
      <c r="K37" s="13">
        <v>70.426534415240695</v>
      </c>
      <c r="L37" s="13">
        <v>75.693926157315659</v>
      </c>
      <c r="M37" s="13">
        <v>80.917037782840225</v>
      </c>
      <c r="N37" s="13">
        <v>81.950911104908641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3">
        <f t="shared" si="0"/>
        <v>72.967826340067205</v>
      </c>
      <c r="AA37" s="13">
        <f t="shared" si="1"/>
        <v>87.34905348890554</v>
      </c>
      <c r="AB37" s="13">
        <f t="shared" si="2"/>
        <v>62.006739346876962</v>
      </c>
    </row>
    <row r="38" spans="1:28" ht="16.5" thickTop="1" thickBot="1" x14ac:dyDescent="0.3">
      <c r="A38" s="35" t="s">
        <v>27</v>
      </c>
      <c r="B38" s="36">
        <f t="shared" ref="B38:N38" si="3">MAX(B7:B37)</f>
        <v>99.12889752649663</v>
      </c>
      <c r="C38" s="36">
        <f t="shared" si="3"/>
        <v>96.591577461984471</v>
      </c>
      <c r="D38" s="36">
        <f t="shared" si="3"/>
        <v>94.905832015442712</v>
      </c>
      <c r="E38" s="36">
        <f t="shared" si="3"/>
        <v>98.265101285460787</v>
      </c>
      <c r="F38" s="36">
        <f t="shared" si="3"/>
        <v>92.470882622427581</v>
      </c>
      <c r="G38" s="36">
        <f t="shared" si="3"/>
        <v>81.956325304643215</v>
      </c>
      <c r="H38" s="36">
        <f t="shared" si="3"/>
        <v>87.000035270188846</v>
      </c>
      <c r="I38" s="36">
        <f t="shared" si="3"/>
        <v>90.197634108095627</v>
      </c>
      <c r="J38" s="36">
        <f t="shared" si="3"/>
        <v>98.204660424735749</v>
      </c>
      <c r="K38" s="36">
        <f t="shared" si="3"/>
        <v>98.213588769040797</v>
      </c>
      <c r="L38" s="36">
        <f t="shared" si="3"/>
        <v>98.213588769040797</v>
      </c>
      <c r="M38" s="36">
        <f t="shared" si="3"/>
        <v>98.213588769040797</v>
      </c>
      <c r="N38" s="36">
        <f t="shared" si="3"/>
        <v>98.222416748831193</v>
      </c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>
        <f>MAX(Z7:Z37)</f>
        <v>87.778195774393055</v>
      </c>
      <c r="AA38" s="38">
        <f t="shared" ref="AA38:AB38" si="4">MAX(AA7:AA37)</f>
        <v>99.12889752649663</v>
      </c>
      <c r="AB38" s="38">
        <f t="shared" si="4"/>
        <v>76.231615849498809</v>
      </c>
    </row>
    <row r="39" spans="1:28" ht="16.5" thickTop="1" thickBot="1" x14ac:dyDescent="0.3">
      <c r="A39" s="35" t="s">
        <v>28</v>
      </c>
      <c r="B39" s="36">
        <f t="shared" ref="B39:N39" si="5">MIN(B7:B37)</f>
        <v>81.93474538130927</v>
      </c>
      <c r="C39" s="36">
        <f t="shared" si="5"/>
        <v>73.897492943518245</v>
      </c>
      <c r="D39" s="36">
        <f t="shared" si="5"/>
        <v>67.215482099335503</v>
      </c>
      <c r="E39" s="36">
        <f t="shared" si="5"/>
        <v>59.864099621704895</v>
      </c>
      <c r="F39" s="36">
        <f t="shared" si="5"/>
        <v>56.773204762458128</v>
      </c>
      <c r="G39" s="36">
        <f t="shared" si="5"/>
        <v>58.202923077934045</v>
      </c>
      <c r="H39" s="36">
        <f t="shared" si="5"/>
        <v>58.013564822097621</v>
      </c>
      <c r="I39" s="36">
        <f t="shared" si="5"/>
        <v>60.239017765110127</v>
      </c>
      <c r="J39" s="36">
        <f t="shared" si="5"/>
        <v>63.343482991922606</v>
      </c>
      <c r="K39" s="36">
        <f t="shared" si="5"/>
        <v>67.965835729306434</v>
      </c>
      <c r="L39" s="36">
        <f t="shared" si="5"/>
        <v>71.463418455242063</v>
      </c>
      <c r="M39" s="36">
        <f t="shared" si="5"/>
        <v>77.007783360974742</v>
      </c>
      <c r="N39" s="36">
        <f t="shared" si="5"/>
        <v>79.661111093631618</v>
      </c>
      <c r="O39" s="37"/>
      <c r="P39" s="37"/>
      <c r="Q39" s="37"/>
      <c r="R39" s="33"/>
      <c r="S39" s="34"/>
      <c r="T39" s="33"/>
      <c r="U39" s="33"/>
      <c r="V39" s="33"/>
      <c r="W39" s="33"/>
      <c r="X39" s="33"/>
      <c r="Y39" s="33"/>
      <c r="Z39" s="38">
        <f>MIN(Z8:Z38)</f>
        <v>72.606239531973657</v>
      </c>
      <c r="AA39" s="38">
        <f t="shared" ref="AA39:AB39" si="6">MIN(AA8:AA38)</f>
        <v>85.183404505612287</v>
      </c>
      <c r="AB39" s="38">
        <f t="shared" si="6"/>
        <v>58.013564822097621</v>
      </c>
    </row>
    <row r="40" spans="1:28" ht="15.75" thickTop="1" x14ac:dyDescent="0.25">
      <c r="A40" s="35" t="s">
        <v>35</v>
      </c>
      <c r="B40" s="36">
        <f t="shared" ref="B40:N40" si="7">AVERAGE(B7:B37)</f>
        <v>90.404829661103136</v>
      </c>
      <c r="C40" s="36">
        <f t="shared" si="7"/>
        <v>85.433818859913686</v>
      </c>
      <c r="D40" s="36">
        <f t="shared" si="7"/>
        <v>78.960523615712304</v>
      </c>
      <c r="E40" s="36">
        <f t="shared" si="7"/>
        <v>73.950723951210506</v>
      </c>
      <c r="F40" s="36">
        <f t="shared" si="7"/>
        <v>70.286992178884972</v>
      </c>
      <c r="G40" s="36">
        <f t="shared" si="7"/>
        <v>69.80124001491923</v>
      </c>
      <c r="H40" s="36">
        <f t="shared" si="7"/>
        <v>69.515673407564464</v>
      </c>
      <c r="I40" s="36">
        <f t="shared" si="7"/>
        <v>70.267631884963663</v>
      </c>
      <c r="J40" s="36">
        <f t="shared" si="7"/>
        <v>74.282526920227824</v>
      </c>
      <c r="K40" s="36">
        <f t="shared" si="7"/>
        <v>79.949661687069664</v>
      </c>
      <c r="L40" s="36">
        <f t="shared" si="7"/>
        <v>83.616343642343438</v>
      </c>
      <c r="M40" s="36">
        <f t="shared" si="7"/>
        <v>87.439619776163127</v>
      </c>
      <c r="N40" s="36">
        <f t="shared" si="7"/>
        <v>89.68390570206887</v>
      </c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8">
        <f>AVERAGE(Z9:Z39)</f>
        <v>78.9611192165505</v>
      </c>
      <c r="AA40" s="38">
        <f t="shared" ref="AA40:AB40" si="8">AVERAGE(AA9:AA39)</f>
        <v>92.933012025878156</v>
      </c>
      <c r="AB40" s="38">
        <f t="shared" si="8"/>
        <v>66.850242333436171</v>
      </c>
    </row>
    <row r="41" spans="1:28" x14ac:dyDescent="0.2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8"/>
      <c r="AA41" s="28"/>
      <c r="AB41" s="28"/>
    </row>
    <row r="42" spans="1:28" x14ac:dyDescent="0.25">
      <c r="A42" s="15"/>
      <c r="AA42" s="16"/>
      <c r="AB42" s="16"/>
    </row>
    <row r="43" spans="1:28" x14ac:dyDescent="0.25">
      <c r="A43" s="15" t="s">
        <v>30</v>
      </c>
      <c r="AA43" s="16"/>
      <c r="AB43" s="16"/>
    </row>
    <row r="44" spans="1:28" x14ac:dyDescent="0.25">
      <c r="A44" s="17"/>
      <c r="B44" s="18" t="s">
        <v>31</v>
      </c>
      <c r="C44" s="16"/>
      <c r="D44" s="16"/>
      <c r="E44" s="16"/>
      <c r="F44" s="19"/>
      <c r="G44" s="57"/>
      <c r="H44" s="57"/>
      <c r="I44" s="57"/>
      <c r="J44" s="57"/>
      <c r="K44" s="57"/>
      <c r="L44" s="57"/>
      <c r="M44" s="20"/>
      <c r="N44" s="20"/>
      <c r="O44" s="20"/>
      <c r="P44" s="20"/>
      <c r="Q44" s="20"/>
      <c r="R44" s="21"/>
      <c r="S44" s="22"/>
      <c r="AA44" s="16"/>
      <c r="AB44" s="16"/>
    </row>
    <row r="45" spans="1:28" x14ac:dyDescent="0.25">
      <c r="A45" s="19"/>
      <c r="B45" s="19"/>
      <c r="C45" s="16"/>
      <c r="D45" s="16"/>
      <c r="E45" s="16"/>
      <c r="F45" s="19"/>
      <c r="G45" s="57"/>
      <c r="H45" s="57"/>
      <c r="I45" s="57"/>
      <c r="J45" s="57"/>
      <c r="K45" s="57"/>
      <c r="L45" s="57"/>
      <c r="M45" s="20"/>
      <c r="N45" s="20"/>
      <c r="O45" s="20"/>
      <c r="P45" s="20"/>
      <c r="Q45" s="20"/>
      <c r="R45" s="21"/>
      <c r="S45" s="22"/>
      <c r="AB45" s="16"/>
    </row>
    <row r="46" spans="1:28" x14ac:dyDescent="0.25">
      <c r="A46" s="19"/>
      <c r="B46" s="19"/>
      <c r="C46" s="16"/>
      <c r="D46" s="16"/>
      <c r="E46" s="16"/>
      <c r="F46" s="19"/>
      <c r="G46" s="57"/>
      <c r="H46" s="57"/>
      <c r="I46" s="57"/>
      <c r="J46" s="57"/>
      <c r="K46" s="57"/>
      <c r="L46" s="57"/>
      <c r="M46" s="20"/>
      <c r="N46" s="20"/>
      <c r="O46" s="20"/>
      <c r="P46" s="20"/>
      <c r="Q46" s="20"/>
      <c r="R46" s="21"/>
      <c r="S46" s="22"/>
      <c r="Y46" s="21" t="s">
        <v>41</v>
      </c>
      <c r="Z46" s="21"/>
      <c r="AA46" s="21"/>
      <c r="AB46" s="16"/>
    </row>
    <row r="47" spans="1:28" x14ac:dyDescent="0.25">
      <c r="A47" s="19"/>
      <c r="B47" s="19"/>
      <c r="C47" s="16"/>
      <c r="D47" s="16"/>
      <c r="E47" s="16"/>
      <c r="F47" s="19"/>
      <c r="G47" s="57"/>
      <c r="H47" s="57"/>
      <c r="I47" s="57"/>
      <c r="J47" s="57"/>
      <c r="K47" s="57"/>
      <c r="L47" s="57"/>
      <c r="M47" s="20"/>
      <c r="N47" s="20"/>
      <c r="O47" s="20"/>
      <c r="P47" s="20"/>
      <c r="Q47" s="20"/>
      <c r="R47" s="21"/>
      <c r="S47" s="22"/>
      <c r="Y47" s="21"/>
      <c r="Z47" s="21"/>
      <c r="AA47" s="21"/>
      <c r="AB47" s="16"/>
    </row>
    <row r="48" spans="1:28" x14ac:dyDescent="0.25">
      <c r="A48" s="19"/>
      <c r="B48" s="19"/>
      <c r="C48" s="16"/>
      <c r="D48" s="16"/>
      <c r="E48" s="16"/>
      <c r="F48" s="19"/>
      <c r="G48" s="21"/>
      <c r="H48" s="21"/>
      <c r="I48" s="21"/>
      <c r="J48" s="21"/>
      <c r="K48" s="21"/>
      <c r="L48" s="21"/>
      <c r="M48" s="20"/>
      <c r="N48" s="20"/>
      <c r="O48" s="20"/>
      <c r="P48" s="20"/>
      <c r="Q48" s="20"/>
      <c r="R48" s="21"/>
      <c r="S48" s="22"/>
      <c r="Y48" s="21" t="str">
        <f>[1]COVER!X4</f>
        <v>PEMBUAT LAPORAN,</v>
      </c>
      <c r="Z48" s="21"/>
      <c r="AA48" s="21"/>
      <c r="AB48" s="16"/>
    </row>
    <row r="49" spans="1:28" x14ac:dyDescent="0.25">
      <c r="A49" s="19"/>
      <c r="B49" s="19"/>
      <c r="C49" s="16"/>
      <c r="D49" s="16"/>
      <c r="E49" s="16"/>
      <c r="F49" s="19"/>
      <c r="G49" s="21"/>
      <c r="H49" s="21"/>
      <c r="I49" s="21"/>
      <c r="J49" s="20"/>
      <c r="K49" s="20"/>
      <c r="L49" s="20"/>
      <c r="M49" s="20"/>
      <c r="N49" s="20"/>
      <c r="O49" s="22"/>
      <c r="P49" s="23"/>
      <c r="Q49" s="23"/>
      <c r="R49" s="21"/>
      <c r="S49" s="22"/>
      <c r="Y49" s="22"/>
      <c r="Z49" s="21"/>
      <c r="AA49" s="21"/>
      <c r="AB49" s="16"/>
    </row>
    <row r="50" spans="1:28" x14ac:dyDescent="0.25">
      <c r="A50" s="19"/>
      <c r="B50" s="19"/>
      <c r="C50" s="16"/>
      <c r="D50" s="16"/>
      <c r="E50" s="16"/>
      <c r="F50" s="19"/>
      <c r="G50" s="58"/>
      <c r="H50" s="58"/>
      <c r="I50" s="58"/>
      <c r="J50" s="58"/>
      <c r="K50" s="58"/>
      <c r="L50" s="58"/>
      <c r="M50" s="24"/>
      <c r="N50" s="24"/>
      <c r="O50" s="24"/>
      <c r="P50" s="24"/>
      <c r="Q50" s="24"/>
      <c r="R50" s="21"/>
      <c r="S50" s="22"/>
      <c r="Y50" s="22"/>
      <c r="Z50" s="21"/>
      <c r="AA50" s="21"/>
      <c r="AB50" s="16"/>
    </row>
    <row r="51" spans="1:28" x14ac:dyDescent="0.25">
      <c r="A51" s="19"/>
      <c r="B51" s="19"/>
      <c r="C51" s="16"/>
      <c r="D51" s="16"/>
      <c r="E51" s="16"/>
      <c r="F51" s="19"/>
      <c r="G51" s="57"/>
      <c r="H51" s="57"/>
      <c r="I51" s="57"/>
      <c r="J51" s="57"/>
      <c r="K51" s="57"/>
      <c r="L51" s="57"/>
      <c r="M51" s="25"/>
      <c r="N51" s="25"/>
      <c r="O51" s="25"/>
      <c r="P51" s="25"/>
      <c r="Q51" s="25"/>
      <c r="R51" s="21"/>
      <c r="S51" s="22"/>
      <c r="Y51" s="22"/>
      <c r="Z51" s="21"/>
      <c r="AA51" s="21"/>
    </row>
    <row r="52" spans="1:28" x14ac:dyDescent="0.25">
      <c r="Y52" s="26" t="s">
        <v>33</v>
      </c>
      <c r="Z52" s="26"/>
      <c r="AA52" s="26"/>
    </row>
    <row r="53" spans="1:28" x14ac:dyDescent="0.25">
      <c r="Y53" s="21" t="s">
        <v>34</v>
      </c>
      <c r="Z53" s="21"/>
      <c r="AA53" s="21"/>
    </row>
  </sheetData>
  <mergeCells count="7">
    <mergeCell ref="Y3:Z3"/>
    <mergeCell ref="G44:L44"/>
    <mergeCell ref="G51:L51"/>
    <mergeCell ref="G46:L46"/>
    <mergeCell ref="G50:L50"/>
    <mergeCell ref="G47:L47"/>
    <mergeCell ref="G45:L45"/>
  </mergeCells>
  <pageMargins left="1.4960629921259843" right="0.9055118110236221" top="0.47244094488188981" bottom="0.47244094488188981" header="0.31496062992125984" footer="0.31496062992125984"/>
  <pageSetup paperSize="9" scale="68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2:AB52"/>
  <sheetViews>
    <sheetView topLeftCell="A10" workbookViewId="0">
      <selection activeCell="U12" sqref="U12"/>
    </sheetView>
  </sheetViews>
  <sheetFormatPr defaultRowHeight="15" x14ac:dyDescent="0.25"/>
  <cols>
    <col min="1" max="28" width="5.7109375" customWidth="1"/>
  </cols>
  <sheetData>
    <row r="2" spans="1:28" x14ac:dyDescent="0.25">
      <c r="R2" s="1" t="s">
        <v>0</v>
      </c>
      <c r="T2" s="1"/>
      <c r="W2" s="1"/>
    </row>
    <row r="3" spans="1:28" x14ac:dyDescent="0.25">
      <c r="R3" s="1" t="s">
        <v>1</v>
      </c>
      <c r="T3" s="1" t="str">
        <f>'[4]1'!AA1</f>
        <v>APRIL</v>
      </c>
      <c r="V3" s="2">
        <f>JANUARI!V3</f>
        <v>2022</v>
      </c>
      <c r="W3" s="1"/>
      <c r="Y3" s="59"/>
      <c r="Z3" s="59"/>
      <c r="AA3" s="2"/>
    </row>
    <row r="5" spans="1:2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4" t="s">
        <v>32</v>
      </c>
      <c r="AA5" s="4" t="s">
        <v>27</v>
      </c>
      <c r="AB5" s="4" t="s">
        <v>28</v>
      </c>
    </row>
    <row r="6" spans="1:28" x14ac:dyDescent="0.25">
      <c r="A6" s="5" t="s">
        <v>29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  <c r="P6" s="5">
        <v>15</v>
      </c>
      <c r="Q6" s="5">
        <v>16</v>
      </c>
      <c r="R6" s="5">
        <v>17</v>
      </c>
      <c r="S6" s="5">
        <v>18</v>
      </c>
      <c r="T6" s="5">
        <v>19</v>
      </c>
      <c r="U6" s="5">
        <v>20</v>
      </c>
      <c r="V6" s="5">
        <v>21</v>
      </c>
      <c r="W6" s="5">
        <v>22</v>
      </c>
      <c r="X6" s="5">
        <v>23</v>
      </c>
      <c r="Y6" s="5">
        <v>24</v>
      </c>
      <c r="Z6" s="5">
        <v>25</v>
      </c>
      <c r="AA6" s="5">
        <v>26</v>
      </c>
      <c r="AB6" s="5">
        <v>27</v>
      </c>
    </row>
    <row r="7" spans="1:28" x14ac:dyDescent="0.25">
      <c r="A7" s="6">
        <v>1</v>
      </c>
      <c r="B7" s="7">
        <v>88.283444305094761</v>
      </c>
      <c r="C7" s="7">
        <v>82.588198229950223</v>
      </c>
      <c r="D7" s="7">
        <v>69.03825932412856</v>
      </c>
      <c r="E7" s="7">
        <v>66.291787562703647</v>
      </c>
      <c r="F7" s="7">
        <v>67.971721534160309</v>
      </c>
      <c r="G7" s="7">
        <v>60.058413323373536</v>
      </c>
      <c r="H7" s="7">
        <v>61.701086461119935</v>
      </c>
      <c r="I7" s="7">
        <v>59.090728148765848</v>
      </c>
      <c r="J7" s="7">
        <v>58.120518260315478</v>
      </c>
      <c r="K7" s="7">
        <v>78.924031421175627</v>
      </c>
      <c r="L7" s="7">
        <v>98.256753770221422</v>
      </c>
      <c r="M7" s="7">
        <v>98.244057093748026</v>
      </c>
      <c r="N7" s="7">
        <v>98.248312933070963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7">
        <f>AVERAGE(B7:N7)</f>
        <v>75.909024028294496</v>
      </c>
      <c r="AA7" s="7">
        <f>MAX(B7:N7)</f>
        <v>98.256753770221422</v>
      </c>
      <c r="AB7" s="7">
        <f>MIN(B7:Y7)</f>
        <v>58.120518260315478</v>
      </c>
    </row>
    <row r="8" spans="1:28" x14ac:dyDescent="0.25">
      <c r="A8" s="9">
        <v>2</v>
      </c>
      <c r="B8" s="10">
        <v>87.939568740341883</v>
      </c>
      <c r="C8" s="10">
        <v>78.916684137955912</v>
      </c>
      <c r="D8" s="10">
        <v>70.784128109960974</v>
      </c>
      <c r="E8" s="10">
        <v>69.561733871083121</v>
      </c>
      <c r="F8" s="10">
        <v>67.069391343588762</v>
      </c>
      <c r="G8" s="10">
        <v>63.521896516560453</v>
      </c>
      <c r="H8" s="10">
        <v>60.36795035675744</v>
      </c>
      <c r="I8" s="10">
        <v>58.688594005122305</v>
      </c>
      <c r="J8" s="10">
        <v>72.492860597196724</v>
      </c>
      <c r="K8" s="10">
        <v>80.857879716784282</v>
      </c>
      <c r="L8" s="10">
        <v>97.318498333070536</v>
      </c>
      <c r="M8" s="10">
        <v>93.864152186286304</v>
      </c>
      <c r="N8" s="10">
        <v>94.76985980405243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0">
        <f t="shared" ref="Z8:Z36" si="0">AVERAGE(B8:N8)</f>
        <v>76.627169055289315</v>
      </c>
      <c r="AA8" s="10">
        <f t="shared" ref="AA8:AA36" si="1">MAX(B8:N8)</f>
        <v>97.318498333070536</v>
      </c>
      <c r="AB8" s="10">
        <f t="shared" ref="AB8:AB36" si="2">MIN(B8:Y8)</f>
        <v>58.688594005122305</v>
      </c>
    </row>
    <row r="9" spans="1:28" x14ac:dyDescent="0.25">
      <c r="A9" s="9">
        <v>3</v>
      </c>
      <c r="B9" s="10">
        <v>95.696468862586542</v>
      </c>
      <c r="C9" s="10">
        <v>91.707288047541041</v>
      </c>
      <c r="D9" s="10">
        <v>78.604157165009099</v>
      </c>
      <c r="E9" s="10">
        <v>75.002570485722643</v>
      </c>
      <c r="F9" s="10">
        <v>67.580321726852745</v>
      </c>
      <c r="G9" s="10">
        <v>67.399650108779625</v>
      </c>
      <c r="H9" s="10">
        <v>68.750583528774655</v>
      </c>
      <c r="I9" s="10">
        <v>68.750583528774655</v>
      </c>
      <c r="J9" s="10">
        <v>74.683288699912481</v>
      </c>
      <c r="K9" s="10">
        <v>96.55917508812108</v>
      </c>
      <c r="L9" s="10">
        <v>98.231145819080723</v>
      </c>
      <c r="M9" s="10">
        <v>98.231145819080723</v>
      </c>
      <c r="N9" s="10">
        <v>98.231145819080723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0">
        <f t="shared" si="0"/>
        <v>83.032886515332038</v>
      </c>
      <c r="AA9" s="10">
        <f t="shared" si="1"/>
        <v>98.231145819080723</v>
      </c>
      <c r="AB9" s="10">
        <f t="shared" si="2"/>
        <v>67.399650108779625</v>
      </c>
    </row>
    <row r="10" spans="1:28" x14ac:dyDescent="0.25">
      <c r="A10" s="9">
        <v>4</v>
      </c>
      <c r="B10" s="10">
        <v>89.126519184016857</v>
      </c>
      <c r="C10" s="10">
        <v>76.488327844307364</v>
      </c>
      <c r="D10" s="10">
        <v>74.353712606600766</v>
      </c>
      <c r="E10" s="10">
        <v>72.262295922601993</v>
      </c>
      <c r="F10" s="10">
        <v>69.940095578184994</v>
      </c>
      <c r="G10" s="10">
        <v>67.971721534160309</v>
      </c>
      <c r="H10" s="10">
        <v>67.399650108779625</v>
      </c>
      <c r="I10" s="10">
        <v>70.185833175268371</v>
      </c>
      <c r="J10" s="10">
        <v>68.878309260549415</v>
      </c>
      <c r="K10" s="10">
        <v>68.750583528774655</v>
      </c>
      <c r="L10" s="10">
        <v>80.189608416928536</v>
      </c>
      <c r="M10" s="10">
        <v>81.567778571788381</v>
      </c>
      <c r="N10" s="10">
        <v>85.714771674595454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0">
        <f t="shared" si="0"/>
        <v>74.833015954350515</v>
      </c>
      <c r="AA10" s="10">
        <f t="shared" si="1"/>
        <v>89.126519184016857</v>
      </c>
      <c r="AB10" s="10">
        <f t="shared" si="2"/>
        <v>67.399650108779625</v>
      </c>
    </row>
    <row r="11" spans="1:28" x14ac:dyDescent="0.25">
      <c r="A11" s="9">
        <v>5</v>
      </c>
      <c r="B11" s="10">
        <v>93.32637261393613</v>
      </c>
      <c r="C11" s="10">
        <v>82.665948335567847</v>
      </c>
      <c r="D11" s="10">
        <v>79.286008484751306</v>
      </c>
      <c r="E11" s="10">
        <v>71.02877367431519</v>
      </c>
      <c r="F11" s="10">
        <v>71.149184188620822</v>
      </c>
      <c r="G11" s="10">
        <v>75.311981910915833</v>
      </c>
      <c r="H11" s="10">
        <v>73.442867508959495</v>
      </c>
      <c r="I11" s="10">
        <v>73.550683808263827</v>
      </c>
      <c r="J11" s="10">
        <v>72.378181491726195</v>
      </c>
      <c r="K11" s="10">
        <v>75.106783972489893</v>
      </c>
      <c r="L11" s="10">
        <v>80.103857872245882</v>
      </c>
      <c r="M11" s="10">
        <v>83.497511678222452</v>
      </c>
      <c r="N11" s="10">
        <v>87.14137533712541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0">
        <f t="shared" si="0"/>
        <v>78.306886990549259</v>
      </c>
      <c r="AA11" s="10">
        <f t="shared" si="1"/>
        <v>93.32637261393613</v>
      </c>
      <c r="AB11" s="10">
        <f t="shared" si="2"/>
        <v>71.02877367431519</v>
      </c>
    </row>
    <row r="12" spans="1:28" x14ac:dyDescent="0.25">
      <c r="A12" s="9">
        <v>6</v>
      </c>
      <c r="B12" s="10">
        <v>94.067528369454564</v>
      </c>
      <c r="C12" s="10">
        <v>87.89595980409338</v>
      </c>
      <c r="D12" s="10">
        <v>73.516201765591887</v>
      </c>
      <c r="E12" s="10">
        <v>72.378181491726195</v>
      </c>
      <c r="F12" s="10">
        <v>64.521761371631854</v>
      </c>
      <c r="G12" s="10">
        <v>64.521761371631854</v>
      </c>
      <c r="H12" s="10">
        <v>64.467119704332802</v>
      </c>
      <c r="I12" s="10">
        <v>62.936946230597066</v>
      </c>
      <c r="J12" s="10">
        <v>68.421303550004168</v>
      </c>
      <c r="K12" s="10">
        <v>70.002009832208074</v>
      </c>
      <c r="L12" s="10">
        <v>75.540008686304986</v>
      </c>
      <c r="M12" s="10">
        <v>80.103857872245882</v>
      </c>
      <c r="N12" s="10">
        <v>85.048145527194905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0">
        <f t="shared" si="0"/>
        <v>74.109291198232114</v>
      </c>
      <c r="AA12" s="10">
        <f t="shared" si="1"/>
        <v>94.067528369454564</v>
      </c>
      <c r="AB12" s="10">
        <f t="shared" si="2"/>
        <v>62.936946230597066</v>
      </c>
    </row>
    <row r="13" spans="1:28" x14ac:dyDescent="0.25">
      <c r="A13" s="9">
        <v>7</v>
      </c>
      <c r="B13" s="10">
        <v>83.595822687883285</v>
      </c>
      <c r="C13" s="10">
        <v>79.569668907348316</v>
      </c>
      <c r="D13" s="10">
        <v>75.775603021681007</v>
      </c>
      <c r="E13" s="10">
        <v>73.290208372739471</v>
      </c>
      <c r="F13" s="10">
        <v>81.567778571788381</v>
      </c>
      <c r="G13" s="10">
        <v>81.72565273312577</v>
      </c>
      <c r="H13" s="10">
        <v>75.106783972489893</v>
      </c>
      <c r="I13" s="10">
        <v>72.886679337921407</v>
      </c>
      <c r="J13" s="10">
        <v>71.268343418547644</v>
      </c>
      <c r="K13" s="10">
        <v>72.538694573499654</v>
      </c>
      <c r="L13" s="10">
        <v>81.324594065900854</v>
      </c>
      <c r="M13" s="10">
        <v>86.23817780941161</v>
      </c>
      <c r="N13" s="10">
        <v>90.809467144997924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0">
        <f t="shared" si="0"/>
        <v>78.899805739795028</v>
      </c>
      <c r="AA13" s="10">
        <f t="shared" si="1"/>
        <v>90.809467144997924</v>
      </c>
      <c r="AB13" s="10">
        <f t="shared" si="2"/>
        <v>71.268343418547644</v>
      </c>
    </row>
    <row r="14" spans="1:28" x14ac:dyDescent="0.25">
      <c r="A14" s="9">
        <v>8</v>
      </c>
      <c r="B14" s="10">
        <v>90.76624954346957</v>
      </c>
      <c r="C14" s="10">
        <v>86.964847685921953</v>
      </c>
      <c r="D14" s="10">
        <v>81.241784404159844</v>
      </c>
      <c r="E14" s="10">
        <v>74.241490060044853</v>
      </c>
      <c r="F14" s="10">
        <v>76.086559339912753</v>
      </c>
      <c r="G14" s="10">
        <v>74.790838423941608</v>
      </c>
      <c r="H14" s="10">
        <v>73.11263982827613</v>
      </c>
      <c r="I14" s="10">
        <v>71.268343418547644</v>
      </c>
      <c r="J14" s="10">
        <v>73.737489280068019</v>
      </c>
      <c r="K14" s="10">
        <v>72.145186899335471</v>
      </c>
      <c r="L14" s="10">
        <v>78.650583612557497</v>
      </c>
      <c r="M14" s="10">
        <v>81.324594065900854</v>
      </c>
      <c r="N14" s="10">
        <v>85.520903747080652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0">
        <f t="shared" si="0"/>
        <v>78.450116177632054</v>
      </c>
      <c r="AA14" s="10">
        <f t="shared" si="1"/>
        <v>90.76624954346957</v>
      </c>
      <c r="AB14" s="10">
        <f t="shared" si="2"/>
        <v>71.268343418547644</v>
      </c>
    </row>
    <row r="15" spans="1:28" x14ac:dyDescent="0.25">
      <c r="A15" s="9">
        <v>9</v>
      </c>
      <c r="B15" s="10">
        <v>92.272101638943951</v>
      </c>
      <c r="C15" s="10">
        <v>85.586225280384298</v>
      </c>
      <c r="D15" s="10">
        <v>82.627178119246338</v>
      </c>
      <c r="E15" s="10">
        <v>74.737205514564437</v>
      </c>
      <c r="F15" s="10">
        <v>72.378181491726195</v>
      </c>
      <c r="G15" s="10">
        <v>70.542172192683722</v>
      </c>
      <c r="H15" s="10">
        <v>72.606349963958579</v>
      </c>
      <c r="I15" s="10">
        <v>71.02010642452916</v>
      </c>
      <c r="J15" s="10">
        <v>71.936121520927685</v>
      </c>
      <c r="K15" s="10">
        <v>71.386268690121071</v>
      </c>
      <c r="L15" s="10">
        <v>78.070462482466255</v>
      </c>
      <c r="M15" s="10">
        <v>81.241784404159844</v>
      </c>
      <c r="N15" s="10">
        <v>87.255921724445045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0">
        <f t="shared" si="0"/>
        <v>77.820006111396651</v>
      </c>
      <c r="AA15" s="10">
        <f t="shared" si="1"/>
        <v>92.272101638943951</v>
      </c>
      <c r="AB15" s="10">
        <f t="shared" si="2"/>
        <v>70.542172192683722</v>
      </c>
    </row>
    <row r="16" spans="1:28" x14ac:dyDescent="0.25">
      <c r="A16" s="9">
        <v>10</v>
      </c>
      <c r="B16" s="10">
        <v>88.605217614752689</v>
      </c>
      <c r="C16" s="10">
        <v>77.10835778197287</v>
      </c>
      <c r="D16" s="10">
        <v>72.203895415139925</v>
      </c>
      <c r="E16" s="10">
        <v>70.542172192683722</v>
      </c>
      <c r="F16" s="10">
        <v>66.269275656623535</v>
      </c>
      <c r="G16" s="10">
        <v>65.998048909915894</v>
      </c>
      <c r="H16" s="10">
        <v>70.662337040729099</v>
      </c>
      <c r="I16" s="10">
        <v>70.426534415240695</v>
      </c>
      <c r="J16" s="10">
        <v>94.929677919351548</v>
      </c>
      <c r="K16" s="10">
        <v>96.55917508812108</v>
      </c>
      <c r="L16" s="10">
        <v>98.256753770221422</v>
      </c>
      <c r="M16" s="10">
        <v>98.256753770221422</v>
      </c>
      <c r="N16" s="10">
        <v>98.256753770221422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>
        <f t="shared" si="0"/>
        <v>82.159611795784258</v>
      </c>
      <c r="AA16" s="10">
        <f t="shared" si="1"/>
        <v>98.256753770221422</v>
      </c>
      <c r="AB16" s="10">
        <f t="shared" si="2"/>
        <v>65.998048909915894</v>
      </c>
    </row>
    <row r="17" spans="1:28" x14ac:dyDescent="0.25">
      <c r="A17" s="9">
        <v>11</v>
      </c>
      <c r="B17" s="10">
        <v>91.49030389721446</v>
      </c>
      <c r="C17" s="10">
        <v>90.061668333449816</v>
      </c>
      <c r="D17" s="10">
        <v>77.500110101760797</v>
      </c>
      <c r="E17" s="10">
        <v>71.268343418547644</v>
      </c>
      <c r="F17" s="10">
        <v>66.832180876790332</v>
      </c>
      <c r="G17" s="10">
        <v>63.664428451879665</v>
      </c>
      <c r="H17" s="10">
        <v>61.55160455249905</v>
      </c>
      <c r="I17" s="10">
        <v>73.516201765591887</v>
      </c>
      <c r="J17" s="10">
        <v>70.545039613137973</v>
      </c>
      <c r="K17" s="10">
        <v>79.195157514781243</v>
      </c>
      <c r="L17" s="10">
        <v>85.714771674595454</v>
      </c>
      <c r="M17" s="10">
        <v>89.471759355748219</v>
      </c>
      <c r="N17" s="10">
        <v>90.197634108095627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>
        <f t="shared" si="0"/>
        <v>77.769938743391705</v>
      </c>
      <c r="AA17" s="10">
        <f t="shared" si="1"/>
        <v>91.49030389721446</v>
      </c>
      <c r="AB17" s="10">
        <f t="shared" si="2"/>
        <v>61.55160455249905</v>
      </c>
    </row>
    <row r="18" spans="1:28" x14ac:dyDescent="0.25">
      <c r="A18" s="9">
        <v>12</v>
      </c>
      <c r="B18" s="10">
        <v>92.309150281460248</v>
      </c>
      <c r="C18" s="10">
        <v>84.042334277741404</v>
      </c>
      <c r="D18" s="10">
        <v>78.742699531414061</v>
      </c>
      <c r="E18" s="10">
        <v>62.482083766699034</v>
      </c>
      <c r="F18" s="10">
        <v>59.58206673938092</v>
      </c>
      <c r="G18" s="10">
        <v>56.185805578015469</v>
      </c>
      <c r="H18" s="10">
        <v>53.445209411561891</v>
      </c>
      <c r="I18" s="10">
        <v>51.765990735490696</v>
      </c>
      <c r="J18" s="10">
        <v>66.832180876790332</v>
      </c>
      <c r="K18" s="10">
        <v>77.500110101760797</v>
      </c>
      <c r="L18" s="10">
        <v>80.189608416928536</v>
      </c>
      <c r="M18" s="10">
        <v>72.823563631993622</v>
      </c>
      <c r="N18" s="10">
        <v>74.01339763269938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>
        <f t="shared" si="0"/>
        <v>69.993400075533572</v>
      </c>
      <c r="AA18" s="10">
        <f t="shared" si="1"/>
        <v>92.309150281460248</v>
      </c>
      <c r="AB18" s="10">
        <f t="shared" si="2"/>
        <v>51.765990735490696</v>
      </c>
    </row>
    <row r="19" spans="1:28" x14ac:dyDescent="0.25">
      <c r="A19" s="9">
        <v>13</v>
      </c>
      <c r="B19" s="10">
        <v>86.625784130067558</v>
      </c>
      <c r="C19" s="10">
        <v>78.272129214173759</v>
      </c>
      <c r="D19" s="10">
        <v>76.792044068097042</v>
      </c>
      <c r="E19" s="10">
        <v>67.31253681304905</v>
      </c>
      <c r="F19" s="10">
        <v>62.936946230597066</v>
      </c>
      <c r="G19" s="10">
        <v>60.55375970459901</v>
      </c>
      <c r="H19" s="10">
        <v>63.848642748405368</v>
      </c>
      <c r="I19" s="10">
        <v>67.842600044991912</v>
      </c>
      <c r="J19" s="10">
        <v>67.002309260097988</v>
      </c>
      <c r="K19" s="10">
        <v>87.312279769242565</v>
      </c>
      <c r="L19" s="10">
        <v>87.368039151312885</v>
      </c>
      <c r="M19" s="10">
        <v>87.368039151312885</v>
      </c>
      <c r="N19" s="10">
        <v>88.808361977229509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>
        <f t="shared" si="0"/>
        <v>75.541805558705903</v>
      </c>
      <c r="AA19" s="10">
        <f t="shared" si="1"/>
        <v>88.808361977229509</v>
      </c>
      <c r="AB19" s="10">
        <f t="shared" si="2"/>
        <v>60.55375970459901</v>
      </c>
    </row>
    <row r="20" spans="1:28" x14ac:dyDescent="0.25">
      <c r="A20" s="9">
        <v>14</v>
      </c>
      <c r="B20" s="10">
        <v>90.015347770751774</v>
      </c>
      <c r="C20" s="10">
        <v>81.406521414660631</v>
      </c>
      <c r="D20" s="10">
        <v>74.8972604533881</v>
      </c>
      <c r="E20" s="10">
        <v>68.421303550004168</v>
      </c>
      <c r="F20" s="10">
        <v>64.948522456820541</v>
      </c>
      <c r="G20" s="10">
        <v>58.711932917033693</v>
      </c>
      <c r="H20" s="10">
        <v>49.291852297201061</v>
      </c>
      <c r="I20" s="10">
        <v>47.832794243386559</v>
      </c>
      <c r="J20" s="10">
        <v>48.701144639062207</v>
      </c>
      <c r="K20" s="10">
        <v>69.958278393209923</v>
      </c>
      <c r="L20" s="10">
        <v>72.145186899335471</v>
      </c>
      <c r="M20" s="10">
        <v>74.353712606600766</v>
      </c>
      <c r="N20" s="10">
        <v>77.385209461055112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>
        <f t="shared" si="0"/>
        <v>67.543774392500765</v>
      </c>
      <c r="AA20" s="10">
        <f t="shared" si="1"/>
        <v>90.015347770751774</v>
      </c>
      <c r="AB20" s="10">
        <f t="shared" si="2"/>
        <v>47.832794243386559</v>
      </c>
    </row>
    <row r="21" spans="1:28" x14ac:dyDescent="0.25">
      <c r="A21" s="9">
        <v>15</v>
      </c>
      <c r="B21" s="10">
        <v>91.62989927685922</v>
      </c>
      <c r="C21" s="10">
        <v>87.284176110421342</v>
      </c>
      <c r="D21" s="10">
        <v>75.330970636652822</v>
      </c>
      <c r="E21" s="10">
        <v>66.867095546257474</v>
      </c>
      <c r="F21" s="10">
        <v>65.362314527849009</v>
      </c>
      <c r="G21" s="10">
        <v>58.954286372354957</v>
      </c>
      <c r="H21" s="10">
        <v>60.087347504269154</v>
      </c>
      <c r="I21" s="10">
        <v>64.746586328337798</v>
      </c>
      <c r="J21" s="10">
        <v>72.360506749185618</v>
      </c>
      <c r="K21" s="10">
        <v>74.790838423941608</v>
      </c>
      <c r="L21" s="10">
        <v>75.562705752333045</v>
      </c>
      <c r="M21" s="10">
        <v>79.841061697965984</v>
      </c>
      <c r="N21" s="10">
        <v>84.981826594222483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>
        <f t="shared" si="0"/>
        <v>73.676893501588495</v>
      </c>
      <c r="AA21" s="10">
        <f t="shared" si="1"/>
        <v>91.62989927685922</v>
      </c>
      <c r="AB21" s="10">
        <f t="shared" si="2"/>
        <v>58.954286372354957</v>
      </c>
    </row>
    <row r="22" spans="1:28" x14ac:dyDescent="0.25">
      <c r="A22" s="9">
        <v>16</v>
      </c>
      <c r="B22" s="10">
        <v>86.0467194673015</v>
      </c>
      <c r="C22" s="10">
        <v>81.950911104908641</v>
      </c>
      <c r="D22" s="10">
        <v>77.403724295248693</v>
      </c>
      <c r="E22" s="10">
        <v>68.750583528774655</v>
      </c>
      <c r="F22" s="10">
        <v>65.846291311698906</v>
      </c>
      <c r="G22" s="10">
        <v>61.033920578076575</v>
      </c>
      <c r="H22" s="10">
        <v>66.112975506451193</v>
      </c>
      <c r="I22" s="10">
        <v>66.96383709646085</v>
      </c>
      <c r="J22" s="10">
        <v>96.623275706623488</v>
      </c>
      <c r="K22" s="10">
        <v>96.623275706623488</v>
      </c>
      <c r="L22" s="10">
        <v>91.76423123386563</v>
      </c>
      <c r="M22" s="10">
        <v>91.76423123386563</v>
      </c>
      <c r="N22" s="10">
        <v>91.76423123386563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>
        <f t="shared" si="0"/>
        <v>80.203708307981913</v>
      </c>
      <c r="AA22" s="10">
        <f t="shared" si="1"/>
        <v>96.623275706623488</v>
      </c>
      <c r="AB22" s="10">
        <f t="shared" si="2"/>
        <v>61.033920578076575</v>
      </c>
    </row>
    <row r="23" spans="1:28" x14ac:dyDescent="0.25">
      <c r="A23" s="9">
        <v>17</v>
      </c>
      <c r="B23" s="10">
        <v>89.921165122015651</v>
      </c>
      <c r="C23" s="10">
        <v>82.588198229950223</v>
      </c>
      <c r="D23" s="10">
        <v>76.188036463966284</v>
      </c>
      <c r="E23" s="10">
        <v>66.291787562703647</v>
      </c>
      <c r="F23" s="10">
        <v>61.251613915834604</v>
      </c>
      <c r="G23" s="10">
        <v>59.350053134906275</v>
      </c>
      <c r="H23" s="10">
        <v>55.26975096730439</v>
      </c>
      <c r="I23" s="10">
        <v>64.220332951702986</v>
      </c>
      <c r="J23" s="10">
        <v>67.350843749385419</v>
      </c>
      <c r="K23" s="10">
        <v>67.223150346921003</v>
      </c>
      <c r="L23" s="10">
        <v>76.043835706255507</v>
      </c>
      <c r="M23" s="10">
        <v>81.159545206842822</v>
      </c>
      <c r="N23" s="10">
        <v>94.988163091574194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>
        <f>AVERAGE(B23:N23)</f>
        <v>72.449728957643302</v>
      </c>
      <c r="AA23" s="10">
        <f t="shared" si="1"/>
        <v>94.988163091574194</v>
      </c>
      <c r="AB23" s="10">
        <f t="shared" si="2"/>
        <v>55.26975096730439</v>
      </c>
    </row>
    <row r="24" spans="1:28" x14ac:dyDescent="0.25">
      <c r="A24" s="9">
        <v>18</v>
      </c>
      <c r="B24" s="10">
        <v>93.295342494094442</v>
      </c>
      <c r="C24" s="10">
        <v>89.518971974319214</v>
      </c>
      <c r="D24" s="10">
        <v>81.119656177435985</v>
      </c>
      <c r="E24" s="10">
        <v>69.004717151586277</v>
      </c>
      <c r="F24" s="10">
        <v>63.057899125557746</v>
      </c>
      <c r="G24" s="10">
        <v>58.663836396116999</v>
      </c>
      <c r="H24" s="10">
        <v>70.077599920313602</v>
      </c>
      <c r="I24" s="10">
        <v>74.474035685640843</v>
      </c>
      <c r="J24" s="10">
        <v>73.760783146546871</v>
      </c>
      <c r="K24" s="10">
        <v>78.833844278754555</v>
      </c>
      <c r="L24" s="10">
        <v>83.042439369456503</v>
      </c>
      <c r="M24" s="10">
        <v>80.017191943947921</v>
      </c>
      <c r="N24" s="10">
        <v>93.167757326285368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>
        <f t="shared" si="0"/>
        <v>77.541082691542783</v>
      </c>
      <c r="AA24" s="10">
        <f t="shared" si="1"/>
        <v>93.295342494094442</v>
      </c>
      <c r="AB24" s="10">
        <f t="shared" si="2"/>
        <v>58.663836396116999</v>
      </c>
    </row>
    <row r="25" spans="1:28" x14ac:dyDescent="0.25">
      <c r="A25" s="9">
        <v>19</v>
      </c>
      <c r="B25" s="10">
        <v>94.917787706614789</v>
      </c>
      <c r="C25" s="10">
        <v>84.847033412607445</v>
      </c>
      <c r="D25" s="10">
        <v>77.500110101760797</v>
      </c>
      <c r="E25" s="10">
        <v>70.185833175268371</v>
      </c>
      <c r="F25" s="10">
        <v>67.094154144094659</v>
      </c>
      <c r="G25" s="10">
        <v>65.980311350113553</v>
      </c>
      <c r="H25" s="10">
        <v>73.048735499062687</v>
      </c>
      <c r="I25" s="10">
        <v>71.502977059275636</v>
      </c>
      <c r="J25" s="10">
        <v>86.84391758944578</v>
      </c>
      <c r="K25" s="10">
        <v>94.832696070056826</v>
      </c>
      <c r="L25" s="10">
        <v>94.881722302512387</v>
      </c>
      <c r="M25" s="10">
        <v>94.857344951335847</v>
      </c>
      <c r="N25" s="10">
        <v>94.832696070056826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>
        <f t="shared" si="0"/>
        <v>82.409639956323502</v>
      </c>
      <c r="AA25" s="10">
        <f t="shared" si="1"/>
        <v>94.917787706614789</v>
      </c>
      <c r="AB25" s="10">
        <f t="shared" si="2"/>
        <v>65.980311350113553</v>
      </c>
    </row>
    <row r="26" spans="1:28" x14ac:dyDescent="0.25">
      <c r="A26" s="9">
        <v>20</v>
      </c>
      <c r="B26" s="10">
        <v>88.338556606876153</v>
      </c>
      <c r="C26" s="10">
        <v>82.509603433418292</v>
      </c>
      <c r="D26" s="10">
        <v>76.086559339912753</v>
      </c>
      <c r="E26" s="10">
        <v>70.481021129204805</v>
      </c>
      <c r="F26" s="10">
        <v>70.426534415240695</v>
      </c>
      <c r="G26" s="10">
        <v>68.226021224053525</v>
      </c>
      <c r="H26" s="10">
        <v>70.545039613137973</v>
      </c>
      <c r="I26" s="10">
        <v>70.545039613137973</v>
      </c>
      <c r="J26" s="10">
        <v>78.368269882760842</v>
      </c>
      <c r="K26" s="10">
        <v>86.782450820642936</v>
      </c>
      <c r="L26" s="10">
        <v>99.111804667896138</v>
      </c>
      <c r="M26" s="10">
        <v>97.364405663260328</v>
      </c>
      <c r="N26" s="10">
        <v>97.38353473277553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>
        <f t="shared" si="0"/>
        <v>81.243757010947533</v>
      </c>
      <c r="AA26" s="10">
        <f t="shared" si="1"/>
        <v>99.111804667896138</v>
      </c>
      <c r="AB26" s="10">
        <f t="shared" si="2"/>
        <v>68.226021224053525</v>
      </c>
    </row>
    <row r="27" spans="1:28" x14ac:dyDescent="0.25">
      <c r="A27" s="9">
        <v>21</v>
      </c>
      <c r="B27" s="10">
        <v>95.696468862586542</v>
      </c>
      <c r="C27" s="10">
        <v>93.263970887488853</v>
      </c>
      <c r="D27" s="10">
        <v>88.526743618977278</v>
      </c>
      <c r="E27" s="10">
        <v>84.392875079781277</v>
      </c>
      <c r="F27" s="10">
        <v>77.689863336652138</v>
      </c>
      <c r="G27" s="10">
        <v>71.268343418547644</v>
      </c>
      <c r="H27" s="10">
        <v>73.279039458229846</v>
      </c>
      <c r="I27" s="10">
        <v>72.823563631993622</v>
      </c>
      <c r="J27" s="10">
        <v>85.388113599959198</v>
      </c>
      <c r="K27" s="10">
        <v>91.610285518898209</v>
      </c>
      <c r="L27" s="10">
        <v>91.610285518898209</v>
      </c>
      <c r="M27" s="10">
        <v>93.23225285248688</v>
      </c>
      <c r="N27" s="10">
        <v>94.857344951335847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>
        <f t="shared" si="0"/>
        <v>85.664550056602735</v>
      </c>
      <c r="AA27" s="10">
        <f t="shared" si="1"/>
        <v>95.696468862586542</v>
      </c>
      <c r="AB27" s="10">
        <f t="shared" si="2"/>
        <v>71.268343418547644</v>
      </c>
    </row>
    <row r="28" spans="1:28" x14ac:dyDescent="0.25">
      <c r="A28" s="9">
        <v>22</v>
      </c>
      <c r="B28" s="10">
        <v>88.199622694956588</v>
      </c>
      <c r="C28" s="10">
        <v>80.27583348650694</v>
      </c>
      <c r="D28" s="10">
        <v>69.432938262154266</v>
      </c>
      <c r="E28" s="10">
        <v>65.790924113205833</v>
      </c>
      <c r="F28" s="10">
        <v>58.711932917033693</v>
      </c>
      <c r="G28" s="10">
        <v>55.890143755702816</v>
      </c>
      <c r="H28" s="10">
        <v>56.557015910001454</v>
      </c>
      <c r="I28" s="10">
        <v>57.683939778994052</v>
      </c>
      <c r="J28" s="10">
        <v>65.980311350113553</v>
      </c>
      <c r="K28" s="10">
        <v>71.732809990983498</v>
      </c>
      <c r="L28" s="10">
        <v>77.967155135018501</v>
      </c>
      <c r="M28" s="10">
        <v>83.329595082535334</v>
      </c>
      <c r="N28" s="10">
        <v>83.115365273761171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>
        <f t="shared" si="0"/>
        <v>70.359045211612894</v>
      </c>
      <c r="AA28" s="10">
        <f t="shared" si="1"/>
        <v>88.199622694956588</v>
      </c>
      <c r="AB28" s="10">
        <f t="shared" si="2"/>
        <v>55.890143755702816</v>
      </c>
    </row>
    <row r="29" spans="1:28" x14ac:dyDescent="0.25">
      <c r="A29" s="9">
        <v>23</v>
      </c>
      <c r="B29" s="10">
        <v>83.321396443091601</v>
      </c>
      <c r="C29" s="10">
        <v>78.869389948198474</v>
      </c>
      <c r="D29" s="10">
        <v>71.583459536593224</v>
      </c>
      <c r="E29" s="10">
        <v>73.048735499062687</v>
      </c>
      <c r="F29" s="10">
        <v>62.006739346876962</v>
      </c>
      <c r="G29" s="10">
        <v>57.86312998888269</v>
      </c>
      <c r="H29" s="10">
        <v>54.927409546142073</v>
      </c>
      <c r="I29" s="10">
        <v>62.786899188970658</v>
      </c>
      <c r="J29" s="10">
        <v>73.290208372739471</v>
      </c>
      <c r="K29" s="10">
        <v>90.197634108095627</v>
      </c>
      <c r="L29" s="10">
        <v>96.623275706623488</v>
      </c>
      <c r="M29" s="10">
        <v>93.295342494094442</v>
      </c>
      <c r="N29" s="10">
        <v>93.263970887488853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>
        <f t="shared" si="0"/>
        <v>76.236737774373879</v>
      </c>
      <c r="AA29" s="10">
        <f t="shared" si="1"/>
        <v>96.623275706623488</v>
      </c>
      <c r="AB29" s="10">
        <f t="shared" si="2"/>
        <v>54.927409546142073</v>
      </c>
    </row>
    <row r="30" spans="1:28" x14ac:dyDescent="0.25">
      <c r="A30" s="9">
        <v>24</v>
      </c>
      <c r="B30" s="10">
        <v>92.345789175537178</v>
      </c>
      <c r="C30" s="10">
        <v>85.74647865707125</v>
      </c>
      <c r="D30" s="10">
        <v>73.57195967851267</v>
      </c>
      <c r="E30" s="10">
        <v>70.366823657378404</v>
      </c>
      <c r="F30" s="10">
        <v>63.593343954962165</v>
      </c>
      <c r="G30" s="10">
        <v>64.952479343439492</v>
      </c>
      <c r="H30" s="10">
        <v>84.256733681197744</v>
      </c>
      <c r="I30" s="10">
        <v>90.498296070254241</v>
      </c>
      <c r="J30" s="10">
        <v>83.896736925091147</v>
      </c>
      <c r="K30" s="10">
        <v>92.591270923575053</v>
      </c>
      <c r="L30" s="10">
        <v>93.387427765218007</v>
      </c>
      <c r="M30" s="10">
        <v>93.387427765218007</v>
      </c>
      <c r="N30" s="10">
        <v>94.976593310395145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>
        <f t="shared" si="0"/>
        <v>83.351643146757723</v>
      </c>
      <c r="AA30" s="10">
        <f t="shared" si="1"/>
        <v>94.976593310395145</v>
      </c>
      <c r="AB30" s="10">
        <f t="shared" si="2"/>
        <v>63.593343954962165</v>
      </c>
    </row>
    <row r="31" spans="1:28" x14ac:dyDescent="0.25">
      <c r="A31" s="9">
        <v>25</v>
      </c>
      <c r="B31" s="10">
        <v>85.354461239644934</v>
      </c>
      <c r="C31" s="10">
        <v>78.463382904995044</v>
      </c>
      <c r="D31" s="10">
        <v>75.591583817912351</v>
      </c>
      <c r="E31" s="10">
        <v>75.209916123495276</v>
      </c>
      <c r="F31" s="10">
        <v>75.311981910915833</v>
      </c>
      <c r="G31" s="10">
        <v>74.166461988785088</v>
      </c>
      <c r="H31" s="10">
        <v>75.41299607333552</v>
      </c>
      <c r="I31" s="10">
        <v>75.311981910915833</v>
      </c>
      <c r="J31" s="10">
        <v>75.311981910915833</v>
      </c>
      <c r="K31" s="10">
        <v>80.358414363599238</v>
      </c>
      <c r="L31" s="10">
        <v>85.274774733116004</v>
      </c>
      <c r="M31" s="10">
        <v>87.368039151312885</v>
      </c>
      <c r="N31" s="10">
        <v>90.241980925036074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>
        <f t="shared" si="0"/>
        <v>79.490612081075383</v>
      </c>
      <c r="AA31" s="10">
        <f t="shared" si="1"/>
        <v>90.241980925036074</v>
      </c>
      <c r="AB31" s="10">
        <f t="shared" si="2"/>
        <v>74.166461988785088</v>
      </c>
    </row>
    <row r="32" spans="1:28" x14ac:dyDescent="0.25">
      <c r="A32" s="9">
        <v>26</v>
      </c>
      <c r="B32" s="10">
        <v>96.623275706623488</v>
      </c>
      <c r="C32" s="10">
        <v>90.285851672166032</v>
      </c>
      <c r="D32" s="10">
        <v>83.713385926701918</v>
      </c>
      <c r="E32" s="10">
        <v>77.783258701669766</v>
      </c>
      <c r="F32" s="10">
        <v>70.306804629940927</v>
      </c>
      <c r="G32" s="10">
        <v>67.350843749385419</v>
      </c>
      <c r="H32" s="10">
        <v>75.512973119707212</v>
      </c>
      <c r="I32" s="10">
        <v>85.487976512302907</v>
      </c>
      <c r="J32" s="10">
        <v>91.893557261885803</v>
      </c>
      <c r="K32" s="10">
        <v>89.634811275339089</v>
      </c>
      <c r="L32" s="10">
        <v>90.435746385625919</v>
      </c>
      <c r="M32" s="10">
        <v>93.534420629988972</v>
      </c>
      <c r="N32" s="10">
        <v>95.100483857463473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>
        <f t="shared" si="0"/>
        <v>85.204876109907772</v>
      </c>
      <c r="AA32" s="10">
        <f t="shared" si="1"/>
        <v>96.623275706623488</v>
      </c>
      <c r="AB32" s="10">
        <f t="shared" si="2"/>
        <v>67.350843749385419</v>
      </c>
    </row>
    <row r="33" spans="1:28" x14ac:dyDescent="0.25">
      <c r="A33" s="9">
        <v>27</v>
      </c>
      <c r="B33" s="10">
        <v>91.68809926880499</v>
      </c>
      <c r="C33" s="10">
        <v>86.513924403122019</v>
      </c>
      <c r="D33" s="10">
        <v>76.387818684939546</v>
      </c>
      <c r="E33" s="10">
        <v>72.277949271841507</v>
      </c>
      <c r="F33" s="10">
        <v>68.413366289034371</v>
      </c>
      <c r="G33" s="10">
        <v>67.539979891535864</v>
      </c>
      <c r="H33" s="10">
        <v>63.484122825403858</v>
      </c>
      <c r="I33" s="10">
        <v>63.829600890564045</v>
      </c>
      <c r="J33" s="10">
        <v>81.607560551843122</v>
      </c>
      <c r="K33" s="10">
        <v>87.868568479817412</v>
      </c>
      <c r="L33" s="10">
        <v>86.423491210494802</v>
      </c>
      <c r="M33" s="10">
        <v>90.329253075595716</v>
      </c>
      <c r="N33" s="10">
        <v>91.838728868182031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>
        <f t="shared" si="0"/>
        <v>79.092497208552246</v>
      </c>
      <c r="AA33" s="10">
        <f t="shared" si="1"/>
        <v>91.838728868182031</v>
      </c>
      <c r="AB33" s="10">
        <f t="shared" si="2"/>
        <v>63.484122825403858</v>
      </c>
    </row>
    <row r="34" spans="1:28" x14ac:dyDescent="0.25">
      <c r="A34" s="9">
        <v>28</v>
      </c>
      <c r="B34" s="10">
        <v>89.30243579246428</v>
      </c>
      <c r="C34" s="10">
        <v>85.714771674595454</v>
      </c>
      <c r="D34" s="10">
        <v>80.917037782840225</v>
      </c>
      <c r="E34" s="10">
        <v>73.846409065303362</v>
      </c>
      <c r="F34" s="10">
        <v>69.376214104399224</v>
      </c>
      <c r="G34" s="10">
        <v>63.991607469914271</v>
      </c>
      <c r="H34" s="10">
        <v>62.453593355798965</v>
      </c>
      <c r="I34" s="10">
        <v>70.485939030390881</v>
      </c>
      <c r="J34" s="10">
        <v>76.72756344737293</v>
      </c>
      <c r="K34" s="10">
        <v>72.378181491726195</v>
      </c>
      <c r="L34" s="10">
        <v>73.516201765591887</v>
      </c>
      <c r="M34" s="10">
        <v>80.998725742116079</v>
      </c>
      <c r="N34" s="10">
        <v>82.931592253339616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>
        <f t="shared" si="0"/>
        <v>75.587713305834882</v>
      </c>
      <c r="AA34" s="10">
        <f t="shared" si="1"/>
        <v>89.30243579246428</v>
      </c>
      <c r="AB34" s="10">
        <f t="shared" si="2"/>
        <v>62.453593355798965</v>
      </c>
    </row>
    <row r="35" spans="1:28" x14ac:dyDescent="0.25">
      <c r="A35" s="9">
        <v>29</v>
      </c>
      <c r="B35" s="10">
        <v>85.520903747080652</v>
      </c>
      <c r="C35" s="10">
        <v>77.306313366446432</v>
      </c>
      <c r="D35" s="10">
        <v>73.516201765591887</v>
      </c>
      <c r="E35" s="10">
        <v>70.357755252555023</v>
      </c>
      <c r="F35" s="10">
        <v>64.325223913221464</v>
      </c>
      <c r="G35" s="10">
        <v>63.377902771134032</v>
      </c>
      <c r="H35" s="10">
        <v>63.377902771134032</v>
      </c>
      <c r="I35" s="10">
        <v>66.336216408985308</v>
      </c>
      <c r="J35" s="10">
        <v>70.723724571512406</v>
      </c>
      <c r="K35" s="10">
        <v>71.819793770269541</v>
      </c>
      <c r="L35" s="10">
        <v>76.188036463966284</v>
      </c>
      <c r="M35" s="10">
        <v>84.46076283297424</v>
      </c>
      <c r="N35" s="10">
        <v>86.690498797792557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0">
        <f t="shared" si="0"/>
        <v>73.384710494820283</v>
      </c>
      <c r="AA35" s="10">
        <f t="shared" si="1"/>
        <v>86.690498797792557</v>
      </c>
      <c r="AB35" s="10">
        <f t="shared" si="2"/>
        <v>63.377902771134032</v>
      </c>
    </row>
    <row r="36" spans="1:28" ht="15.75" thickBot="1" x14ac:dyDescent="0.3">
      <c r="A36" s="9">
        <v>30</v>
      </c>
      <c r="B36" s="10">
        <v>93.417462289395559</v>
      </c>
      <c r="C36" s="10">
        <v>85.90249604768772</v>
      </c>
      <c r="D36" s="10">
        <v>80.358414363599238</v>
      </c>
      <c r="E36" s="10">
        <v>77.642797934266568</v>
      </c>
      <c r="F36" s="10">
        <v>71.618485316430721</v>
      </c>
      <c r="G36" s="10">
        <v>70.545039613137973</v>
      </c>
      <c r="H36" s="10">
        <v>65.763663287912749</v>
      </c>
      <c r="I36" s="10">
        <v>63.553913261055683</v>
      </c>
      <c r="J36" s="10">
        <v>76.286129053494633</v>
      </c>
      <c r="K36" s="10">
        <v>80.857879716784282</v>
      </c>
      <c r="L36" s="10">
        <v>85.320624331577875</v>
      </c>
      <c r="M36" s="10">
        <v>89.227869660164401</v>
      </c>
      <c r="N36" s="10">
        <v>90.015347770751774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>
        <f t="shared" si="0"/>
        <v>79.270009434327619</v>
      </c>
      <c r="AA36" s="10">
        <f t="shared" si="1"/>
        <v>93.417462289395559</v>
      </c>
      <c r="AB36" s="10">
        <f t="shared" si="2"/>
        <v>63.553913261055683</v>
      </c>
    </row>
    <row r="37" spans="1:28" ht="16.5" thickTop="1" thickBot="1" x14ac:dyDescent="0.3">
      <c r="A37" s="35" t="s">
        <v>27</v>
      </c>
      <c r="B37" s="36">
        <f t="shared" ref="B37:N37" si="3">MAX(B7:B36)</f>
        <v>96.623275706623488</v>
      </c>
      <c r="C37" s="36">
        <f t="shared" si="3"/>
        <v>93.263970887488853</v>
      </c>
      <c r="D37" s="36">
        <f t="shared" si="3"/>
        <v>88.526743618977278</v>
      </c>
      <c r="E37" s="36">
        <f t="shared" si="3"/>
        <v>84.392875079781277</v>
      </c>
      <c r="F37" s="36">
        <f t="shared" si="3"/>
        <v>81.567778571788381</v>
      </c>
      <c r="G37" s="36">
        <f t="shared" si="3"/>
        <v>81.72565273312577</v>
      </c>
      <c r="H37" s="36">
        <f t="shared" si="3"/>
        <v>84.256733681197744</v>
      </c>
      <c r="I37" s="36">
        <f t="shared" si="3"/>
        <v>90.498296070254241</v>
      </c>
      <c r="J37" s="36">
        <f t="shared" si="3"/>
        <v>96.623275706623488</v>
      </c>
      <c r="K37" s="36">
        <f t="shared" si="3"/>
        <v>96.623275706623488</v>
      </c>
      <c r="L37" s="36">
        <f t="shared" si="3"/>
        <v>99.111804667896138</v>
      </c>
      <c r="M37" s="36">
        <f t="shared" si="3"/>
        <v>98.256753770221422</v>
      </c>
      <c r="N37" s="36">
        <f t="shared" si="3"/>
        <v>98.256753770221422</v>
      </c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8">
        <f>MAX(Z7:Z36)</f>
        <v>85.664550056602735</v>
      </c>
      <c r="AA37" s="38">
        <f>MAX(AA7:AA36)</f>
        <v>99.111804667896138</v>
      </c>
      <c r="AB37" s="38">
        <f>MAX(AB7:AB36)</f>
        <v>74.166461988785088</v>
      </c>
    </row>
    <row r="38" spans="1:28" ht="16.5" thickTop="1" thickBot="1" x14ac:dyDescent="0.3">
      <c r="A38" s="35" t="s">
        <v>28</v>
      </c>
      <c r="B38" s="36">
        <f t="shared" ref="B38:N38" si="4">MIN(B7:B36)</f>
        <v>83.321396443091601</v>
      </c>
      <c r="C38" s="36">
        <f t="shared" si="4"/>
        <v>76.488327844307364</v>
      </c>
      <c r="D38" s="36">
        <f t="shared" si="4"/>
        <v>69.03825932412856</v>
      </c>
      <c r="E38" s="36">
        <f t="shared" si="4"/>
        <v>62.482083766699034</v>
      </c>
      <c r="F38" s="36">
        <f t="shared" si="4"/>
        <v>58.711932917033693</v>
      </c>
      <c r="G38" s="36">
        <f t="shared" si="4"/>
        <v>55.890143755702816</v>
      </c>
      <c r="H38" s="36">
        <f t="shared" si="4"/>
        <v>49.291852297201061</v>
      </c>
      <c r="I38" s="36">
        <f t="shared" si="4"/>
        <v>47.832794243386559</v>
      </c>
      <c r="J38" s="36">
        <f t="shared" si="4"/>
        <v>48.701144639062207</v>
      </c>
      <c r="K38" s="36">
        <f t="shared" si="4"/>
        <v>67.223150346921003</v>
      </c>
      <c r="L38" s="36">
        <f t="shared" si="4"/>
        <v>72.145186899335471</v>
      </c>
      <c r="M38" s="36">
        <f t="shared" si="4"/>
        <v>72.823563631993622</v>
      </c>
      <c r="N38" s="36">
        <f t="shared" si="4"/>
        <v>74.01339763269938</v>
      </c>
      <c r="O38" s="37"/>
      <c r="P38" s="37"/>
      <c r="Q38" s="37"/>
      <c r="R38" s="33"/>
      <c r="S38" s="34"/>
      <c r="T38" s="33"/>
      <c r="U38" s="33"/>
      <c r="V38" s="33"/>
      <c r="W38" s="33"/>
      <c r="X38" s="33"/>
      <c r="Y38" s="33"/>
      <c r="Z38" s="38">
        <f>MIN(Z8:Z37)</f>
        <v>67.543774392500765</v>
      </c>
      <c r="AA38" s="38">
        <f>MIN(AA8:AA37)</f>
        <v>86.690498797792557</v>
      </c>
      <c r="AB38" s="38">
        <f>MIN(AB8:AB37)</f>
        <v>47.832794243386559</v>
      </c>
    </row>
    <row r="39" spans="1:28" ht="15.75" thickTop="1" x14ac:dyDescent="0.25">
      <c r="A39" s="35" t="s">
        <v>35</v>
      </c>
      <c r="B39" s="36">
        <f t="shared" ref="B39:N39" si="5">AVERAGE(B7:B36)</f>
        <v>90.324642184464054</v>
      </c>
      <c r="C39" s="36">
        <f t="shared" si="5"/>
        <v>83.810515553632385</v>
      </c>
      <c r="D39" s="36">
        <f t="shared" si="5"/>
        <v>76.753054767457655</v>
      </c>
      <c r="E39" s="36">
        <f t="shared" si="5"/>
        <v>71.370638982961324</v>
      </c>
      <c r="F39" s="36">
        <f t="shared" si="5"/>
        <v>67.774225008880734</v>
      </c>
      <c r="G39" s="36">
        <f t="shared" si="5"/>
        <v>65.337080824090137</v>
      </c>
      <c r="H39" s="36">
        <f t="shared" si="5"/>
        <v>66.197385884108257</v>
      </c>
      <c r="I39" s="36">
        <f t="shared" si="5"/>
        <v>68.033791823382529</v>
      </c>
      <c r="J39" s="36">
        <f t="shared" si="5"/>
        <v>74.544675075218791</v>
      </c>
      <c r="K39" s="36">
        <f t="shared" si="5"/>
        <v>80.83105066252179</v>
      </c>
      <c r="L39" s="36">
        <f t="shared" si="5"/>
        <v>85.617121033987374</v>
      </c>
      <c r="M39" s="36">
        <f t="shared" si="5"/>
        <v>87.358478600014209</v>
      </c>
      <c r="N39" s="36">
        <f t="shared" si="5"/>
        <v>90.051712553509034</v>
      </c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8">
        <f>AVERAGE(Z9:Z38)</f>
        <v>77.561202298406698</v>
      </c>
      <c r="AA39" s="38">
        <f t="shared" ref="AA39:AB39" si="6">AVERAGE(AA9:AA38)</f>
        <v>92.981940712472806</v>
      </c>
      <c r="AB39" s="38">
        <f t="shared" si="6"/>
        <v>63.324651301508389</v>
      </c>
    </row>
    <row r="40" spans="1:28" x14ac:dyDescent="0.25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8"/>
      <c r="AA40" s="28"/>
      <c r="AB40" s="28"/>
    </row>
    <row r="41" spans="1:28" x14ac:dyDescent="0.25">
      <c r="A41" s="15"/>
      <c r="AA41" s="16"/>
      <c r="AB41" s="16"/>
    </row>
    <row r="42" spans="1:28" x14ac:dyDescent="0.25">
      <c r="A42" s="15" t="s">
        <v>30</v>
      </c>
      <c r="AA42" s="16"/>
      <c r="AB42" s="16"/>
    </row>
    <row r="43" spans="1:28" x14ac:dyDescent="0.25">
      <c r="A43" s="17"/>
      <c r="B43" s="18" t="s">
        <v>31</v>
      </c>
      <c r="C43" s="16"/>
      <c r="D43" s="16"/>
      <c r="E43" s="16"/>
      <c r="F43" s="19"/>
      <c r="G43" s="57"/>
      <c r="H43" s="57"/>
      <c r="I43" s="57"/>
      <c r="J43" s="57"/>
      <c r="K43" s="57"/>
      <c r="L43" s="57"/>
      <c r="M43" s="20"/>
      <c r="N43" s="20"/>
      <c r="O43" s="20"/>
      <c r="P43" s="20"/>
      <c r="Q43" s="20"/>
      <c r="R43" s="21"/>
      <c r="S43" s="22"/>
      <c r="AA43" s="16"/>
      <c r="AB43" s="16"/>
    </row>
    <row r="44" spans="1:28" x14ac:dyDescent="0.25">
      <c r="A44" s="19"/>
      <c r="B44" s="19"/>
      <c r="C44" s="16"/>
      <c r="D44" s="16"/>
      <c r="E44" s="16"/>
      <c r="F44" s="19"/>
      <c r="G44" s="57"/>
      <c r="H44" s="57"/>
      <c r="I44" s="57"/>
      <c r="J44" s="57"/>
      <c r="K44" s="57"/>
      <c r="L44" s="57"/>
      <c r="M44" s="20"/>
      <c r="N44" s="20"/>
      <c r="O44" s="20"/>
      <c r="P44" s="20"/>
      <c r="Q44" s="20"/>
      <c r="R44" s="21"/>
      <c r="S44" s="22"/>
      <c r="AB44" s="16"/>
    </row>
    <row r="45" spans="1:28" x14ac:dyDescent="0.25">
      <c r="A45" s="19"/>
      <c r="B45" s="19"/>
      <c r="C45" s="16"/>
      <c r="D45" s="16"/>
      <c r="E45" s="16"/>
      <c r="F45" s="19"/>
      <c r="G45" s="57"/>
      <c r="H45" s="57"/>
      <c r="I45" s="57"/>
      <c r="J45" s="57"/>
      <c r="K45" s="57"/>
      <c r="L45" s="57"/>
      <c r="M45" s="20"/>
      <c r="N45" s="20"/>
      <c r="O45" s="20"/>
      <c r="P45" s="20"/>
      <c r="Q45" s="20"/>
      <c r="R45" s="21"/>
      <c r="S45" s="22"/>
      <c r="Y45" s="21" t="s">
        <v>37</v>
      </c>
      <c r="Z45" s="21"/>
      <c r="AA45" s="21"/>
      <c r="AB45" s="16"/>
    </row>
    <row r="46" spans="1:28" x14ac:dyDescent="0.25">
      <c r="A46" s="19"/>
      <c r="B46" s="19"/>
      <c r="C46" s="16"/>
      <c r="D46" s="16"/>
      <c r="E46" s="16"/>
      <c r="F46" s="19"/>
      <c r="G46" s="57"/>
      <c r="H46" s="57"/>
      <c r="I46" s="57"/>
      <c r="J46" s="57"/>
      <c r="K46" s="57"/>
      <c r="L46" s="57"/>
      <c r="M46" s="20"/>
      <c r="N46" s="20"/>
      <c r="O46" s="20"/>
      <c r="P46" s="20"/>
      <c r="Q46" s="20"/>
      <c r="R46" s="21"/>
      <c r="S46" s="22"/>
      <c r="Y46" s="21"/>
      <c r="Z46" s="21"/>
      <c r="AA46" s="21"/>
      <c r="AB46" s="16"/>
    </row>
    <row r="47" spans="1:28" x14ac:dyDescent="0.25">
      <c r="A47" s="19"/>
      <c r="B47" s="19"/>
      <c r="C47" s="16"/>
      <c r="D47" s="16"/>
      <c r="E47" s="16"/>
      <c r="F47" s="19"/>
      <c r="G47" s="21"/>
      <c r="H47" s="21"/>
      <c r="I47" s="21"/>
      <c r="J47" s="21"/>
      <c r="K47" s="21"/>
      <c r="L47" s="21"/>
      <c r="M47" s="20"/>
      <c r="N47" s="20"/>
      <c r="O47" s="20"/>
      <c r="P47" s="20"/>
      <c r="Q47" s="20"/>
      <c r="R47" s="21"/>
      <c r="S47" s="22"/>
      <c r="Y47" s="21" t="str">
        <f>[1]COVER!X4</f>
        <v>PEMBUAT LAPORAN,</v>
      </c>
      <c r="Z47" s="21"/>
      <c r="AA47" s="21"/>
      <c r="AB47" s="16"/>
    </row>
    <row r="48" spans="1:28" x14ac:dyDescent="0.25">
      <c r="A48" s="19"/>
      <c r="B48" s="19"/>
      <c r="C48" s="16"/>
      <c r="D48" s="16"/>
      <c r="E48" s="16"/>
      <c r="F48" s="19"/>
      <c r="G48" s="21"/>
      <c r="H48" s="21"/>
      <c r="I48" s="21"/>
      <c r="J48" s="20"/>
      <c r="K48" s="20"/>
      <c r="L48" s="20"/>
      <c r="M48" s="20"/>
      <c r="N48" s="20"/>
      <c r="O48" s="22"/>
      <c r="P48" s="23"/>
      <c r="Q48" s="23"/>
      <c r="R48" s="21"/>
      <c r="S48" s="22"/>
      <c r="Y48" s="22"/>
      <c r="Z48" s="21"/>
      <c r="AA48" s="21"/>
      <c r="AB48" s="16"/>
    </row>
    <row r="49" spans="1:27" x14ac:dyDescent="0.25">
      <c r="A49" s="19"/>
      <c r="B49" s="19"/>
      <c r="C49" s="16"/>
      <c r="D49" s="16"/>
      <c r="E49" s="16"/>
      <c r="F49" s="19"/>
      <c r="G49" s="58"/>
      <c r="H49" s="58"/>
      <c r="I49" s="58"/>
      <c r="J49" s="58"/>
      <c r="K49" s="58"/>
      <c r="L49" s="58"/>
      <c r="M49" s="24"/>
      <c r="N49" s="24"/>
      <c r="O49" s="24"/>
      <c r="P49" s="24"/>
      <c r="Q49" s="24"/>
      <c r="R49" s="21"/>
      <c r="S49" s="22"/>
      <c r="Y49" s="22"/>
      <c r="Z49" s="21"/>
      <c r="AA49" s="21"/>
    </row>
    <row r="50" spans="1:27" x14ac:dyDescent="0.25">
      <c r="A50" s="19"/>
      <c r="B50" s="19"/>
      <c r="C50" s="16"/>
      <c r="D50" s="16"/>
      <c r="E50" s="16"/>
      <c r="F50" s="19"/>
      <c r="G50" s="57"/>
      <c r="H50" s="57"/>
      <c r="I50" s="57"/>
      <c r="J50" s="57"/>
      <c r="K50" s="57"/>
      <c r="L50" s="57"/>
      <c r="M50" s="25"/>
      <c r="N50" s="25"/>
      <c r="O50" s="25"/>
      <c r="P50" s="25"/>
      <c r="Q50" s="25"/>
      <c r="R50" s="21"/>
      <c r="S50" s="22"/>
      <c r="Y50" s="22"/>
      <c r="Z50" s="21"/>
      <c r="AA50" s="21"/>
    </row>
    <row r="51" spans="1:27" x14ac:dyDescent="0.25">
      <c r="Y51" s="26" t="s">
        <v>33</v>
      </c>
      <c r="Z51" s="26"/>
      <c r="AA51" s="26"/>
    </row>
    <row r="52" spans="1:27" x14ac:dyDescent="0.25">
      <c r="Y52" s="21" t="s">
        <v>34</v>
      </c>
      <c r="Z52" s="21"/>
      <c r="AA52" s="21"/>
    </row>
  </sheetData>
  <mergeCells count="7">
    <mergeCell ref="G43:L43"/>
    <mergeCell ref="Y3:Z3"/>
    <mergeCell ref="G49:L49"/>
    <mergeCell ref="G50:L50"/>
    <mergeCell ref="G44:L44"/>
    <mergeCell ref="G45:L45"/>
    <mergeCell ref="G46:L46"/>
  </mergeCells>
  <pageMargins left="1.6929133858267718" right="0.70866141732283461" top="0.74803149606299213" bottom="0.3543307086614173" header="0.31496062992125984" footer="0.31496062992125984"/>
  <pageSetup paperSize="9" scale="66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2:AB53"/>
  <sheetViews>
    <sheetView topLeftCell="A7" workbookViewId="0">
      <selection activeCell="U12" sqref="U12"/>
    </sheetView>
  </sheetViews>
  <sheetFormatPr defaultRowHeight="15" x14ac:dyDescent="0.25"/>
  <cols>
    <col min="1" max="29" width="5.7109375" customWidth="1"/>
  </cols>
  <sheetData>
    <row r="2" spans="1:28" x14ac:dyDescent="0.25">
      <c r="R2" s="1" t="s">
        <v>0</v>
      </c>
      <c r="T2" s="1"/>
      <c r="W2" s="1"/>
    </row>
    <row r="3" spans="1:28" x14ac:dyDescent="0.25">
      <c r="R3" s="1" t="s">
        <v>1</v>
      </c>
      <c r="T3" s="1" t="str">
        <f>'[5]1'!AA1</f>
        <v>MEI</v>
      </c>
      <c r="V3" s="2">
        <f>JANUARI!V3</f>
        <v>2022</v>
      </c>
      <c r="W3" s="1"/>
      <c r="Y3" s="59"/>
      <c r="Z3" s="59"/>
      <c r="AA3" s="2"/>
    </row>
    <row r="5" spans="1:2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4" t="s">
        <v>32</v>
      </c>
      <c r="AA5" s="4" t="s">
        <v>27</v>
      </c>
      <c r="AB5" s="4" t="s">
        <v>28</v>
      </c>
    </row>
    <row r="6" spans="1:28" x14ac:dyDescent="0.25">
      <c r="A6" s="5" t="s">
        <v>29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  <c r="P6" s="5">
        <v>15</v>
      </c>
      <c r="Q6" s="5">
        <v>16</v>
      </c>
      <c r="R6" s="5">
        <v>17</v>
      </c>
      <c r="S6" s="5">
        <v>18</v>
      </c>
      <c r="T6" s="5">
        <v>19</v>
      </c>
      <c r="U6" s="5">
        <v>20</v>
      </c>
      <c r="V6" s="5">
        <v>21</v>
      </c>
      <c r="W6" s="5">
        <v>22</v>
      </c>
      <c r="X6" s="5">
        <v>23</v>
      </c>
      <c r="Y6" s="5">
        <v>24</v>
      </c>
      <c r="Z6" s="5">
        <v>25</v>
      </c>
      <c r="AA6" s="5">
        <v>26</v>
      </c>
      <c r="AB6" s="5">
        <v>27</v>
      </c>
    </row>
    <row r="7" spans="1:28" x14ac:dyDescent="0.25">
      <c r="A7" s="6">
        <v>1</v>
      </c>
      <c r="B7" s="7">
        <f>'[6]input data'!H6</f>
        <v>89.277716228241317</v>
      </c>
      <c r="C7" s="7">
        <f>'[6]input data'!H7</f>
        <v>76.490431016735371</v>
      </c>
      <c r="D7" s="7">
        <f>'[6]input data'!H8</f>
        <v>70.968093696139277</v>
      </c>
      <c r="E7" s="7">
        <f>'[6]input data'!H9</f>
        <v>67.069391343588762</v>
      </c>
      <c r="F7" s="7">
        <f>'[6]input data'!H10</f>
        <v>66.665842630830113</v>
      </c>
      <c r="G7" s="7">
        <f>'[6]input data'!H11</f>
        <v>69.736488041473535</v>
      </c>
      <c r="H7" s="7">
        <f>'[6]input data'!H12</f>
        <v>54.62525970368899</v>
      </c>
      <c r="I7" s="7">
        <f>'[6]input data'!H13</f>
        <v>53.225477278875765</v>
      </c>
      <c r="J7" s="7">
        <f>'[6]input data'!H14</f>
        <v>60.36795035675744</v>
      </c>
      <c r="K7" s="7">
        <f>'[6]input data'!H15</f>
        <v>76.486153106181604</v>
      </c>
      <c r="L7" s="7">
        <f>'[6]input data'!H16</f>
        <v>90.329253075595716</v>
      </c>
      <c r="M7" s="7">
        <f>'[6]input data'!H17</f>
        <v>90.197634108095627</v>
      </c>
      <c r="N7" s="7">
        <f>'[6]input data'!H18</f>
        <v>91.76423123386563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7">
        <f>AVERAGE(B7:N7)</f>
        <v>73.631070909236101</v>
      </c>
      <c r="AA7" s="7">
        <f>MAX(B7:N7)</f>
        <v>91.76423123386563</v>
      </c>
      <c r="AB7" s="7">
        <f>MIN(B7:Y7)</f>
        <v>53.225477278875765</v>
      </c>
    </row>
    <row r="8" spans="1:28" x14ac:dyDescent="0.25">
      <c r="A8" s="9">
        <v>2</v>
      </c>
      <c r="B8" s="10">
        <f>'[6]input data'!H42</f>
        <v>88.758392692627268</v>
      </c>
      <c r="C8" s="10">
        <f>'[6]input data'!H43</f>
        <v>84.46076283297424</v>
      </c>
      <c r="D8" s="10">
        <f>'[6]input data'!H44</f>
        <v>78.439747354776088</v>
      </c>
      <c r="E8" s="10">
        <f>'[6]input data'!H45</f>
        <v>79.529624183494306</v>
      </c>
      <c r="F8" s="10">
        <f>'[6]input data'!H46</f>
        <v>71.308960902813283</v>
      </c>
      <c r="G8" s="10">
        <f>'[6]input data'!H47</f>
        <v>63.945186472940172</v>
      </c>
      <c r="H8" s="10">
        <f>'[6]input data'!H48</f>
        <v>58.348408517473473</v>
      </c>
      <c r="I8" s="10">
        <f>'[6]input data'!H49</f>
        <v>57.842134385045263</v>
      </c>
      <c r="J8" s="10">
        <f>'[6]input data'!H50</f>
        <v>70.085992916873224</v>
      </c>
      <c r="K8" s="10">
        <f>'[6]input data'!H51</f>
        <v>90.015347770751774</v>
      </c>
      <c r="L8" s="10">
        <f>'[6]input data'!H52</f>
        <v>75.984004934121756</v>
      </c>
      <c r="M8" s="10">
        <f>'[6]input data'!H53</f>
        <v>77.207862783481787</v>
      </c>
      <c r="N8" s="10">
        <f>'[6]input data'!H54</f>
        <v>79.751570735784398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0">
        <f t="shared" ref="Z8:Z37" si="0">AVERAGE(B8:N8)</f>
        <v>75.052153575627472</v>
      </c>
      <c r="AA8" s="10">
        <f t="shared" ref="AA8:AA37" si="1">MAX(B8:N8)</f>
        <v>90.015347770751774</v>
      </c>
      <c r="AB8" s="10">
        <f t="shared" ref="AB8:AB37" si="2">MIN(B8:Y8)</f>
        <v>57.842134385045263</v>
      </c>
    </row>
    <row r="9" spans="1:28" x14ac:dyDescent="0.25">
      <c r="A9" s="9">
        <v>3</v>
      </c>
      <c r="B9" s="10">
        <f>'[6]input data'!H78</f>
        <v>84.184813194407482</v>
      </c>
      <c r="C9" s="10">
        <f>'[6]input data'!H79</f>
        <v>78.650583612557497</v>
      </c>
      <c r="D9" s="10">
        <f>'[6]input data'!H80</f>
        <v>73.627425546942845</v>
      </c>
      <c r="E9" s="10">
        <f>'[6]input data'!H81</f>
        <v>66.428989569440731</v>
      </c>
      <c r="F9" s="10">
        <f>'[6]input data'!H82</f>
        <v>60.945438969294393</v>
      </c>
      <c r="G9" s="10">
        <f>'[6]input data'!H83</f>
        <v>53.04816014435616</v>
      </c>
      <c r="H9" s="10">
        <f>'[6]input data'!H84</f>
        <v>48.797020845644802</v>
      </c>
      <c r="I9" s="10">
        <f>'[6]input data'!H85</f>
        <v>55.002618204861264</v>
      </c>
      <c r="J9" s="10">
        <f>'[6]input data'!H86</f>
        <v>64.220332951702986</v>
      </c>
      <c r="K9" s="10">
        <f>'[6]input data'!H87</f>
        <v>64.220332951702986</v>
      </c>
      <c r="L9" s="10">
        <f>'[6]input data'!H88</f>
        <v>75.709872775229954</v>
      </c>
      <c r="M9" s="10">
        <f>'[6]input data'!H89</f>
        <v>83.468729637313217</v>
      </c>
      <c r="N9" s="10">
        <f>'[6]input data'!H90</f>
        <v>83.258932546042018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0">
        <f t="shared" si="0"/>
        <v>68.581788534576646</v>
      </c>
      <c r="AA9" s="10">
        <f t="shared" si="1"/>
        <v>84.184813194407482</v>
      </c>
      <c r="AB9" s="10">
        <f t="shared" si="2"/>
        <v>48.797020845644802</v>
      </c>
    </row>
    <row r="10" spans="1:28" x14ac:dyDescent="0.25">
      <c r="A10" s="9">
        <v>4</v>
      </c>
      <c r="B10" s="10">
        <f>'[6]input data'!H114</f>
        <v>94.9996701525737</v>
      </c>
      <c r="C10" s="10">
        <f>'[6]input data'!H115</f>
        <v>80.957989531224484</v>
      </c>
      <c r="D10" s="10">
        <f>'[6]input data'!H116</f>
        <v>68.357244841267971</v>
      </c>
      <c r="E10" s="10">
        <f>'[6]input data'!H117</f>
        <v>62.006739346876962</v>
      </c>
      <c r="F10" s="10">
        <f>'[6]input data'!H118</f>
        <v>57.531256492189563</v>
      </c>
      <c r="G10" s="10">
        <f>'[6]input data'!H119</f>
        <v>58.348408517473473</v>
      </c>
      <c r="H10" s="10">
        <f>'[6]input data'!H120</f>
        <v>59.350053134906275</v>
      </c>
      <c r="I10" s="10">
        <f>'[6]input data'!H121</f>
        <v>53.688306223389894</v>
      </c>
      <c r="J10" s="10">
        <f>'[6]input data'!H122</f>
        <v>52.778792996945533</v>
      </c>
      <c r="K10" s="10">
        <f>'[6]input data'!H123</f>
        <v>73.525233919727469</v>
      </c>
      <c r="L10" s="10">
        <f>'[6]input data'!H124</f>
        <v>74.787218850277668</v>
      </c>
      <c r="M10" s="10">
        <f>'[6]input data'!H125</f>
        <v>83.956709676464868</v>
      </c>
      <c r="N10" s="10">
        <f>'[6]input data'!H126</f>
        <v>90.559861850173533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0">
        <f t="shared" si="0"/>
        <v>70.065191194883951</v>
      </c>
      <c r="AA10" s="10">
        <f t="shared" si="1"/>
        <v>94.9996701525737</v>
      </c>
      <c r="AB10" s="10">
        <f t="shared" si="2"/>
        <v>52.778792996945533</v>
      </c>
    </row>
    <row r="11" spans="1:28" x14ac:dyDescent="0.25">
      <c r="A11" s="9">
        <v>5</v>
      </c>
      <c r="B11" s="10">
        <f>'[6]input data'!H150</f>
        <v>94.22978507575192</v>
      </c>
      <c r="C11" s="10">
        <f>'[6]input data'!H151</f>
        <v>84.324261141767138</v>
      </c>
      <c r="D11" s="10">
        <f>'[6]input data'!H152</f>
        <v>79.101586094726713</v>
      </c>
      <c r="E11" s="10">
        <f>'[6]input data'!H153</f>
        <v>74.683904056487108</v>
      </c>
      <c r="F11" s="10">
        <f>'[6]input data'!H154</f>
        <v>70.426534415240695</v>
      </c>
      <c r="G11" s="10">
        <f>'[6]input data'!H155</f>
        <v>66.336216408985308</v>
      </c>
      <c r="H11" s="10">
        <f>'[6]input data'!H156</f>
        <v>67.350843749385419</v>
      </c>
      <c r="I11" s="10">
        <f>'[6]input data'!H157</f>
        <v>73.763019882863745</v>
      </c>
      <c r="J11" s="10">
        <f>'[6]input data'!H158</f>
        <v>69.004717151586277</v>
      </c>
      <c r="K11" s="10">
        <f>'[6]input data'!H159</f>
        <v>86.453797589986962</v>
      </c>
      <c r="L11" s="10">
        <f>'[6]input data'!H160</f>
        <v>86.573410896904008</v>
      </c>
      <c r="M11" s="10">
        <f>'[6]input data'!H161</f>
        <v>87.284176110421342</v>
      </c>
      <c r="N11" s="10">
        <f>'[6]input data'!H162</f>
        <v>88.758392692627268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0">
        <f t="shared" si="0"/>
        <v>79.099280405133385</v>
      </c>
      <c r="AA11" s="10">
        <f t="shared" si="1"/>
        <v>94.22978507575192</v>
      </c>
      <c r="AB11" s="10">
        <f t="shared" si="2"/>
        <v>66.336216408985308</v>
      </c>
    </row>
    <row r="12" spans="1:28" x14ac:dyDescent="0.25">
      <c r="A12" s="9">
        <v>6</v>
      </c>
      <c r="B12" s="10">
        <f>'[6]input data'!H186</f>
        <v>87.083169493220765</v>
      </c>
      <c r="C12" s="10">
        <f>'[6]input data'!H187</f>
        <v>82.265385267633121</v>
      </c>
      <c r="D12" s="10">
        <f>'[6]input data'!H188</f>
        <v>76.583468902286143</v>
      </c>
      <c r="E12" s="10">
        <f>'[6]input data'!H189</f>
        <v>72.829825080395921</v>
      </c>
      <c r="F12" s="10">
        <f>'[6]input data'!H190</f>
        <v>65.980311350113553</v>
      </c>
      <c r="G12" s="10">
        <f>'[6]input data'!H191</f>
        <v>67.784935533682031</v>
      </c>
      <c r="H12" s="10">
        <f>'[6]input data'!H192</f>
        <v>68.158654037735886</v>
      </c>
      <c r="I12" s="10">
        <f>'[6]input data'!H193</f>
        <v>96.623275706623488</v>
      </c>
      <c r="J12" s="10">
        <f>'[6]input data'!H194</f>
        <v>90.197634108095627</v>
      </c>
      <c r="K12" s="10">
        <f>'[6]input data'!H195</f>
        <v>88.85779948974681</v>
      </c>
      <c r="L12" s="10">
        <f>'[6]input data'!H196</f>
        <v>94.881722302512387</v>
      </c>
      <c r="M12" s="10">
        <f>'[6]input data'!H197</f>
        <v>96.542703442597727</v>
      </c>
      <c r="N12" s="10">
        <f>'[6]input data'!H198</f>
        <v>93.167757326285368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0">
        <f t="shared" si="0"/>
        <v>83.15051092622528</v>
      </c>
      <c r="AA12" s="10">
        <f t="shared" si="1"/>
        <v>96.623275706623488</v>
      </c>
      <c r="AB12" s="10">
        <f t="shared" si="2"/>
        <v>65.980311350113553</v>
      </c>
    </row>
    <row r="13" spans="1:28" x14ac:dyDescent="0.25">
      <c r="A13" s="9">
        <v>7</v>
      </c>
      <c r="B13" s="10">
        <f>'[6]input data'!H222</f>
        <v>95.045080078480566</v>
      </c>
      <c r="C13" s="10">
        <f>'[6]input data'!H223</f>
        <v>84.46076283297424</v>
      </c>
      <c r="D13" s="10">
        <f>'[6]input data'!H224</f>
        <v>80.441494769259251</v>
      </c>
      <c r="E13" s="10">
        <f>'[6]input data'!H225</f>
        <v>74.270962017708015</v>
      </c>
      <c r="F13" s="10">
        <f>'[6]input data'!H226</f>
        <v>71.957973431143657</v>
      </c>
      <c r="G13" s="10">
        <f>'[6]input data'!H227</f>
        <v>71.119776367151829</v>
      </c>
      <c r="H13" s="10">
        <f>'[6]input data'!H228</f>
        <v>68.597880222405522</v>
      </c>
      <c r="I13" s="10">
        <f>'[6]input data'!H229</f>
        <v>72.068843989732841</v>
      </c>
      <c r="J13" s="10">
        <f>'[6]input data'!H230</f>
        <v>75.41299607333552</v>
      </c>
      <c r="K13" s="10">
        <f>'[6]input data'!H231</f>
        <v>86.024359156205279</v>
      </c>
      <c r="L13" s="10">
        <f>'[6]input data'!H232</f>
        <v>94.929677919351548</v>
      </c>
      <c r="M13" s="10">
        <f>'[6]input data'!H233</f>
        <v>94.857344951335847</v>
      </c>
      <c r="N13" s="10">
        <f>'[6]input data'!H234</f>
        <v>94.857344951335847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0">
        <f t="shared" si="0"/>
        <v>81.849576673878445</v>
      </c>
      <c r="AA13" s="10">
        <f t="shared" si="1"/>
        <v>95.045080078480566</v>
      </c>
      <c r="AB13" s="10">
        <f t="shared" si="2"/>
        <v>68.597880222405522</v>
      </c>
    </row>
    <row r="14" spans="1:28" x14ac:dyDescent="0.25">
      <c r="A14" s="9">
        <v>8</v>
      </c>
      <c r="B14" s="10">
        <f>'[6]input data'!H258</f>
        <v>89.375791190256564</v>
      </c>
      <c r="C14" s="10">
        <f>'[6]input data'!H259</f>
        <v>85.90249604768772</v>
      </c>
      <c r="D14" s="10">
        <f>'[6]input data'!H260</f>
        <v>80.441494769259251</v>
      </c>
      <c r="E14" s="10">
        <f>'[6]input data'!H261</f>
        <v>75.512973119707212</v>
      </c>
      <c r="F14" s="10">
        <f>'[6]input data'!H262</f>
        <v>75.611927333242306</v>
      </c>
      <c r="G14" s="10">
        <f>'[6]input data'!H263</f>
        <v>70.778443254701287</v>
      </c>
      <c r="H14" s="10">
        <f>'[6]input data'!H264</f>
        <v>71.957973431143657</v>
      </c>
      <c r="I14" s="10">
        <f>'[6]input data'!H265</f>
        <v>71.502977059275636</v>
      </c>
      <c r="J14" s="10">
        <f>'[6]input data'!H266</f>
        <v>83.364650624676315</v>
      </c>
      <c r="K14" s="10">
        <f>'[6]input data'!H267</f>
        <v>92.171644695410265</v>
      </c>
      <c r="L14" s="10">
        <f>'[6]input data'!H268</f>
        <v>88.16192920648966</v>
      </c>
      <c r="M14" s="10">
        <f>'[6]input data'!H269</f>
        <v>92.707183993168613</v>
      </c>
      <c r="N14" s="10">
        <f>'[6]input data'!H270</f>
        <v>95.111387712912261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0">
        <f t="shared" si="0"/>
        <v>82.507759418302371</v>
      </c>
      <c r="AA14" s="10">
        <f t="shared" si="1"/>
        <v>95.111387712912261</v>
      </c>
      <c r="AB14" s="10">
        <f t="shared" si="2"/>
        <v>70.778443254701287</v>
      </c>
    </row>
    <row r="15" spans="1:28" x14ac:dyDescent="0.25">
      <c r="A15" s="9">
        <v>9</v>
      </c>
      <c r="B15" s="10">
        <f>'[6]input data'!H294</f>
        <v>88.553044028618061</v>
      </c>
      <c r="C15" s="10">
        <f>'[6]input data'!H295</f>
        <v>81.406521414660631</v>
      </c>
      <c r="D15" s="10">
        <f>'[6]input data'!H296</f>
        <v>77.13207539953612</v>
      </c>
      <c r="E15" s="10">
        <f>'[6]input data'!H297</f>
        <v>74.889473883767849</v>
      </c>
      <c r="F15" s="10">
        <f>'[6]input data'!H298</f>
        <v>64.152064056797968</v>
      </c>
      <c r="G15" s="10">
        <f>'[6]input data'!H299</f>
        <v>65.08801220897567</v>
      </c>
      <c r="H15" s="10">
        <f>'[6]input data'!H300</f>
        <v>73.087971059033734</v>
      </c>
      <c r="I15" s="10">
        <f>'[6]input data'!H301</f>
        <v>95.891245943840559</v>
      </c>
      <c r="J15" s="10">
        <f>'[6]input data'!H302</f>
        <v>88.808361977229509</v>
      </c>
      <c r="K15" s="10">
        <f>'[6]input data'!H303</f>
        <v>87.531808735198595</v>
      </c>
      <c r="L15" s="10">
        <f>'[6]input data'!H304</f>
        <v>90.45670689176886</v>
      </c>
      <c r="M15" s="10">
        <f>'[6]input data'!H305</f>
        <v>90.45670689176886</v>
      </c>
      <c r="N15" s="10">
        <f>'[6]input data'!H306</f>
        <v>91.983003497793732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0">
        <f t="shared" si="0"/>
        <v>82.264384306845386</v>
      </c>
      <c r="AA15" s="10">
        <f t="shared" si="1"/>
        <v>95.891245943840559</v>
      </c>
      <c r="AB15" s="10">
        <f t="shared" si="2"/>
        <v>64.152064056797968</v>
      </c>
    </row>
    <row r="16" spans="1:28" x14ac:dyDescent="0.25">
      <c r="A16" s="9">
        <v>10</v>
      </c>
      <c r="B16" s="10">
        <f>'[6]input data'!H330</f>
        <v>91.801681435810139</v>
      </c>
      <c r="C16" s="10">
        <f>'[6]input data'!H331</f>
        <v>84.46076283297424</v>
      </c>
      <c r="D16" s="10">
        <f>'[6]input data'!H332</f>
        <v>76.486153106181604</v>
      </c>
      <c r="E16" s="10">
        <f>'[6]input data'!H333</f>
        <v>71.732809990983498</v>
      </c>
      <c r="F16" s="10">
        <f>'[6]input data'!H334</f>
        <v>67.848012348338841</v>
      </c>
      <c r="G16" s="10">
        <f>'[6]input data'!H335</f>
        <v>66.630439106317368</v>
      </c>
      <c r="H16" s="10">
        <f>'[6]input data'!H336</f>
        <v>68.958644184198874</v>
      </c>
      <c r="I16" s="10">
        <f>'[6]input data'!H337</f>
        <v>69.736488041473535</v>
      </c>
      <c r="J16" s="10">
        <f>'[6]input data'!H338</f>
        <v>74.476775321769892</v>
      </c>
      <c r="K16" s="10">
        <f>'[6]input data'!H339</f>
        <v>76.72756344737293</v>
      </c>
      <c r="L16" s="10">
        <f>'[6]input data'!H340</f>
        <v>76.592037551566889</v>
      </c>
      <c r="M16" s="10">
        <f>'[6]input data'!H341</f>
        <v>85.015074807095985</v>
      </c>
      <c r="N16" s="10">
        <f>'[6]input data'!H342</f>
        <v>89.542388598685221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>
        <f t="shared" si="0"/>
        <v>76.923756213289934</v>
      </c>
      <c r="AA16" s="10">
        <f t="shared" si="1"/>
        <v>91.801681435810139</v>
      </c>
      <c r="AB16" s="10">
        <f t="shared" si="2"/>
        <v>66.630439106317368</v>
      </c>
    </row>
    <row r="17" spans="1:28" x14ac:dyDescent="0.25">
      <c r="A17" s="9">
        <v>11</v>
      </c>
      <c r="B17" s="10">
        <f>'[6]input data'!H366</f>
        <v>86.362386718915005</v>
      </c>
      <c r="C17" s="10">
        <f>'[6]input data'!H367</f>
        <v>80.189608416928536</v>
      </c>
      <c r="D17" s="10">
        <f>'[6]input data'!H368</f>
        <v>74.787218850277668</v>
      </c>
      <c r="E17" s="10">
        <f>'[6]input data'!H369</f>
        <v>69.376214104399224</v>
      </c>
      <c r="F17" s="10">
        <f>'[6]input data'!H370</f>
        <v>65.08801220897567</v>
      </c>
      <c r="G17" s="10">
        <f>'[6]input data'!H371</f>
        <v>66.50301628303859</v>
      </c>
      <c r="H17" s="10">
        <f>'[6]input data'!H372</f>
        <v>64.083451585478599</v>
      </c>
      <c r="I17" s="10">
        <f>'[6]input data'!H373</f>
        <v>62.275612129935951</v>
      </c>
      <c r="J17" s="10">
        <f>'[6]input data'!H374</f>
        <v>58.663836396116999</v>
      </c>
      <c r="K17" s="10">
        <f>'[6]input data'!H375</f>
        <v>78.496630866239542</v>
      </c>
      <c r="L17" s="10">
        <f>'[6]input data'!H376</f>
        <v>82.325152682871888</v>
      </c>
      <c r="M17" s="10">
        <f>'[6]input data'!H377</f>
        <v>84.789659367472794</v>
      </c>
      <c r="N17" s="10">
        <f>'[6]input data'!H378</f>
        <v>86.08433224972319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>
        <f t="shared" si="0"/>
        <v>73.77116398925952</v>
      </c>
      <c r="AA17" s="10">
        <f t="shared" si="1"/>
        <v>86.362386718915005</v>
      </c>
      <c r="AB17" s="10">
        <f t="shared" si="2"/>
        <v>58.663836396116999</v>
      </c>
    </row>
    <row r="18" spans="1:28" x14ac:dyDescent="0.25">
      <c r="A18" s="9">
        <v>12</v>
      </c>
      <c r="B18" s="10">
        <f>'[6]input data'!H402</f>
        <v>91.820255139964601</v>
      </c>
      <c r="C18" s="10">
        <f>'[6]input data'!H403</f>
        <v>91.929622498239695</v>
      </c>
      <c r="D18" s="10">
        <f>'[6]input data'!H404</f>
        <v>79.057545778462185</v>
      </c>
      <c r="E18" s="10">
        <f>'[6]input data'!H405</f>
        <v>69.004717151586277</v>
      </c>
      <c r="F18" s="10">
        <f>'[6]input data'!H406</f>
        <v>72.994428949297799</v>
      </c>
      <c r="G18" s="10">
        <f>'[6]input data'!H407</f>
        <v>71.701195956542492</v>
      </c>
      <c r="H18" s="10">
        <f>'[6]input data'!H408</f>
        <v>69.677202235056797</v>
      </c>
      <c r="I18" s="10">
        <f>'[6]input data'!H409</f>
        <v>63.16873547331133</v>
      </c>
      <c r="J18" s="10">
        <f>'[6]input data'!H410</f>
        <v>65.745622243935586</v>
      </c>
      <c r="K18" s="10">
        <f>'[6]input data'!H411</f>
        <v>67.726283456319948</v>
      </c>
      <c r="L18" s="10">
        <f>'[6]input data'!H412</f>
        <v>79.529624183494306</v>
      </c>
      <c r="M18" s="10">
        <f>'[6]input data'!H413</f>
        <v>84.594400321721793</v>
      </c>
      <c r="N18" s="10">
        <f>'[6]input data'!H414</f>
        <v>87.312279769242565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>
        <f t="shared" si="0"/>
        <v>76.481685627475031</v>
      </c>
      <c r="AA18" s="10">
        <f t="shared" si="1"/>
        <v>91.929622498239695</v>
      </c>
      <c r="AB18" s="10">
        <f t="shared" si="2"/>
        <v>63.16873547331133</v>
      </c>
    </row>
    <row r="19" spans="1:28" x14ac:dyDescent="0.25">
      <c r="A19" s="9">
        <v>13</v>
      </c>
      <c r="B19" s="10">
        <f>'[6]input data'!H438</f>
        <v>76.742438575393706</v>
      </c>
      <c r="C19" s="10">
        <f>'[6]input data'!H439</f>
        <v>75.106783972489893</v>
      </c>
      <c r="D19" s="10">
        <f>'[6]input data'!H440</f>
        <v>70.306804629940927</v>
      </c>
      <c r="E19" s="10">
        <f>'[6]input data'!H441</f>
        <v>65.980311350113553</v>
      </c>
      <c r="F19" s="10">
        <f>'[6]input data'!H442</f>
        <v>57.362749693994871</v>
      </c>
      <c r="G19" s="10">
        <f>'[6]input data'!H443</f>
        <v>57.039869462245676</v>
      </c>
      <c r="H19" s="10">
        <f>'[6]input data'!H444</f>
        <v>51.770125917571264</v>
      </c>
      <c r="I19" s="10">
        <f>'[6]input data'!H445</f>
        <v>56.336067460921399</v>
      </c>
      <c r="J19" s="10">
        <f>'[6]input data'!H446</f>
        <v>67.5457741725223</v>
      </c>
      <c r="K19" s="10">
        <f>'[6]input data'!H447</f>
        <v>72.554849210489962</v>
      </c>
      <c r="L19" s="10">
        <f>'[6]input data'!H448</f>
        <v>79.232336186691441</v>
      </c>
      <c r="M19" s="10">
        <f>'[6]input data'!H449</f>
        <v>80.624211215301727</v>
      </c>
      <c r="N19" s="10">
        <f>'[6]input data'!H450</f>
        <v>92.523040045494852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>
        <f t="shared" si="0"/>
        <v>69.471181684090112</v>
      </c>
      <c r="AA19" s="10">
        <f t="shared" si="1"/>
        <v>92.523040045494852</v>
      </c>
      <c r="AB19" s="10">
        <f t="shared" si="2"/>
        <v>51.770125917571264</v>
      </c>
    </row>
    <row r="20" spans="1:28" x14ac:dyDescent="0.25">
      <c r="A20" s="9">
        <v>14</v>
      </c>
      <c r="B20" s="10">
        <f>'[6]input data'!H474</f>
        <v>88.78344427844344</v>
      </c>
      <c r="C20" s="10">
        <f>'[6]input data'!H475</f>
        <v>80.441494769259251</v>
      </c>
      <c r="D20" s="10">
        <f>'[6]input data'!H476</f>
        <v>71.502977059275636</v>
      </c>
      <c r="E20" s="10">
        <f>'[6]input data'!H477</f>
        <v>68.351235392666368</v>
      </c>
      <c r="F20" s="10">
        <f>'[6]input data'!H478</f>
        <v>65.020417112259793</v>
      </c>
      <c r="G20" s="10">
        <f>'[6]input data'!H479</f>
        <v>68.597880222405522</v>
      </c>
      <c r="H20" s="10">
        <f>'[6]input data'!H480</f>
        <v>73.263205909512479</v>
      </c>
      <c r="I20" s="10">
        <f>'[6]input data'!H481</f>
        <v>74.527575363296279</v>
      </c>
      <c r="J20" s="10">
        <f>'[6]input data'!H482</f>
        <v>74.735694844036345</v>
      </c>
      <c r="K20" s="10">
        <f>'[6]input data'!H483</f>
        <v>79.275467883729604</v>
      </c>
      <c r="L20" s="10">
        <f>'[6]input data'!H484</f>
        <v>85.462469581202669</v>
      </c>
      <c r="M20" s="10">
        <f>'[6]input data'!H485</f>
        <v>87.558602711500583</v>
      </c>
      <c r="N20" s="10">
        <f>'[6]input data'!H486</f>
        <v>87.89595980409338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>
        <f t="shared" si="0"/>
        <v>77.339724994744728</v>
      </c>
      <c r="AA20" s="10">
        <f t="shared" si="1"/>
        <v>88.78344427844344</v>
      </c>
      <c r="AB20" s="10">
        <f t="shared" si="2"/>
        <v>65.020417112259793</v>
      </c>
    </row>
    <row r="21" spans="1:28" x14ac:dyDescent="0.25">
      <c r="A21" s="9">
        <v>15</v>
      </c>
      <c r="B21" s="10">
        <f>'[6]input data'!H510</f>
        <v>93.447174314965409</v>
      </c>
      <c r="C21" s="10">
        <f>'[6]input data'!H511</f>
        <v>77.783258701669766</v>
      </c>
      <c r="D21" s="10">
        <f>'[6]input data'!H512</f>
        <v>76.486153106181604</v>
      </c>
      <c r="E21" s="10">
        <f>'[6]input data'!H513</f>
        <v>72.939842992423735</v>
      </c>
      <c r="F21" s="10">
        <f>'[6]input data'!H514</f>
        <v>68.351235392666368</v>
      </c>
      <c r="G21" s="10">
        <f>'[6]input data'!H515</f>
        <v>66.244302282615067</v>
      </c>
      <c r="H21" s="10">
        <f>'[6]input data'!H516</f>
        <v>68.597880222405522</v>
      </c>
      <c r="I21" s="10">
        <f>'[6]input data'!H517</f>
        <v>64.75242725086467</v>
      </c>
      <c r="J21" s="10">
        <f>'[6]input data'!H518</f>
        <v>68.097150824248715</v>
      </c>
      <c r="K21" s="10">
        <f>'[6]input data'!H519</f>
        <v>70.836054760419927</v>
      </c>
      <c r="L21" s="10">
        <f>'[6]input data'!H520</f>
        <v>77.967155135018501</v>
      </c>
      <c r="M21" s="10">
        <f>'[6]input data'!H521</f>
        <v>83.922495849748842</v>
      </c>
      <c r="N21" s="10">
        <f>'[6]input data'!H522</f>
        <v>88.187753971210455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>
        <f t="shared" si="0"/>
        <v>75.200991138802962</v>
      </c>
      <c r="AA21" s="10">
        <f t="shared" si="1"/>
        <v>93.447174314965409</v>
      </c>
      <c r="AB21" s="10">
        <f t="shared" si="2"/>
        <v>64.75242725086467</v>
      </c>
    </row>
    <row r="22" spans="1:28" x14ac:dyDescent="0.25">
      <c r="A22" s="9">
        <v>16</v>
      </c>
      <c r="B22" s="10">
        <f>'[6]input data'!H546</f>
        <v>93.402485627448897</v>
      </c>
      <c r="C22" s="10">
        <f>'[6]input data'!H547</f>
        <v>81.487578849068441</v>
      </c>
      <c r="D22" s="10">
        <f>'[6]input data'!H548</f>
        <v>77.783258701669766</v>
      </c>
      <c r="E22" s="10">
        <f>'[6]input data'!H549</f>
        <v>73.333931893494324</v>
      </c>
      <c r="F22" s="10">
        <f>'[6]input data'!H550</f>
        <v>67.593768683011362</v>
      </c>
      <c r="G22" s="10">
        <f>'[6]input data'!H551</f>
        <v>67.784935533682031</v>
      </c>
      <c r="H22" s="10">
        <f>'[6]input data'!H552</f>
        <v>62.306163689807228</v>
      </c>
      <c r="I22" s="10">
        <f>'[6]input data'!H553</f>
        <v>60.213969905578743</v>
      </c>
      <c r="J22" s="10">
        <f>'[6]input data'!H554</f>
        <v>63.377902771134032</v>
      </c>
      <c r="K22" s="10">
        <f>'[6]input data'!H555</f>
        <v>65.574108128065092</v>
      </c>
      <c r="L22" s="10">
        <f>'[6]input data'!H556</f>
        <v>71.149184188620822</v>
      </c>
      <c r="M22" s="10">
        <f>'[6]input data'!H557</f>
        <v>76.086559339912753</v>
      </c>
      <c r="N22" s="10">
        <f>'[6]input data'!H558</f>
        <v>85.714771674595454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>
        <f t="shared" si="0"/>
        <v>72.754509152776066</v>
      </c>
      <c r="AA22" s="10">
        <f t="shared" si="1"/>
        <v>93.402485627448897</v>
      </c>
      <c r="AB22" s="10">
        <f t="shared" si="2"/>
        <v>60.213969905578743</v>
      </c>
    </row>
    <row r="23" spans="1:28" x14ac:dyDescent="0.25">
      <c r="A23" s="9">
        <v>17</v>
      </c>
      <c r="B23" s="10">
        <f>'[6]input data'!H582</f>
        <v>88.500299434478777</v>
      </c>
      <c r="C23" s="10">
        <f>'[6]input data'!H583</f>
        <v>82.818961990568795</v>
      </c>
      <c r="D23" s="10">
        <f>'[6]input data'!H584</f>
        <v>70.784128109960974</v>
      </c>
      <c r="E23" s="10">
        <f>'[6]input data'!H585</f>
        <v>66.730466106778579</v>
      </c>
      <c r="F23" s="10">
        <f>'[6]input data'!H586</f>
        <v>63.558266287249367</v>
      </c>
      <c r="G23" s="10">
        <f>'[6]input data'!H587</f>
        <v>62.08217264399061</v>
      </c>
      <c r="H23" s="10">
        <f>'[6]input data'!H588</f>
        <v>63.92030827433247</v>
      </c>
      <c r="I23" s="10">
        <f>'[6]input data'!H589</f>
        <v>60.730696218885562</v>
      </c>
      <c r="J23" s="10">
        <f>'[6]input data'!H590</f>
        <v>63.129839291018797</v>
      </c>
      <c r="K23" s="10">
        <f>'[6]input data'!H591</f>
        <v>67.399650108779625</v>
      </c>
      <c r="L23" s="10">
        <f>'[6]input data'!H592</f>
        <v>74.950053497758361</v>
      </c>
      <c r="M23" s="10">
        <f>'[6]input data'!H593</f>
        <v>81.447158103938889</v>
      </c>
      <c r="N23" s="10">
        <f>'[6]input data'!H594</f>
        <v>84.981826594222483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>
        <f>AVERAGE(B23:N23)</f>
        <v>71.617986666304873</v>
      </c>
      <c r="AA23" s="10">
        <f t="shared" si="1"/>
        <v>88.500299434478777</v>
      </c>
      <c r="AB23" s="10">
        <f t="shared" si="2"/>
        <v>60.730696218885562</v>
      </c>
    </row>
    <row r="24" spans="1:28" x14ac:dyDescent="0.25">
      <c r="A24" s="9">
        <v>18</v>
      </c>
      <c r="B24" s="10">
        <f>'[6]input data'!H618</f>
        <v>86.904713358166006</v>
      </c>
      <c r="C24" s="10">
        <f>'[6]input data'!H619</f>
        <v>77.831603044410059</v>
      </c>
      <c r="D24" s="10">
        <f>'[6]input data'!H620</f>
        <v>71.583459536593224</v>
      </c>
      <c r="E24" s="10">
        <f>'[6]input data'!H621</f>
        <v>65.505185186216536</v>
      </c>
      <c r="F24" s="10">
        <f>'[6]input data'!H622</f>
        <v>62.306163689807228</v>
      </c>
      <c r="G24" s="10">
        <f>'[6]input data'!H623</f>
        <v>62.380066553592698</v>
      </c>
      <c r="H24" s="10">
        <f>'[6]input data'!H624</f>
        <v>62.073462486390426</v>
      </c>
      <c r="I24" s="10">
        <f>'[6]input data'!H625</f>
        <v>62.886999872331359</v>
      </c>
      <c r="J24" s="10">
        <f>'[6]input data'!H626</f>
        <v>65.980311350113553</v>
      </c>
      <c r="K24" s="10">
        <f>'[6]input data'!H627</f>
        <v>70.185833175268371</v>
      </c>
      <c r="L24" s="10">
        <f>'[6]input data'!H628</f>
        <v>91.875379228323595</v>
      </c>
      <c r="M24" s="10">
        <f>'[6]input data'!H629</f>
        <v>91.875379228323595</v>
      </c>
      <c r="N24" s="10">
        <f>'[6]input data'!H630</f>
        <v>91.875379228323595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>
        <f t="shared" si="0"/>
        <v>74.09722584137387</v>
      </c>
      <c r="AA24" s="10">
        <f t="shared" si="1"/>
        <v>91.875379228323595</v>
      </c>
      <c r="AB24" s="10">
        <f t="shared" si="2"/>
        <v>62.073462486390426</v>
      </c>
    </row>
    <row r="25" spans="1:28" x14ac:dyDescent="0.25">
      <c r="A25" s="9">
        <v>19</v>
      </c>
      <c r="B25" s="10">
        <f>'[6]input data'!H654</f>
        <v>90.241980925036074</v>
      </c>
      <c r="C25" s="10">
        <f>'[6]input data'!H655</f>
        <v>80.103857872245882</v>
      </c>
      <c r="D25" s="10">
        <f>'[6]input data'!H656</f>
        <v>77.500110101760797</v>
      </c>
      <c r="E25" s="10">
        <f>'[6]input data'!H657</f>
        <v>76.387818684939546</v>
      </c>
      <c r="F25" s="10">
        <f>'[6]input data'!H658</f>
        <v>70.077599920313602</v>
      </c>
      <c r="G25" s="10">
        <f>'[6]input data'!H659</f>
        <v>68.475182626420789</v>
      </c>
      <c r="H25" s="10">
        <f>'[6]input data'!H660</f>
        <v>66.244302282615067</v>
      </c>
      <c r="I25" s="10">
        <f>'[6]input data'!H661</f>
        <v>69.970660693764415</v>
      </c>
      <c r="J25" s="10">
        <f>'[6]input data'!H662</f>
        <v>77.642024346794486</v>
      </c>
      <c r="K25" s="10">
        <f>'[6]input data'!H663</f>
        <v>82.818961990568795</v>
      </c>
      <c r="L25" s="10">
        <f>'[6]input data'!H664</f>
        <v>88.605217614752689</v>
      </c>
      <c r="M25" s="10">
        <f>'[6]input data'!H665</f>
        <v>94.081459885738553</v>
      </c>
      <c r="N25" s="10">
        <f>'[6]input data'!H666</f>
        <v>94.881722302512387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>
        <f t="shared" si="0"/>
        <v>79.771607634420263</v>
      </c>
      <c r="AA25" s="10">
        <f t="shared" si="1"/>
        <v>94.881722302512387</v>
      </c>
      <c r="AB25" s="10">
        <f t="shared" si="2"/>
        <v>66.244302282615067</v>
      </c>
    </row>
    <row r="26" spans="1:28" x14ac:dyDescent="0.25">
      <c r="A26" s="9">
        <v>20</v>
      </c>
      <c r="B26" s="10">
        <f>'[6]input data'!H690</f>
        <v>93.263970887488853</v>
      </c>
      <c r="C26" s="10">
        <f>'[6]input data'!H691</f>
        <v>85.586225280384298</v>
      </c>
      <c r="D26" s="10">
        <f>'[6]input data'!H692</f>
        <v>84.324261141767138</v>
      </c>
      <c r="E26" s="10">
        <f>'[6]input data'!H693</f>
        <v>78.25704645822394</v>
      </c>
      <c r="F26" s="10">
        <f>'[6]input data'!H694</f>
        <v>75.209916123495276</v>
      </c>
      <c r="G26" s="10">
        <f>'[6]input data'!H695</f>
        <v>72.277949271841507</v>
      </c>
      <c r="H26" s="10">
        <f>'[6]input data'!H696</f>
        <v>73.048735499062687</v>
      </c>
      <c r="I26" s="10">
        <f>'[6]input data'!H697</f>
        <v>79.445777878107052</v>
      </c>
      <c r="J26" s="10">
        <f>'[6]input data'!H698</f>
        <v>76.98787409945092</v>
      </c>
      <c r="K26" s="10">
        <f>'[6]input data'!H699</f>
        <v>88.955108988785369</v>
      </c>
      <c r="L26" s="10">
        <f>'[6]input data'!H700</f>
        <v>88.004060294142761</v>
      </c>
      <c r="M26" s="10">
        <f>'[6]input data'!H701</f>
        <v>91.745353288692641</v>
      </c>
      <c r="N26" s="10">
        <f>'[6]input data'!H702</f>
        <v>89.824877111856409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>
        <f t="shared" si="0"/>
        <v>82.840858178715294</v>
      </c>
      <c r="AA26" s="10">
        <f t="shared" si="1"/>
        <v>93.263970887488853</v>
      </c>
      <c r="AB26" s="10">
        <f t="shared" si="2"/>
        <v>72.277949271841507</v>
      </c>
    </row>
    <row r="27" spans="1:28" x14ac:dyDescent="0.25">
      <c r="A27" s="9">
        <v>21</v>
      </c>
      <c r="B27" s="10">
        <f>'[6]input data'!H726</f>
        <v>95.727061625973548</v>
      </c>
      <c r="C27" s="10">
        <f>'[6]input data'!H727</f>
        <v>90.061668333449816</v>
      </c>
      <c r="D27" s="10">
        <f>'[6]input data'!H728</f>
        <v>82.665948335567847</v>
      </c>
      <c r="E27" s="10">
        <f>'[6]input data'!H729</f>
        <v>78.070462482466255</v>
      </c>
      <c r="F27" s="10">
        <f>'[6]input data'!H730</f>
        <v>74.259747398537471</v>
      </c>
      <c r="G27" s="10">
        <f>'[6]input data'!H731</f>
        <v>70.366823657378404</v>
      </c>
      <c r="H27" s="10">
        <f>'[6]input data'!H732</f>
        <v>69.776989268096514</v>
      </c>
      <c r="I27" s="10">
        <f>'[6]input data'!H733</f>
        <v>71.00714699271731</v>
      </c>
      <c r="J27" s="10">
        <f>'[6]input data'!H734</f>
        <v>76.869444396317348</v>
      </c>
      <c r="K27" s="10">
        <f>'[6]input data'!H735</f>
        <v>80.605071488961997</v>
      </c>
      <c r="L27" s="10">
        <f>'[6]input data'!H736</f>
        <v>84.594400321721793</v>
      </c>
      <c r="M27" s="10">
        <f>'[6]input data'!H737</f>
        <v>84.527934575684071</v>
      </c>
      <c r="N27" s="10">
        <f>'[6]input data'!H738</f>
        <v>88.85779948974681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>
        <f t="shared" si="0"/>
        <v>80.568499874355311</v>
      </c>
      <c r="AA27" s="10">
        <f t="shared" si="1"/>
        <v>95.727061625973548</v>
      </c>
      <c r="AB27" s="10">
        <f t="shared" si="2"/>
        <v>69.776989268096514</v>
      </c>
    </row>
    <row r="28" spans="1:28" x14ac:dyDescent="0.25">
      <c r="A28" s="9">
        <v>22</v>
      </c>
      <c r="B28" s="10">
        <f>'[6]input data'!H762</f>
        <v>93.200183366846844</v>
      </c>
      <c r="C28" s="10">
        <f>'[6]input data'!H763</f>
        <v>88.473710441923501</v>
      </c>
      <c r="D28" s="10">
        <f>'[6]input data'!H764</f>
        <v>82.78101573578131</v>
      </c>
      <c r="E28" s="10">
        <f>'[6]input data'!H765</f>
        <v>73.516201765591887</v>
      </c>
      <c r="F28" s="10">
        <f>'[6]input data'!H766</f>
        <v>70.306804629940927</v>
      </c>
      <c r="G28" s="10">
        <f>'[6]input data'!H767</f>
        <v>61.022571847580195</v>
      </c>
      <c r="H28" s="10">
        <f>'[6]input data'!H768</f>
        <v>60.9586906336136</v>
      </c>
      <c r="I28" s="10">
        <f>'[6]input data'!H769</f>
        <v>59.192953024821712</v>
      </c>
      <c r="J28" s="10">
        <f>'[6]input data'!H770</f>
        <v>59.901258776394741</v>
      </c>
      <c r="K28" s="10">
        <f>'[6]input data'!H771</f>
        <v>78.833844278754555</v>
      </c>
      <c r="L28" s="10">
        <f>'[6]input data'!H772</f>
        <v>85.388113599959198</v>
      </c>
      <c r="M28" s="10">
        <f>'[6]input data'!H773</f>
        <v>85.320624331577875</v>
      </c>
      <c r="N28" s="10">
        <f>'[6]input data'!H774</f>
        <v>89.968515836458096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>
        <f t="shared" si="0"/>
        <v>76.066499097634178</v>
      </c>
      <c r="AA28" s="10">
        <f t="shared" si="1"/>
        <v>93.200183366846844</v>
      </c>
      <c r="AB28" s="10">
        <f t="shared" si="2"/>
        <v>59.192953024821712</v>
      </c>
    </row>
    <row r="29" spans="1:28" x14ac:dyDescent="0.25">
      <c r="A29" s="9">
        <v>23</v>
      </c>
      <c r="B29" s="10">
        <f>'[6]input data'!H798</f>
        <v>89.074999225570892</v>
      </c>
      <c r="C29" s="10">
        <f>'[6]input data'!H799</f>
        <v>83.386946886828312</v>
      </c>
      <c r="D29" s="10">
        <f>'[6]input data'!H800</f>
        <v>74.629085978676315</v>
      </c>
      <c r="E29" s="10">
        <f>'[6]input data'!H801</f>
        <v>70.295635929820108</v>
      </c>
      <c r="F29" s="10">
        <f>'[6]input data'!H802</f>
        <v>59.536539480181482</v>
      </c>
      <c r="G29" s="10">
        <f>'[6]input data'!H803</f>
        <v>54.040370815581454</v>
      </c>
      <c r="H29" s="10">
        <f>'[6]input data'!H804</f>
        <v>58.120518260315478</v>
      </c>
      <c r="I29" s="10">
        <f>'[6]input data'!H805</f>
        <v>53.064296485626592</v>
      </c>
      <c r="J29" s="10">
        <f>'[6]input data'!H806</f>
        <v>53.980166760396088</v>
      </c>
      <c r="K29" s="10">
        <f>'[6]input data'!H807</f>
        <v>59.350053134906275</v>
      </c>
      <c r="L29" s="10">
        <f>'[6]input data'!H808</f>
        <v>79.188979706999518</v>
      </c>
      <c r="M29" s="10">
        <f>'[6]input data'!H809</f>
        <v>83.115365273761171</v>
      </c>
      <c r="N29" s="10">
        <f>'[6]input data'!H810</f>
        <v>85.113759488939039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>
        <f t="shared" si="0"/>
        <v>69.453593648277135</v>
      </c>
      <c r="AA29" s="10">
        <f t="shared" si="1"/>
        <v>89.074999225570892</v>
      </c>
      <c r="AB29" s="10">
        <f t="shared" si="2"/>
        <v>53.064296485626592</v>
      </c>
    </row>
    <row r="30" spans="1:28" x14ac:dyDescent="0.25">
      <c r="A30" s="9">
        <v>24</v>
      </c>
      <c r="B30" s="10">
        <f>'[6]input data'!H834</f>
        <v>88.393064158060469</v>
      </c>
      <c r="C30" s="10">
        <f>'[6]input data'!H835</f>
        <v>80.538517897156481</v>
      </c>
      <c r="D30" s="10">
        <f>'[6]input data'!H836</f>
        <v>69.561733871083121</v>
      </c>
      <c r="E30" s="10">
        <f>'[6]input data'!H837</f>
        <v>62.786899188970658</v>
      </c>
      <c r="F30" s="10">
        <f>'[6]input data'!H838</f>
        <v>57.531256492189563</v>
      </c>
      <c r="G30" s="10">
        <f>'[6]input data'!H839</f>
        <v>52.688087095741963</v>
      </c>
      <c r="H30" s="10">
        <f>'[6]input data'!H840</f>
        <v>51.495292610480227</v>
      </c>
      <c r="I30" s="10">
        <f>'[6]input data'!H841</f>
        <v>52.038438797484943</v>
      </c>
      <c r="J30" s="10">
        <f>'[6]input data'!H842</f>
        <v>59.236831163292869</v>
      </c>
      <c r="K30" s="10">
        <f>'[6]input data'!H843</f>
        <v>69.253651821422508</v>
      </c>
      <c r="L30" s="10">
        <f>'[6]input data'!H844</f>
        <v>79.275467883729604</v>
      </c>
      <c r="M30" s="10">
        <f>'[6]input data'!H845</f>
        <v>88.314849928226593</v>
      </c>
      <c r="N30" s="10">
        <f>'[6]input data'!H846</f>
        <v>88.08362644659897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>
        <f t="shared" si="0"/>
        <v>69.169055181110622</v>
      </c>
      <c r="AA30" s="10">
        <f t="shared" si="1"/>
        <v>88.393064158060469</v>
      </c>
      <c r="AB30" s="10">
        <f t="shared" si="2"/>
        <v>51.495292610480227</v>
      </c>
    </row>
    <row r="31" spans="1:28" x14ac:dyDescent="0.25">
      <c r="A31" s="9">
        <v>25</v>
      </c>
      <c r="B31" s="10">
        <f>'[6]input data'!H870</f>
        <v>95.786751748067161</v>
      </c>
      <c r="C31" s="10">
        <f>'[6]input data'!H871</f>
        <v>91.059085802206752</v>
      </c>
      <c r="D31" s="10">
        <f>'[6]input data'!H872</f>
        <v>85.24291194509685</v>
      </c>
      <c r="E31" s="10">
        <f>'[6]input data'!H873</f>
        <v>76.437114113345856</v>
      </c>
      <c r="F31" s="10">
        <f>'[6]input data'!H874</f>
        <v>71.194305815514099</v>
      </c>
      <c r="G31" s="10">
        <f>'[6]input data'!H875</f>
        <v>70.426534415240695</v>
      </c>
      <c r="H31" s="10">
        <f>'[6]input data'!H876</f>
        <v>64.467119704332802</v>
      </c>
      <c r="I31" s="10">
        <f>'[6]input data'!H877</f>
        <v>68.351235392666368</v>
      </c>
      <c r="J31" s="10">
        <f>'[6]input data'!H878</f>
        <v>79.571225426028661</v>
      </c>
      <c r="K31" s="10">
        <f>'[6]input data'!H879</f>
        <v>82.106146101297185</v>
      </c>
      <c r="L31" s="10">
        <f>'[6]input data'!H880</f>
        <v>88.393064158060469</v>
      </c>
      <c r="M31" s="10">
        <f>'[6]input data'!H881</f>
        <v>92.327520577119245</v>
      </c>
      <c r="N31" s="10">
        <f>'[6]input data'!H882</f>
        <v>93.216262358074559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>
        <f t="shared" si="0"/>
        <v>81.429175196696207</v>
      </c>
      <c r="AA31" s="10">
        <f t="shared" si="1"/>
        <v>95.786751748067161</v>
      </c>
      <c r="AB31" s="10">
        <f t="shared" si="2"/>
        <v>64.467119704332802</v>
      </c>
    </row>
    <row r="32" spans="1:28" x14ac:dyDescent="0.25">
      <c r="A32" s="9">
        <v>26</v>
      </c>
      <c r="B32" s="10">
        <f>'[6]input data'!H906</f>
        <v>96.55917508812108</v>
      </c>
      <c r="C32" s="10">
        <f>'[6]input data'!H907</f>
        <v>88.656828294001087</v>
      </c>
      <c r="D32" s="10">
        <f>'[6]input data'!H908</f>
        <v>81.487578849068441</v>
      </c>
      <c r="E32" s="10">
        <f>'[6]input data'!H909</f>
        <v>75.436041013344564</v>
      </c>
      <c r="F32" s="10">
        <f>'[6]input data'!H910</f>
        <v>77.595485089323546</v>
      </c>
      <c r="G32" s="10">
        <f>'[6]input data'!H911</f>
        <v>85.90249604768772</v>
      </c>
      <c r="H32" s="10">
        <f>'[6]input data'!H912</f>
        <v>90.152804386413735</v>
      </c>
      <c r="I32" s="10">
        <f>'[6]input data'!H913</f>
        <v>91.570732721093307</v>
      </c>
      <c r="J32" s="10">
        <f>'[6]input data'!H914</f>
        <v>97.344952480933671</v>
      </c>
      <c r="K32" s="10">
        <f>'[6]input data'!H915</f>
        <v>98.235473711331494</v>
      </c>
      <c r="L32" s="10">
        <f>'[6]input data'!H916</f>
        <v>98.231145819080723</v>
      </c>
      <c r="M32" s="10">
        <f>'[6]input data'!H917</f>
        <v>98.204660424735749</v>
      </c>
      <c r="N32" s="10">
        <f>'[6]input data'!H918</f>
        <v>98.209137234323435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>
        <f t="shared" si="0"/>
        <v>90.583577781496814</v>
      </c>
      <c r="AA32" s="10">
        <f t="shared" si="1"/>
        <v>98.235473711331494</v>
      </c>
      <c r="AB32" s="10">
        <f t="shared" si="2"/>
        <v>75.436041013344564</v>
      </c>
    </row>
    <row r="33" spans="1:28" x14ac:dyDescent="0.25">
      <c r="A33" s="9">
        <v>27</v>
      </c>
      <c r="B33" s="10">
        <f>'[6]input data'!H942</f>
        <v>87.998499084757896</v>
      </c>
      <c r="C33" s="10">
        <f>'[6]input data'!H943</f>
        <v>82.430151826947267</v>
      </c>
      <c r="D33" s="10">
        <f>'[6]input data'!H944</f>
        <v>81.487578849068441</v>
      </c>
      <c r="E33" s="10">
        <f>'[6]input data'!H945</f>
        <v>77.500110101760797</v>
      </c>
      <c r="F33" s="10">
        <f>'[6]input data'!H946</f>
        <v>72.262295922601993</v>
      </c>
      <c r="G33" s="10">
        <f>'[6]input data'!H947</f>
        <v>68.878309260549415</v>
      </c>
      <c r="H33" s="10">
        <f>'[6]input data'!H948</f>
        <v>71.502977059275636</v>
      </c>
      <c r="I33" s="10">
        <f>'[6]input data'!H949</f>
        <v>70.063602699831179</v>
      </c>
      <c r="J33" s="10">
        <f>'[6]input data'!H950</f>
        <v>70.063602699831179</v>
      </c>
      <c r="K33" s="10">
        <f>'[6]input data'!H951</f>
        <v>73.627425546942845</v>
      </c>
      <c r="L33" s="10">
        <f>'[6]input data'!H952</f>
        <v>75.984004934121756</v>
      </c>
      <c r="M33" s="10">
        <f>'[6]input data'!H953</f>
        <v>77.007783360974742</v>
      </c>
      <c r="N33" s="10">
        <f>'[6]input data'!H954</f>
        <v>80.987934542814884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>
        <f t="shared" si="0"/>
        <v>76.138021222267554</v>
      </c>
      <c r="AA33" s="10">
        <f t="shared" si="1"/>
        <v>87.998499084757896</v>
      </c>
      <c r="AB33" s="10">
        <f t="shared" si="2"/>
        <v>68.878309260549415</v>
      </c>
    </row>
    <row r="34" spans="1:28" x14ac:dyDescent="0.25">
      <c r="A34" s="9">
        <v>28</v>
      </c>
      <c r="B34" s="10">
        <f>'[6]input data'!H978</f>
        <v>89.873288097977863</v>
      </c>
      <c r="C34" s="10">
        <f>'[6]input data'!H979</f>
        <v>83.083191085074802</v>
      </c>
      <c r="D34" s="10">
        <f>'[6]input data'!H980</f>
        <v>73.403801579739962</v>
      </c>
      <c r="E34" s="10">
        <f>'[6]input data'!H981</f>
        <v>66.428989569440731</v>
      </c>
      <c r="F34" s="10">
        <f>'[6]input data'!H982</f>
        <v>64.253726630839722</v>
      </c>
      <c r="G34" s="10">
        <f>'[6]input data'!H983</f>
        <v>56.868629131746154</v>
      </c>
      <c r="H34" s="10">
        <f>'[6]input data'!H984</f>
        <v>54.62525970368899</v>
      </c>
      <c r="I34" s="10">
        <f>'[6]input data'!H985</f>
        <v>64.549111256689571</v>
      </c>
      <c r="J34" s="10">
        <f>'[6]input data'!H986</f>
        <v>65.225911281245502</v>
      </c>
      <c r="K34" s="10">
        <f>'[6]input data'!H987</f>
        <v>67.580321726852745</v>
      </c>
      <c r="L34" s="10">
        <f>'[6]input data'!H988</f>
        <v>76.437114113345856</v>
      </c>
      <c r="M34" s="10">
        <f>'[6]input data'!H989</f>
        <v>79.72607494692825</v>
      </c>
      <c r="N34" s="10">
        <f>'[6]input data'!H990</f>
        <v>77.783062752468766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>
        <f t="shared" si="0"/>
        <v>70.756806298156846</v>
      </c>
      <c r="AA34" s="10">
        <f t="shared" si="1"/>
        <v>89.873288097977863</v>
      </c>
      <c r="AB34" s="10">
        <f t="shared" si="2"/>
        <v>54.62525970368899</v>
      </c>
    </row>
    <row r="35" spans="1:28" x14ac:dyDescent="0.25">
      <c r="A35" s="9">
        <v>29</v>
      </c>
      <c r="B35" s="10">
        <f>'[6]input data'!H1014</f>
        <v>86.0467194673015</v>
      </c>
      <c r="C35" s="10">
        <f>'[6]input data'!H1015</f>
        <v>79.751570735784398</v>
      </c>
      <c r="D35" s="10">
        <f>'[6]input data'!H1016</f>
        <v>77.927909807003417</v>
      </c>
      <c r="E35" s="10">
        <f>'[6]input data'!H1017</f>
        <v>71.149184188620822</v>
      </c>
      <c r="F35" s="10">
        <f>'[6]input data'!H1018</f>
        <v>67.712139675672887</v>
      </c>
      <c r="G35" s="10">
        <f>'[6]input data'!H1019</f>
        <v>62.618462402108285</v>
      </c>
      <c r="H35" s="10">
        <f>'[6]input data'!H1020</f>
        <v>55.890143755702816</v>
      </c>
      <c r="I35" s="10">
        <f>'[6]input data'!H1021</f>
        <v>64.815566337493507</v>
      </c>
      <c r="J35" s="10">
        <f>'[6]input data'!H1022</f>
        <v>68.03578596278841</v>
      </c>
      <c r="K35" s="10">
        <f>'[6]input data'!H1023</f>
        <v>78.742699531414061</v>
      </c>
      <c r="L35" s="10">
        <f>'[6]input data'!H1024</f>
        <v>81.158079831414014</v>
      </c>
      <c r="M35" s="10">
        <f>'[6]input data'!H1025</f>
        <v>83.160372093864282</v>
      </c>
      <c r="N35" s="10">
        <f>'[6]input data'!H1026</f>
        <v>86.143233317917876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0">
        <f t="shared" si="0"/>
        <v>74.088605162083553</v>
      </c>
      <c r="AA35" s="10">
        <f t="shared" si="1"/>
        <v>86.143233317917876</v>
      </c>
      <c r="AB35" s="10">
        <f t="shared" si="2"/>
        <v>55.890143755702816</v>
      </c>
    </row>
    <row r="36" spans="1:28" x14ac:dyDescent="0.25">
      <c r="A36" s="9">
        <v>30</v>
      </c>
      <c r="B36" s="10">
        <f>'[6]input data'!H1050</f>
        <v>89.022905201295998</v>
      </c>
      <c r="C36" s="10">
        <f>'[6]input data'!H1051</f>
        <v>82.349831095541973</v>
      </c>
      <c r="D36" s="10">
        <f>'[6]input data'!H1052</f>
        <v>72.942100457355679</v>
      </c>
      <c r="E36" s="10">
        <f>'[6]input data'!H1053</f>
        <v>67.447127204143726</v>
      </c>
      <c r="F36" s="10">
        <f>'[6]input data'!H1054</f>
        <v>60.945438969294393</v>
      </c>
      <c r="G36" s="10">
        <f>'[6]input data'!H1055</f>
        <v>58.188289459069296</v>
      </c>
      <c r="H36" s="10">
        <f>'[6]input data'!H1056</f>
        <v>42.272912640710167</v>
      </c>
      <c r="I36" s="10">
        <f>'[6]input data'!H1057</f>
        <v>42.700610836063454</v>
      </c>
      <c r="J36" s="10">
        <f>'[6]input data'!H1058</f>
        <v>71.845967355719452</v>
      </c>
      <c r="K36" s="10">
        <f>'[6]input data'!H1059</f>
        <v>77.783258701669766</v>
      </c>
      <c r="L36" s="10">
        <f>'[6]input data'!H1060</f>
        <v>77.306313366446432</v>
      </c>
      <c r="M36" s="10">
        <f>'[6]input data'!H1061</f>
        <v>85.778016219296006</v>
      </c>
      <c r="N36" s="10">
        <f>'[6]input data'!H1062</f>
        <v>91.570732721093307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>
        <f t="shared" si="0"/>
        <v>70.781038786746137</v>
      </c>
      <c r="AA36" s="10">
        <f t="shared" si="1"/>
        <v>91.570732721093307</v>
      </c>
      <c r="AB36" s="10">
        <f t="shared" si="2"/>
        <v>42.272912640710167</v>
      </c>
    </row>
    <row r="37" spans="1:28" ht="15.75" thickBot="1" x14ac:dyDescent="0.3">
      <c r="A37" s="12">
        <v>31</v>
      </c>
      <c r="B37" s="13">
        <f>'[6]input data'!H1086</f>
        <v>88.171370177668294</v>
      </c>
      <c r="C37" s="13">
        <f>'[6]input data'!H1087</f>
        <v>80.72567796841399</v>
      </c>
      <c r="D37" s="13">
        <f>'[6]input data'!H1088</f>
        <v>76.490431016735371</v>
      </c>
      <c r="E37" s="13">
        <f>'[6]input data'!H1089</f>
        <v>71.149184188620822</v>
      </c>
      <c r="F37" s="13">
        <f>'[6]input data'!H1090</f>
        <v>67.580321726852745</v>
      </c>
      <c r="G37" s="13">
        <f>'[6]input data'!H1091</f>
        <v>65.998048909915894</v>
      </c>
      <c r="H37" s="13">
        <f>'[6]input data'!H1092</f>
        <v>64.467119704332802</v>
      </c>
      <c r="I37" s="13">
        <f>'[6]input data'!H1093</f>
        <v>72.939842992423735</v>
      </c>
      <c r="J37" s="13">
        <f>'[6]input data'!H1094</f>
        <v>76.486153106181604</v>
      </c>
      <c r="K37" s="13">
        <f>'[6]input data'!H1095</f>
        <v>76.288451319675147</v>
      </c>
      <c r="L37" s="13">
        <f>'[6]input data'!H1096</f>
        <v>85.840587858319296</v>
      </c>
      <c r="M37" s="13">
        <f>'[6]input data'!H1097</f>
        <v>90.285851672166032</v>
      </c>
      <c r="N37" s="13">
        <f>'[6]input data'!H1098</f>
        <v>94.9996701525737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3">
        <f t="shared" si="0"/>
        <v>77.801746984144557</v>
      </c>
      <c r="AA37" s="13">
        <f t="shared" si="1"/>
        <v>94.9996701525737</v>
      </c>
      <c r="AB37" s="13">
        <f t="shared" si="2"/>
        <v>64.467119704332802</v>
      </c>
    </row>
    <row r="38" spans="1:28" ht="16.5" thickTop="1" thickBot="1" x14ac:dyDescent="0.3">
      <c r="A38" s="35" t="s">
        <v>27</v>
      </c>
      <c r="B38" s="36">
        <f t="shared" ref="B38:N38" si="3">MAX(B7:B37)</f>
        <v>96.55917508812108</v>
      </c>
      <c r="C38" s="36">
        <f t="shared" si="3"/>
        <v>91.929622498239695</v>
      </c>
      <c r="D38" s="36">
        <f t="shared" si="3"/>
        <v>85.24291194509685</v>
      </c>
      <c r="E38" s="36">
        <f t="shared" si="3"/>
        <v>79.529624183494306</v>
      </c>
      <c r="F38" s="36">
        <f t="shared" si="3"/>
        <v>77.595485089323546</v>
      </c>
      <c r="G38" s="36">
        <f t="shared" si="3"/>
        <v>85.90249604768772</v>
      </c>
      <c r="H38" s="36">
        <f t="shared" si="3"/>
        <v>90.152804386413735</v>
      </c>
      <c r="I38" s="36">
        <f t="shared" si="3"/>
        <v>96.623275706623488</v>
      </c>
      <c r="J38" s="36">
        <f t="shared" si="3"/>
        <v>97.344952480933671</v>
      </c>
      <c r="K38" s="36">
        <f t="shared" si="3"/>
        <v>98.235473711331494</v>
      </c>
      <c r="L38" s="36">
        <f t="shared" si="3"/>
        <v>98.231145819080723</v>
      </c>
      <c r="M38" s="36">
        <f t="shared" si="3"/>
        <v>98.204660424735749</v>
      </c>
      <c r="N38" s="36">
        <f t="shared" si="3"/>
        <v>98.209137234323435</v>
      </c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>
        <f>MAX(Z7:Z37)</f>
        <v>90.583577781496814</v>
      </c>
      <c r="AA38" s="38">
        <f t="shared" ref="AA38:AB38" si="4">MAX(AA7:AA37)</f>
        <v>98.235473711331494</v>
      </c>
      <c r="AB38" s="38">
        <f t="shared" si="4"/>
        <v>75.436041013344564</v>
      </c>
    </row>
    <row r="39" spans="1:28" ht="16.5" thickTop="1" thickBot="1" x14ac:dyDescent="0.3">
      <c r="A39" s="35" t="s">
        <v>28</v>
      </c>
      <c r="B39" s="36">
        <f t="shared" ref="B39:N39" si="5">MIN(B7:B37)</f>
        <v>76.742438575393706</v>
      </c>
      <c r="C39" s="36">
        <f t="shared" si="5"/>
        <v>75.106783972489893</v>
      </c>
      <c r="D39" s="36">
        <f t="shared" si="5"/>
        <v>68.357244841267971</v>
      </c>
      <c r="E39" s="36">
        <f t="shared" si="5"/>
        <v>62.006739346876962</v>
      </c>
      <c r="F39" s="36">
        <f t="shared" si="5"/>
        <v>57.362749693994871</v>
      </c>
      <c r="G39" s="36">
        <f t="shared" si="5"/>
        <v>52.688087095741963</v>
      </c>
      <c r="H39" s="36">
        <f t="shared" si="5"/>
        <v>42.272912640710167</v>
      </c>
      <c r="I39" s="36">
        <f t="shared" si="5"/>
        <v>42.700610836063454</v>
      </c>
      <c r="J39" s="36">
        <f t="shared" si="5"/>
        <v>52.778792996945533</v>
      </c>
      <c r="K39" s="36">
        <f t="shared" si="5"/>
        <v>59.350053134906275</v>
      </c>
      <c r="L39" s="36">
        <f t="shared" si="5"/>
        <v>71.149184188620822</v>
      </c>
      <c r="M39" s="36">
        <f t="shared" si="5"/>
        <v>76.086559339912753</v>
      </c>
      <c r="N39" s="36">
        <f t="shared" si="5"/>
        <v>77.783062752468766</v>
      </c>
      <c r="O39" s="37"/>
      <c r="P39" s="37"/>
      <c r="Q39" s="37"/>
      <c r="R39" s="33"/>
      <c r="S39" s="34"/>
      <c r="T39" s="33"/>
      <c r="U39" s="33"/>
      <c r="V39" s="33"/>
      <c r="W39" s="33"/>
      <c r="X39" s="33"/>
      <c r="Y39" s="33"/>
      <c r="Z39" s="38">
        <f>MIN(Z8:Z38)</f>
        <v>68.581788534576646</v>
      </c>
      <c r="AA39" s="38">
        <f t="shared" ref="AA39:AB39" si="6">MIN(AA8:AA38)</f>
        <v>84.184813194407482</v>
      </c>
      <c r="AB39" s="38">
        <f t="shared" si="6"/>
        <v>42.272912640710167</v>
      </c>
    </row>
    <row r="40" spans="1:28" ht="15.75" thickTop="1" x14ac:dyDescent="0.25">
      <c r="A40" s="35" t="s">
        <v>35</v>
      </c>
      <c r="B40" s="36">
        <f t="shared" ref="B40:N40" si="7">AVERAGE(B7:B37)</f>
        <v>90.084913228126794</v>
      </c>
      <c r="C40" s="36">
        <f t="shared" si="7"/>
        <v>82.812133299799413</v>
      </c>
      <c r="D40" s="36">
        <f t="shared" si="7"/>
        <v>76.59079993294975</v>
      </c>
      <c r="E40" s="36">
        <f t="shared" si="7"/>
        <v>71.452851989013496</v>
      </c>
      <c r="F40" s="36">
        <f t="shared" si="7"/>
        <v>67.198998123291105</v>
      </c>
      <c r="G40" s="36">
        <f t="shared" si="7"/>
        <v>65.254879352742932</v>
      </c>
      <c r="H40" s="36">
        <f t="shared" si="7"/>
        <v>63.804754023058457</v>
      </c>
      <c r="I40" s="36">
        <f t="shared" si="7"/>
        <v>66.578917629028723</v>
      </c>
      <c r="J40" s="36">
        <f t="shared" si="7"/>
        <v>70.618888200886246</v>
      </c>
      <c r="K40" s="36">
        <f t="shared" si="7"/>
        <v>77.685270541747713</v>
      </c>
      <c r="L40" s="36">
        <f t="shared" si="7"/>
        <v>83.203346406125632</v>
      </c>
      <c r="M40" s="36">
        <f t="shared" si="7"/>
        <v>86.65124061672357</v>
      </c>
      <c r="N40" s="36">
        <f t="shared" si="7"/>
        <v>89.128082201218987</v>
      </c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8">
        <f>AVERAGE(Z9:Z39)</f>
        <v>76.573908649359396</v>
      </c>
      <c r="AA40" s="38">
        <f t="shared" ref="AA40:AB40" si="8">AVERAGE(AA9:AA39)</f>
        <v>92.13805512105229</v>
      </c>
      <c r="AB40" s="38">
        <f t="shared" si="8"/>
        <v>61.49169294784155</v>
      </c>
    </row>
    <row r="41" spans="1:28" x14ac:dyDescent="0.25">
      <c r="A41" s="15"/>
      <c r="AA41" s="16"/>
      <c r="AB41" s="16"/>
    </row>
    <row r="42" spans="1:28" x14ac:dyDescent="0.25">
      <c r="A42" s="19"/>
      <c r="B42" s="19"/>
      <c r="C42" s="16"/>
      <c r="D42" s="16"/>
      <c r="E42" s="16"/>
      <c r="F42" s="19"/>
      <c r="G42" s="57"/>
      <c r="H42" s="57"/>
      <c r="I42" s="57"/>
      <c r="J42" s="57"/>
      <c r="K42" s="57"/>
      <c r="L42" s="57"/>
      <c r="M42" s="20"/>
      <c r="N42" s="20"/>
      <c r="O42" s="20"/>
      <c r="P42" s="20"/>
      <c r="Q42" s="20"/>
      <c r="R42" s="21"/>
      <c r="S42" s="22"/>
      <c r="T42" s="57"/>
      <c r="U42" s="57"/>
      <c r="V42" s="57"/>
      <c r="W42" s="57"/>
      <c r="X42" s="57"/>
      <c r="Y42" s="57"/>
      <c r="Z42" s="57"/>
      <c r="AA42" s="16"/>
      <c r="AB42" s="16"/>
    </row>
    <row r="43" spans="1:28" x14ac:dyDescent="0.25">
      <c r="A43" s="15" t="s">
        <v>30</v>
      </c>
      <c r="AA43" s="16"/>
      <c r="AB43" s="16"/>
    </row>
    <row r="44" spans="1:28" x14ac:dyDescent="0.25">
      <c r="A44" s="17"/>
      <c r="B44" s="18" t="s">
        <v>31</v>
      </c>
      <c r="C44" s="16"/>
      <c r="D44" s="16"/>
      <c r="E44" s="16"/>
      <c r="F44" s="19"/>
      <c r="G44" s="57"/>
      <c r="H44" s="57"/>
      <c r="I44" s="57"/>
      <c r="J44" s="57"/>
      <c r="K44" s="57"/>
      <c r="L44" s="57"/>
      <c r="M44" s="20"/>
      <c r="N44" s="20"/>
      <c r="O44" s="20"/>
      <c r="P44" s="20"/>
      <c r="Q44" s="20"/>
      <c r="R44" s="21"/>
      <c r="S44" s="22"/>
      <c r="AA44" s="16"/>
      <c r="AB44" s="16"/>
    </row>
    <row r="45" spans="1:28" x14ac:dyDescent="0.25">
      <c r="A45" s="19"/>
      <c r="B45" s="19"/>
      <c r="C45" s="16"/>
      <c r="D45" s="16"/>
      <c r="E45" s="16"/>
      <c r="F45" s="19"/>
      <c r="G45" s="57"/>
      <c r="H45" s="57"/>
      <c r="I45" s="57"/>
      <c r="J45" s="57"/>
      <c r="K45" s="57"/>
      <c r="L45" s="57"/>
      <c r="M45" s="20"/>
      <c r="N45" s="20"/>
      <c r="O45" s="20"/>
      <c r="P45" s="20"/>
      <c r="Q45" s="20"/>
      <c r="R45" s="21"/>
      <c r="S45" s="22"/>
      <c r="AB45" s="16"/>
    </row>
    <row r="46" spans="1:28" x14ac:dyDescent="0.25">
      <c r="A46" s="19"/>
      <c r="B46" s="19"/>
      <c r="C46" s="16"/>
      <c r="D46" s="16"/>
      <c r="E46" s="16"/>
      <c r="F46" s="19"/>
      <c r="G46" s="57"/>
      <c r="H46" s="57"/>
      <c r="I46" s="57"/>
      <c r="J46" s="57"/>
      <c r="K46" s="57"/>
      <c r="L46" s="57"/>
      <c r="M46" s="20"/>
      <c r="N46" s="20"/>
      <c r="O46" s="20"/>
      <c r="P46" s="20"/>
      <c r="Q46" s="20"/>
      <c r="R46" s="21"/>
      <c r="S46" s="22"/>
      <c r="Y46" s="21" t="s">
        <v>38</v>
      </c>
      <c r="Z46" s="21"/>
      <c r="AA46" s="21"/>
      <c r="AB46" s="16"/>
    </row>
    <row r="47" spans="1:28" x14ac:dyDescent="0.25">
      <c r="A47" s="19"/>
      <c r="B47" s="19"/>
      <c r="C47" s="16"/>
      <c r="D47" s="16"/>
      <c r="E47" s="16"/>
      <c r="F47" s="19"/>
      <c r="G47" s="57"/>
      <c r="H47" s="57"/>
      <c r="I47" s="57"/>
      <c r="J47" s="57"/>
      <c r="K47" s="57"/>
      <c r="L47" s="57"/>
      <c r="M47" s="20"/>
      <c r="N47" s="20"/>
      <c r="O47" s="20"/>
      <c r="P47" s="20"/>
      <c r="Q47" s="20"/>
      <c r="R47" s="21"/>
      <c r="S47" s="22"/>
      <c r="Y47" s="21"/>
      <c r="Z47" s="21"/>
      <c r="AA47" s="21"/>
      <c r="AB47" s="16"/>
    </row>
    <row r="48" spans="1:28" x14ac:dyDescent="0.25">
      <c r="A48" s="19"/>
      <c r="B48" s="19"/>
      <c r="C48" s="16"/>
      <c r="D48" s="16"/>
      <c r="E48" s="16"/>
      <c r="F48" s="19"/>
      <c r="G48" s="21"/>
      <c r="H48" s="21"/>
      <c r="I48" s="21"/>
      <c r="J48" s="21"/>
      <c r="K48" s="21"/>
      <c r="L48" s="21"/>
      <c r="M48" s="20"/>
      <c r="N48" s="20"/>
      <c r="O48" s="20"/>
      <c r="P48" s="20"/>
      <c r="Q48" s="20"/>
      <c r="R48" s="21"/>
      <c r="S48" s="22"/>
      <c r="Y48" s="21" t="str">
        <f>[1]COVER!X4</f>
        <v>PEMBUAT LAPORAN,</v>
      </c>
      <c r="Z48" s="21"/>
      <c r="AA48" s="21"/>
      <c r="AB48" s="16"/>
    </row>
    <row r="49" spans="1:27" x14ac:dyDescent="0.25">
      <c r="A49" s="19"/>
      <c r="B49" s="19"/>
      <c r="C49" s="16"/>
      <c r="D49" s="16"/>
      <c r="E49" s="16"/>
      <c r="F49" s="19"/>
      <c r="G49" s="21"/>
      <c r="H49" s="21"/>
      <c r="I49" s="21"/>
      <c r="J49" s="20"/>
      <c r="K49" s="20"/>
      <c r="L49" s="20"/>
      <c r="M49" s="20"/>
      <c r="N49" s="20"/>
      <c r="O49" s="22"/>
      <c r="P49" s="23"/>
      <c r="Q49" s="23"/>
      <c r="R49" s="21"/>
      <c r="S49" s="22"/>
      <c r="Y49" s="22"/>
      <c r="Z49" s="21"/>
      <c r="AA49" s="21"/>
    </row>
    <row r="50" spans="1:27" x14ac:dyDescent="0.25">
      <c r="A50" s="19"/>
      <c r="B50" s="19"/>
      <c r="C50" s="16"/>
      <c r="D50" s="16"/>
      <c r="E50" s="16"/>
      <c r="F50" s="19"/>
      <c r="G50" s="58"/>
      <c r="H50" s="58"/>
      <c r="I50" s="58"/>
      <c r="J50" s="58"/>
      <c r="K50" s="58"/>
      <c r="L50" s="58"/>
      <c r="M50" s="24"/>
      <c r="N50" s="24"/>
      <c r="O50" s="24"/>
      <c r="P50" s="24"/>
      <c r="Q50" s="24"/>
      <c r="R50" s="21"/>
      <c r="S50" s="22"/>
      <c r="Y50" s="22"/>
      <c r="Z50" s="21"/>
      <c r="AA50" s="21"/>
    </row>
    <row r="51" spans="1:27" x14ac:dyDescent="0.25">
      <c r="A51" s="19"/>
      <c r="B51" s="19"/>
      <c r="C51" s="16"/>
      <c r="D51" s="16"/>
      <c r="E51" s="16"/>
      <c r="F51" s="19"/>
      <c r="G51" s="57"/>
      <c r="H51" s="57"/>
      <c r="I51" s="57"/>
      <c r="J51" s="57"/>
      <c r="K51" s="57"/>
      <c r="L51" s="57"/>
      <c r="M51" s="25"/>
      <c r="N51" s="25"/>
      <c r="O51" s="25"/>
      <c r="P51" s="25"/>
      <c r="Q51" s="25"/>
      <c r="R51" s="21"/>
      <c r="S51" s="22"/>
      <c r="Y51" s="22"/>
      <c r="Z51" s="21"/>
      <c r="AA51" s="21"/>
    </row>
    <row r="52" spans="1:27" x14ac:dyDescent="0.25">
      <c r="Y52" s="26" t="s">
        <v>33</v>
      </c>
      <c r="Z52" s="26"/>
      <c r="AA52" s="26"/>
    </row>
    <row r="53" spans="1:27" x14ac:dyDescent="0.25">
      <c r="Y53" s="21" t="s">
        <v>34</v>
      </c>
      <c r="Z53" s="21"/>
      <c r="AA53" s="21"/>
    </row>
  </sheetData>
  <mergeCells count="9">
    <mergeCell ref="Y3:Z3"/>
    <mergeCell ref="G42:L42"/>
    <mergeCell ref="T42:Z42"/>
    <mergeCell ref="G50:L50"/>
    <mergeCell ref="G51:L51"/>
    <mergeCell ref="G44:L44"/>
    <mergeCell ref="G47:L47"/>
    <mergeCell ref="G45:L45"/>
    <mergeCell ref="G46:L46"/>
  </mergeCells>
  <pageMargins left="1.1023622047244095" right="0.70866141732283472" top="0.35433070866141736" bottom="0.15748031496062992" header="0.31496062992125984" footer="0.31496062992125984"/>
  <pageSetup paperSize="9" scale="72"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AB47"/>
  <sheetViews>
    <sheetView topLeftCell="A4" workbookViewId="0">
      <selection activeCell="U12" sqref="U12"/>
    </sheetView>
  </sheetViews>
  <sheetFormatPr defaultRowHeight="15" x14ac:dyDescent="0.25"/>
  <cols>
    <col min="1" max="28" width="5.7109375" customWidth="1"/>
  </cols>
  <sheetData>
    <row r="2" spans="1:28" x14ac:dyDescent="0.25">
      <c r="R2" s="1" t="s">
        <v>0</v>
      </c>
      <c r="T2" s="1"/>
      <c r="W2" s="1"/>
    </row>
    <row r="3" spans="1:28" x14ac:dyDescent="0.25">
      <c r="R3" s="1" t="s">
        <v>1</v>
      </c>
      <c r="T3" s="1" t="str">
        <f>'[7]1'!AA1</f>
        <v>JUNI</v>
      </c>
      <c r="V3" s="2">
        <f>JANUARI!V3</f>
        <v>2022</v>
      </c>
      <c r="W3" s="1"/>
      <c r="Y3" s="59"/>
      <c r="Z3" s="59"/>
      <c r="AA3" s="2"/>
    </row>
    <row r="5" spans="1:2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4" t="s">
        <v>32</v>
      </c>
      <c r="AA5" s="4" t="s">
        <v>27</v>
      </c>
      <c r="AB5" s="4" t="s">
        <v>28</v>
      </c>
    </row>
    <row r="6" spans="1:28" x14ac:dyDescent="0.25">
      <c r="A6" s="5" t="s">
        <v>29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  <c r="P6" s="5">
        <v>15</v>
      </c>
      <c r="Q6" s="5">
        <v>16</v>
      </c>
      <c r="R6" s="5">
        <v>17</v>
      </c>
      <c r="S6" s="5">
        <v>18</v>
      </c>
      <c r="T6" s="5">
        <v>19</v>
      </c>
      <c r="U6" s="5">
        <v>20</v>
      </c>
      <c r="V6" s="5">
        <v>21</v>
      </c>
      <c r="W6" s="5">
        <v>22</v>
      </c>
      <c r="X6" s="5">
        <v>23</v>
      </c>
      <c r="Y6" s="5">
        <v>24</v>
      </c>
      <c r="Z6" s="5">
        <v>25</v>
      </c>
      <c r="AA6" s="5">
        <v>26</v>
      </c>
      <c r="AB6" s="5">
        <v>27</v>
      </c>
    </row>
    <row r="7" spans="1:28" x14ac:dyDescent="0.25">
      <c r="A7" s="6">
        <v>1</v>
      </c>
      <c r="B7" s="7">
        <v>96.526047988495392</v>
      </c>
      <c r="C7" s="7">
        <v>94.081459885738553</v>
      </c>
      <c r="D7" s="7">
        <v>82.588198229950223</v>
      </c>
      <c r="E7" s="7">
        <v>88.004060294142761</v>
      </c>
      <c r="F7" s="7">
        <v>77.007783360974742</v>
      </c>
      <c r="G7" s="7">
        <v>75.106783972489893</v>
      </c>
      <c r="H7" s="7">
        <v>68.621521496128793</v>
      </c>
      <c r="I7" s="7">
        <v>68.878309260549415</v>
      </c>
      <c r="J7" s="7">
        <v>70.6030049832072</v>
      </c>
      <c r="K7" s="7">
        <v>76.043835706255507</v>
      </c>
      <c r="L7" s="7">
        <v>76.98787409945092</v>
      </c>
      <c r="M7" s="7">
        <v>85.178678380174205</v>
      </c>
      <c r="N7" s="7">
        <v>84.184813194407482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7">
        <f>AVERAGE(B7:N7)</f>
        <v>80.29325929630501</v>
      </c>
      <c r="AA7" s="7">
        <f>MAX(B7:N7)</f>
        <v>96.526047988495392</v>
      </c>
      <c r="AB7" s="7">
        <f>MIN(B7:Y7)</f>
        <v>68.621521496128793</v>
      </c>
    </row>
    <row r="8" spans="1:28" x14ac:dyDescent="0.25">
      <c r="A8" s="9">
        <v>2</v>
      </c>
      <c r="B8" s="10">
        <v>91.49030389721446</v>
      </c>
      <c r="C8" s="10">
        <v>77.007783360974742</v>
      </c>
      <c r="D8" s="10">
        <v>69.497505999348974</v>
      </c>
      <c r="E8" s="10">
        <v>68.556483518474465</v>
      </c>
      <c r="F8" s="10">
        <v>69.34291301303891</v>
      </c>
      <c r="G8" s="10">
        <v>65.574108128065092</v>
      </c>
      <c r="H8" s="10">
        <v>71.732809990983498</v>
      </c>
      <c r="I8" s="10">
        <v>71.845967355719452</v>
      </c>
      <c r="J8" s="10">
        <v>75.209916123495276</v>
      </c>
      <c r="K8" s="10">
        <v>76.288451319675147</v>
      </c>
      <c r="L8" s="10">
        <v>78.833844278754555</v>
      </c>
      <c r="M8" s="10">
        <v>82.894248828323143</v>
      </c>
      <c r="N8" s="10">
        <v>85.714771674595454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0">
        <f t="shared" ref="Z8:Z36" si="0">AVERAGE(B8:N8)</f>
        <v>75.691469806820251</v>
      </c>
      <c r="AA8" s="10">
        <f t="shared" ref="AA8:AA36" si="1">MAX(B8:N8)</f>
        <v>91.49030389721446</v>
      </c>
      <c r="AB8" s="10">
        <f t="shared" ref="AB8:AB36" si="2">MIN(B8:Y8)</f>
        <v>65.574108128065092</v>
      </c>
    </row>
    <row r="9" spans="1:28" x14ac:dyDescent="0.25">
      <c r="A9" s="9">
        <v>3</v>
      </c>
      <c r="B9" s="10">
        <v>90.894492082389988</v>
      </c>
      <c r="C9" s="10">
        <v>78.368269882760842</v>
      </c>
      <c r="D9" s="10">
        <v>75.72280511350607</v>
      </c>
      <c r="E9" s="10">
        <v>70.659857015026191</v>
      </c>
      <c r="F9" s="10">
        <v>74.683288699912481</v>
      </c>
      <c r="G9" s="10">
        <v>74.790838423941608</v>
      </c>
      <c r="H9" s="10">
        <v>72.086168209132722</v>
      </c>
      <c r="I9" s="10">
        <v>72.378181491726195</v>
      </c>
      <c r="J9" s="10">
        <v>76.387818684939546</v>
      </c>
      <c r="K9" s="10">
        <v>73.516201765591887</v>
      </c>
      <c r="L9" s="10">
        <v>80.017191943947921</v>
      </c>
      <c r="M9" s="10">
        <v>82.742865676712952</v>
      </c>
      <c r="N9" s="10">
        <v>85.586225280384298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0">
        <f t="shared" si="0"/>
        <v>77.525708020767127</v>
      </c>
      <c r="AA9" s="10">
        <f t="shared" si="1"/>
        <v>90.894492082389988</v>
      </c>
      <c r="AB9" s="10">
        <f t="shared" si="2"/>
        <v>70.659857015026191</v>
      </c>
    </row>
    <row r="10" spans="1:28" x14ac:dyDescent="0.25">
      <c r="A10" s="9">
        <v>4</v>
      </c>
      <c r="B10" s="10">
        <v>88.171370177668294</v>
      </c>
      <c r="C10" s="10">
        <v>80.320207760691076</v>
      </c>
      <c r="D10" s="10">
        <v>78.463382904995044</v>
      </c>
      <c r="E10" s="10">
        <v>76.188036463966284</v>
      </c>
      <c r="F10" s="10">
        <v>70.357755252555023</v>
      </c>
      <c r="G10" s="10">
        <v>67.965835729306434</v>
      </c>
      <c r="H10" s="10">
        <v>67.513897736046516</v>
      </c>
      <c r="I10" s="10">
        <v>72.108361551714822</v>
      </c>
      <c r="J10" s="10">
        <v>71.993832990106256</v>
      </c>
      <c r="K10" s="10">
        <v>76.238375746273107</v>
      </c>
      <c r="L10" s="10">
        <v>81.365667249856187</v>
      </c>
      <c r="M10" s="10">
        <v>90.285851672166032</v>
      </c>
      <c r="N10" s="10">
        <v>92.62483586619102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0">
        <f t="shared" si="0"/>
        <v>77.969031623195079</v>
      </c>
      <c r="AA10" s="10">
        <f t="shared" si="1"/>
        <v>92.62483586619102</v>
      </c>
      <c r="AB10" s="10">
        <f t="shared" si="2"/>
        <v>67.513897736046516</v>
      </c>
    </row>
    <row r="11" spans="1:28" x14ac:dyDescent="0.25">
      <c r="A11" s="9">
        <v>5</v>
      </c>
      <c r="B11" s="10">
        <v>94.953263781927049</v>
      </c>
      <c r="C11" s="10">
        <v>90.97768104354212</v>
      </c>
      <c r="D11" s="10">
        <v>84.324261141767138</v>
      </c>
      <c r="E11" s="10">
        <v>78.164246687997618</v>
      </c>
      <c r="F11" s="10">
        <v>73.279039458229846</v>
      </c>
      <c r="G11" s="10">
        <v>68.421303550004168</v>
      </c>
      <c r="H11" s="10">
        <v>72.277949271841507</v>
      </c>
      <c r="I11" s="10">
        <v>67.842600044991912</v>
      </c>
      <c r="J11" s="10">
        <v>73.954200751397892</v>
      </c>
      <c r="K11" s="10">
        <v>86.782450820642936</v>
      </c>
      <c r="L11" s="10">
        <v>82.742865676712952</v>
      </c>
      <c r="M11" s="10">
        <v>90.015347770751774</v>
      </c>
      <c r="N11" s="10">
        <v>91.570732721093307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0">
        <f t="shared" si="0"/>
        <v>81.177380209300026</v>
      </c>
      <c r="AA11" s="10">
        <f t="shared" si="1"/>
        <v>94.953263781927049</v>
      </c>
      <c r="AB11" s="10">
        <f t="shared" si="2"/>
        <v>67.842600044991912</v>
      </c>
    </row>
    <row r="12" spans="1:28" x14ac:dyDescent="0.25">
      <c r="A12" s="9">
        <v>6</v>
      </c>
      <c r="B12" s="10">
        <v>89.921165122015651</v>
      </c>
      <c r="C12" s="10">
        <v>84.042334277741404</v>
      </c>
      <c r="D12" s="10">
        <v>76.086559339912753</v>
      </c>
      <c r="E12" s="10">
        <v>72.262295922601993</v>
      </c>
      <c r="F12" s="10">
        <v>66.699166870239253</v>
      </c>
      <c r="G12" s="10">
        <v>70.185833175268371</v>
      </c>
      <c r="H12" s="10">
        <v>72.606349963958579</v>
      </c>
      <c r="I12" s="10">
        <v>87.083169493220765</v>
      </c>
      <c r="J12" s="10">
        <v>83.822740725063611</v>
      </c>
      <c r="K12" s="10">
        <v>85.320624331577875</v>
      </c>
      <c r="L12" s="10">
        <v>86.720303337042694</v>
      </c>
      <c r="M12" s="10">
        <v>91.449415009375599</v>
      </c>
      <c r="N12" s="10">
        <v>94.807771703071936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0">
        <f t="shared" si="0"/>
        <v>81.615979174699277</v>
      </c>
      <c r="AA12" s="10">
        <f t="shared" si="1"/>
        <v>94.807771703071936</v>
      </c>
      <c r="AB12" s="10">
        <f t="shared" si="2"/>
        <v>66.699166870239253</v>
      </c>
    </row>
    <row r="13" spans="1:28" x14ac:dyDescent="0.25">
      <c r="A13" s="9">
        <v>7</v>
      </c>
      <c r="B13" s="10">
        <v>94.757080363989871</v>
      </c>
      <c r="C13" s="10">
        <v>83.785438215190624</v>
      </c>
      <c r="D13" s="10">
        <v>82.070417619923234</v>
      </c>
      <c r="E13" s="10">
        <v>71.268343418547644</v>
      </c>
      <c r="F13" s="10">
        <v>64.736796866099183</v>
      </c>
      <c r="G13" s="10">
        <v>60.025341146773712</v>
      </c>
      <c r="H13" s="10">
        <v>57.197261590800032</v>
      </c>
      <c r="I13" s="10">
        <v>57.698044088409048</v>
      </c>
      <c r="J13" s="10">
        <v>56.773204762458128</v>
      </c>
      <c r="K13" s="10">
        <v>60.789978564915728</v>
      </c>
      <c r="L13" s="10">
        <v>80.061878118252721</v>
      </c>
      <c r="M13" s="10">
        <v>84.594400321721793</v>
      </c>
      <c r="N13" s="10">
        <v>85.90249604768772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0">
        <f t="shared" si="0"/>
        <v>72.281590855751489</v>
      </c>
      <c r="AA13" s="10">
        <f t="shared" si="1"/>
        <v>94.757080363989871</v>
      </c>
      <c r="AB13" s="10">
        <f t="shared" si="2"/>
        <v>56.773204762458128</v>
      </c>
    </row>
    <row r="14" spans="1:28" x14ac:dyDescent="0.25">
      <c r="A14" s="9">
        <v>8</v>
      </c>
      <c r="B14" s="10">
        <v>90.061668333449816</v>
      </c>
      <c r="C14" s="10">
        <v>79.929597624557786</v>
      </c>
      <c r="D14" s="10">
        <v>74.150906799894273</v>
      </c>
      <c r="E14" s="10">
        <v>67.712139675672887</v>
      </c>
      <c r="F14" s="10">
        <v>63.232426930814391</v>
      </c>
      <c r="G14" s="10">
        <v>60.520376174788602</v>
      </c>
      <c r="H14" s="10">
        <v>60.671268527297627</v>
      </c>
      <c r="I14" s="10">
        <v>75.611927333242306</v>
      </c>
      <c r="J14" s="10">
        <v>82.068981790608916</v>
      </c>
      <c r="K14" s="10">
        <v>93.938616044991065</v>
      </c>
      <c r="L14" s="10">
        <v>95.612349262869131</v>
      </c>
      <c r="M14" s="10">
        <v>95.633732962451376</v>
      </c>
      <c r="N14" s="10">
        <v>98.239777411123399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0">
        <f t="shared" si="0"/>
        <v>79.798751451673965</v>
      </c>
      <c r="AA14" s="10">
        <f t="shared" si="1"/>
        <v>98.239777411123399</v>
      </c>
      <c r="AB14" s="10">
        <f t="shared" si="2"/>
        <v>60.520376174788602</v>
      </c>
    </row>
    <row r="15" spans="1:28" x14ac:dyDescent="0.25">
      <c r="A15" s="9">
        <v>9</v>
      </c>
      <c r="B15" s="10">
        <v>95.654878515675122</v>
      </c>
      <c r="C15" s="10">
        <v>91.68809926880499</v>
      </c>
      <c r="D15" s="10">
        <v>84.254910681262245</v>
      </c>
      <c r="E15" s="10">
        <v>78.650583612557497</v>
      </c>
      <c r="F15" s="10">
        <v>74.790838423941608</v>
      </c>
      <c r="G15" s="10">
        <v>72.262295922601993</v>
      </c>
      <c r="H15" s="10">
        <v>71.149184188620822</v>
      </c>
      <c r="I15" s="10">
        <v>71.618485316430721</v>
      </c>
      <c r="J15" s="10">
        <v>71.618485316430721</v>
      </c>
      <c r="K15" s="10">
        <v>76.583468902286143</v>
      </c>
      <c r="L15" s="10">
        <v>84.725253092859219</v>
      </c>
      <c r="M15" s="10">
        <v>90.45670689176886</v>
      </c>
      <c r="N15" s="10">
        <v>91.875379228323595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0">
        <f t="shared" si="0"/>
        <v>81.179120720120267</v>
      </c>
      <c r="AA15" s="10">
        <f t="shared" si="1"/>
        <v>95.654878515675122</v>
      </c>
      <c r="AB15" s="10">
        <f t="shared" si="2"/>
        <v>71.149184188620822</v>
      </c>
    </row>
    <row r="16" spans="1:28" x14ac:dyDescent="0.25">
      <c r="A16" s="9">
        <v>10</v>
      </c>
      <c r="B16" s="10">
        <v>93.101814744269959</v>
      </c>
      <c r="C16" s="10">
        <v>91.68809926880499</v>
      </c>
      <c r="D16" s="10">
        <v>78.368269882760842</v>
      </c>
      <c r="E16" s="10">
        <v>70.722156825277864</v>
      </c>
      <c r="F16" s="10">
        <v>66.291787562703647</v>
      </c>
      <c r="G16" s="10">
        <v>66.428989569440731</v>
      </c>
      <c r="H16" s="10">
        <v>67.202518044255072</v>
      </c>
      <c r="I16" s="10">
        <v>66.269275656623535</v>
      </c>
      <c r="J16" s="10">
        <v>67.029161864646596</v>
      </c>
      <c r="K16" s="10">
        <v>71.268343418547644</v>
      </c>
      <c r="L16" s="10">
        <v>77.595485089323546</v>
      </c>
      <c r="M16" s="10">
        <v>83.783826751537376</v>
      </c>
      <c r="N16" s="10">
        <v>87.477795424947232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>
        <f t="shared" si="0"/>
        <v>75.940578777164532</v>
      </c>
      <c r="AA16" s="10">
        <f t="shared" si="1"/>
        <v>93.101814744269959</v>
      </c>
      <c r="AB16" s="10">
        <f t="shared" si="2"/>
        <v>66.269275656623535</v>
      </c>
    </row>
    <row r="17" spans="1:28" x14ac:dyDescent="0.25">
      <c r="A17" s="9">
        <v>11</v>
      </c>
      <c r="B17" s="10">
        <v>87.61523116507621</v>
      </c>
      <c r="C17" s="10">
        <v>74.67650010902392</v>
      </c>
      <c r="D17" s="10">
        <v>76.188036463966284</v>
      </c>
      <c r="E17" s="10">
        <v>67.580321726852745</v>
      </c>
      <c r="F17" s="10">
        <v>66.20199092413057</v>
      </c>
      <c r="G17" s="10">
        <v>67.094154144094659</v>
      </c>
      <c r="H17" s="10">
        <v>60.9586906336136</v>
      </c>
      <c r="I17" s="10">
        <v>64.746586328337798</v>
      </c>
      <c r="J17" s="10">
        <v>81.88023772703265</v>
      </c>
      <c r="K17" s="10">
        <v>84.113958008242946</v>
      </c>
      <c r="L17" s="10">
        <v>93.387427765218007</v>
      </c>
      <c r="M17" s="10">
        <v>93.295342494094442</v>
      </c>
      <c r="N17" s="10">
        <v>93.295342494094442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>
        <f t="shared" si="0"/>
        <v>77.771832306444495</v>
      </c>
      <c r="AA17" s="10">
        <f t="shared" si="1"/>
        <v>93.387427765218007</v>
      </c>
      <c r="AB17" s="10">
        <f t="shared" si="2"/>
        <v>60.9586906336136</v>
      </c>
    </row>
    <row r="18" spans="1:28" x14ac:dyDescent="0.25">
      <c r="A18" s="9">
        <v>12</v>
      </c>
      <c r="B18" s="10">
        <v>95.696468862586542</v>
      </c>
      <c r="C18" s="10">
        <v>86.23817780941161</v>
      </c>
      <c r="D18" s="10">
        <v>76.283935116749447</v>
      </c>
      <c r="E18" s="10">
        <v>69.8152939061154</v>
      </c>
      <c r="F18" s="10">
        <v>67.002309260097988</v>
      </c>
      <c r="G18" s="10">
        <v>64.467119704332802</v>
      </c>
      <c r="H18" s="10">
        <v>58.548277761608205</v>
      </c>
      <c r="I18" s="10">
        <v>69.715935846450591</v>
      </c>
      <c r="J18" s="10">
        <v>82.603583836741535</v>
      </c>
      <c r="K18" s="10">
        <v>80.23214442908467</v>
      </c>
      <c r="L18" s="10">
        <v>82.968737558370691</v>
      </c>
      <c r="M18" s="10">
        <v>86.63226607480658</v>
      </c>
      <c r="N18" s="10">
        <v>89.588846940729667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>
        <f t="shared" si="0"/>
        <v>77.676392085160444</v>
      </c>
      <c r="AA18" s="10">
        <f t="shared" si="1"/>
        <v>95.696468862586542</v>
      </c>
      <c r="AB18" s="10">
        <f t="shared" si="2"/>
        <v>58.548277761608205</v>
      </c>
    </row>
    <row r="19" spans="1:28" x14ac:dyDescent="0.25">
      <c r="A19" s="9">
        <v>13</v>
      </c>
      <c r="B19" s="10">
        <v>92.363956809100486</v>
      </c>
      <c r="C19" s="10">
        <v>85.586225280384298</v>
      </c>
      <c r="D19" s="10">
        <v>79.420482251728856</v>
      </c>
      <c r="E19" s="10">
        <v>77.595485089323546</v>
      </c>
      <c r="F19" s="10">
        <v>79.811342168449215</v>
      </c>
      <c r="G19" s="10">
        <v>79.853642841431665</v>
      </c>
      <c r="H19" s="10">
        <v>98.213588769040797</v>
      </c>
      <c r="I19" s="10">
        <v>93.909080964878754</v>
      </c>
      <c r="J19" s="10">
        <v>98.239777411123399</v>
      </c>
      <c r="K19" s="10">
        <v>99.116149794962226</v>
      </c>
      <c r="L19" s="10">
        <v>98.244057093748026</v>
      </c>
      <c r="M19" s="10">
        <v>98.235473711331494</v>
      </c>
      <c r="N19" s="10">
        <v>98.235473711331494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>
        <f t="shared" si="0"/>
        <v>90.678825838218017</v>
      </c>
      <c r="AA19" s="10">
        <f t="shared" si="1"/>
        <v>99.116149794962226</v>
      </c>
      <c r="AB19" s="10">
        <f t="shared" si="2"/>
        <v>77.595485089323546</v>
      </c>
    </row>
    <row r="20" spans="1:28" x14ac:dyDescent="0.25">
      <c r="A20" s="9">
        <v>14</v>
      </c>
      <c r="B20" s="10">
        <v>94.782567829893352</v>
      </c>
      <c r="C20" s="10">
        <v>88.446975599750772</v>
      </c>
      <c r="D20" s="10">
        <v>79.929597624557786</v>
      </c>
      <c r="E20" s="10">
        <v>71.907229173052954</v>
      </c>
      <c r="F20" s="10">
        <v>73.403801579739962</v>
      </c>
      <c r="G20" s="10">
        <v>84.113958008242946</v>
      </c>
      <c r="H20" s="10">
        <v>73.954200751397892</v>
      </c>
      <c r="I20" s="10">
        <v>78.510558575732205</v>
      </c>
      <c r="J20" s="10">
        <v>81.66442898841882</v>
      </c>
      <c r="K20" s="10">
        <v>82.588198229950223</v>
      </c>
      <c r="L20" s="10">
        <v>85.520903747080652</v>
      </c>
      <c r="M20" s="10">
        <v>86.964847685921953</v>
      </c>
      <c r="N20" s="10">
        <v>88.446975599750772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>
        <f t="shared" si="0"/>
        <v>82.325711030268494</v>
      </c>
      <c r="AA20" s="10">
        <f t="shared" si="1"/>
        <v>94.782567829893352</v>
      </c>
      <c r="AB20" s="10">
        <f t="shared" si="2"/>
        <v>71.907229173052954</v>
      </c>
    </row>
    <row r="21" spans="1:28" x14ac:dyDescent="0.25">
      <c r="A21" s="9">
        <v>15</v>
      </c>
      <c r="B21" s="10">
        <v>89.921165122015651</v>
      </c>
      <c r="C21" s="10">
        <v>85.618622099130789</v>
      </c>
      <c r="D21" s="10">
        <v>80.834481578641714</v>
      </c>
      <c r="E21" s="10">
        <v>72.262295922601993</v>
      </c>
      <c r="F21" s="10">
        <v>65.998048909915894</v>
      </c>
      <c r="G21" s="10">
        <v>61.776757977006589</v>
      </c>
      <c r="H21" s="10">
        <v>58.188289459069296</v>
      </c>
      <c r="I21" s="10">
        <v>58.026537472283266</v>
      </c>
      <c r="J21" s="10">
        <v>76.775100780078347</v>
      </c>
      <c r="K21" s="10">
        <v>82.031624455479871</v>
      </c>
      <c r="L21" s="10">
        <v>86.08433224972319</v>
      </c>
      <c r="M21" s="10">
        <v>86.024359156205279</v>
      </c>
      <c r="N21" s="10">
        <v>90.414674222953053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>
        <f t="shared" si="0"/>
        <v>76.458176108084999</v>
      </c>
      <c r="AA21" s="10">
        <f t="shared" si="1"/>
        <v>90.414674222953053</v>
      </c>
      <c r="AB21" s="10">
        <f t="shared" si="2"/>
        <v>58.026537472283266</v>
      </c>
    </row>
    <row r="22" spans="1:28" x14ac:dyDescent="0.25">
      <c r="A22" s="9">
        <v>16</v>
      </c>
      <c r="B22" s="10">
        <v>93.167757326285368</v>
      </c>
      <c r="C22" s="10">
        <v>91.649405643001401</v>
      </c>
      <c r="D22" s="10">
        <v>81.241784404159844</v>
      </c>
      <c r="E22" s="10">
        <v>69.561733871083121</v>
      </c>
      <c r="F22" s="10">
        <v>68.556483518474465</v>
      </c>
      <c r="G22" s="10">
        <v>64.467119704332802</v>
      </c>
      <c r="H22" s="10">
        <v>68.09952255247191</v>
      </c>
      <c r="I22" s="10">
        <v>68.611509620522042</v>
      </c>
      <c r="J22" s="10">
        <v>91.68809926880499</v>
      </c>
      <c r="K22" s="10">
        <v>90.130206270151703</v>
      </c>
      <c r="L22" s="10">
        <v>90.894492082389988</v>
      </c>
      <c r="M22" s="10">
        <v>90.787917811380879</v>
      </c>
      <c r="N22" s="10">
        <v>94.053519942338895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>
        <f t="shared" si="0"/>
        <v>81.762273231953642</v>
      </c>
      <c r="AA22" s="10">
        <f t="shared" si="1"/>
        <v>94.053519942338895</v>
      </c>
      <c r="AB22" s="10">
        <f t="shared" si="2"/>
        <v>64.467119704332802</v>
      </c>
    </row>
    <row r="23" spans="1:28" x14ac:dyDescent="0.25">
      <c r="A23" s="9">
        <v>17</v>
      </c>
      <c r="B23" s="10">
        <v>96.492174886425602</v>
      </c>
      <c r="C23" s="10">
        <v>83.747930818606349</v>
      </c>
      <c r="D23" s="10">
        <v>82.665948335567847</v>
      </c>
      <c r="E23" s="10">
        <v>79.973511654213979</v>
      </c>
      <c r="F23" s="10">
        <v>75.540008686304986</v>
      </c>
      <c r="G23" s="10">
        <v>70.907094274853861</v>
      </c>
      <c r="H23" s="10">
        <v>67.002309260097988</v>
      </c>
      <c r="I23" s="10">
        <v>75.311981910915833</v>
      </c>
      <c r="J23" s="10">
        <v>93.505649034324307</v>
      </c>
      <c r="K23" s="10">
        <v>100</v>
      </c>
      <c r="L23" s="10">
        <v>92.417861155998366</v>
      </c>
      <c r="M23" s="10">
        <v>94.881722302512387</v>
      </c>
      <c r="N23" s="10">
        <v>94.857344951335847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>
        <f>AVERAGE(B23:N23)</f>
        <v>85.177195174704394</v>
      </c>
      <c r="AA23" s="10">
        <f t="shared" si="1"/>
        <v>100</v>
      </c>
      <c r="AB23" s="10">
        <f t="shared" si="2"/>
        <v>67.002309260097988</v>
      </c>
    </row>
    <row r="24" spans="1:28" x14ac:dyDescent="0.25">
      <c r="A24" s="9">
        <v>18</v>
      </c>
      <c r="B24" s="10">
        <v>93.200183366846844</v>
      </c>
      <c r="C24" s="10">
        <v>85.714771674595454</v>
      </c>
      <c r="D24" s="10">
        <v>77.403724295248693</v>
      </c>
      <c r="E24" s="10">
        <v>74.8972604533881</v>
      </c>
      <c r="F24" s="10">
        <v>74.42088280638572</v>
      </c>
      <c r="G24" s="10">
        <v>71.386268690121071</v>
      </c>
      <c r="H24" s="10">
        <v>76.188036463966284</v>
      </c>
      <c r="I24" s="10">
        <v>74.790838423941608</v>
      </c>
      <c r="J24" s="10">
        <v>75.775603021681007</v>
      </c>
      <c r="K24" s="10">
        <v>85.454869935021705</v>
      </c>
      <c r="L24" s="10">
        <v>86.84391758944578</v>
      </c>
      <c r="M24" s="10">
        <v>88.393064158060469</v>
      </c>
      <c r="N24" s="10">
        <v>91.49030389721446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>
        <f t="shared" si="0"/>
        <v>81.227671136609032</v>
      </c>
      <c r="AA24" s="10">
        <f t="shared" si="1"/>
        <v>93.200183366846844</v>
      </c>
      <c r="AB24" s="10">
        <f t="shared" si="2"/>
        <v>71.386268690121071</v>
      </c>
    </row>
    <row r="25" spans="1:28" x14ac:dyDescent="0.25">
      <c r="A25" s="9">
        <v>19</v>
      </c>
      <c r="B25" s="10">
        <v>91.428799081144717</v>
      </c>
      <c r="C25" s="10">
        <v>85.487976512302907</v>
      </c>
      <c r="D25" s="10">
        <v>82.030795597571043</v>
      </c>
      <c r="E25" s="10">
        <v>75.540008686304986</v>
      </c>
      <c r="F25" s="10">
        <v>70.542172192683722</v>
      </c>
      <c r="G25" s="10">
        <v>68.228128647776614</v>
      </c>
      <c r="H25" s="10">
        <v>67.907326992273624</v>
      </c>
      <c r="I25" s="10">
        <v>69.776989268096514</v>
      </c>
      <c r="J25" s="10">
        <v>75.994623458710635</v>
      </c>
      <c r="K25" s="10">
        <v>81.7646037409543</v>
      </c>
      <c r="L25" s="10">
        <v>85.113759488939039</v>
      </c>
      <c r="M25" s="10">
        <v>90.219867449902509</v>
      </c>
      <c r="N25" s="10">
        <v>92.540237034143715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>
        <f t="shared" si="0"/>
        <v>79.736560626984939</v>
      </c>
      <c r="AA25" s="10">
        <f t="shared" si="1"/>
        <v>92.540237034143715</v>
      </c>
      <c r="AB25" s="10">
        <f t="shared" si="2"/>
        <v>67.907326992273624</v>
      </c>
    </row>
    <row r="26" spans="1:28" x14ac:dyDescent="0.25">
      <c r="A26" s="9">
        <v>20</v>
      </c>
      <c r="B26" s="10">
        <v>94.025270126761001</v>
      </c>
      <c r="C26" s="10">
        <v>89.399978397389404</v>
      </c>
      <c r="D26" s="10">
        <v>79.195157514781243</v>
      </c>
      <c r="E26" s="10">
        <v>67.107991013915097</v>
      </c>
      <c r="F26" s="10">
        <v>64.253726630839722</v>
      </c>
      <c r="G26" s="10">
        <v>63.336511123135587</v>
      </c>
      <c r="H26" s="10">
        <v>61.022571847580195</v>
      </c>
      <c r="I26" s="10">
        <v>65.710896599700163</v>
      </c>
      <c r="J26" s="10">
        <v>66.428989569440731</v>
      </c>
      <c r="K26" s="10">
        <v>67.107991013915097</v>
      </c>
      <c r="L26" s="10">
        <v>75.669724273595236</v>
      </c>
      <c r="M26" s="10">
        <v>82.588198229950223</v>
      </c>
      <c r="N26" s="10">
        <v>86.964847685921953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>
        <f t="shared" si="0"/>
        <v>74.062450309763506</v>
      </c>
      <c r="AA26" s="10">
        <f t="shared" si="1"/>
        <v>94.025270126761001</v>
      </c>
      <c r="AB26" s="10">
        <f t="shared" si="2"/>
        <v>61.022571847580195</v>
      </c>
    </row>
    <row r="27" spans="1:28" x14ac:dyDescent="0.25">
      <c r="A27" s="9">
        <v>21</v>
      </c>
      <c r="B27" s="10">
        <v>88.171370177668294</v>
      </c>
      <c r="C27" s="10">
        <v>83.083191085074802</v>
      </c>
      <c r="D27" s="10">
        <v>77.007783360974742</v>
      </c>
      <c r="E27" s="10">
        <v>62.170825285467082</v>
      </c>
      <c r="F27" s="10">
        <v>58.215855691404158</v>
      </c>
      <c r="G27" s="10">
        <v>59.144292145703083</v>
      </c>
      <c r="H27" s="10">
        <v>56.773204762458128</v>
      </c>
      <c r="I27" s="10">
        <v>57.362743557239149</v>
      </c>
      <c r="J27" s="10">
        <v>57.362743557239149</v>
      </c>
      <c r="K27" s="10">
        <v>58.215855691404158</v>
      </c>
      <c r="L27" s="10">
        <v>70.907094274853861</v>
      </c>
      <c r="M27" s="10">
        <v>77.306313366446432</v>
      </c>
      <c r="N27" s="10">
        <v>77.207862783481787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>
        <f t="shared" si="0"/>
        <v>67.917625826108832</v>
      </c>
      <c r="AA27" s="10">
        <f t="shared" si="1"/>
        <v>88.171370177668294</v>
      </c>
      <c r="AB27" s="10">
        <f t="shared" si="2"/>
        <v>56.773204762458128</v>
      </c>
    </row>
    <row r="28" spans="1:28" x14ac:dyDescent="0.25">
      <c r="A28" s="9">
        <v>22</v>
      </c>
      <c r="B28" s="10">
        <v>85.11365227039191</v>
      </c>
      <c r="C28" s="10">
        <v>81.073467546751985</v>
      </c>
      <c r="D28" s="10">
        <v>71.907229173052954</v>
      </c>
      <c r="E28" s="10">
        <v>67.31253681304905</v>
      </c>
      <c r="F28" s="10">
        <v>63.442284316336661</v>
      </c>
      <c r="G28" s="10">
        <v>59.256212187317146</v>
      </c>
      <c r="H28" s="10">
        <v>56.773204762458128</v>
      </c>
      <c r="I28" s="10">
        <v>54.040370815581454</v>
      </c>
      <c r="J28" s="10">
        <v>54.040370815581454</v>
      </c>
      <c r="K28" s="10">
        <v>61.164810976263304</v>
      </c>
      <c r="L28" s="10">
        <v>67.765488009594236</v>
      </c>
      <c r="M28" s="10">
        <v>73.703857651556206</v>
      </c>
      <c r="N28" s="10">
        <v>74.128057490557737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>
        <f t="shared" si="0"/>
        <v>66.901657140653256</v>
      </c>
      <c r="AA28" s="10">
        <f t="shared" si="1"/>
        <v>85.11365227039191</v>
      </c>
      <c r="AB28" s="10">
        <f t="shared" si="2"/>
        <v>54.040370815581454</v>
      </c>
    </row>
    <row r="29" spans="1:28" x14ac:dyDescent="0.25">
      <c r="A29" s="9">
        <v>23</v>
      </c>
      <c r="B29" s="10">
        <v>86.43194727870268</v>
      </c>
      <c r="C29" s="10">
        <v>81.366818278194629</v>
      </c>
      <c r="D29" s="10">
        <v>77.007783360974742</v>
      </c>
      <c r="E29" s="10">
        <v>67.965835729306434</v>
      </c>
      <c r="F29" s="10">
        <v>69.34291301303891</v>
      </c>
      <c r="G29" s="10">
        <v>67.580321726852745</v>
      </c>
      <c r="H29" s="10">
        <v>61.550221146201231</v>
      </c>
      <c r="I29" s="10">
        <v>62.088340647730242</v>
      </c>
      <c r="J29" s="10">
        <v>67.002309260097988</v>
      </c>
      <c r="K29" s="10">
        <v>69.497505999348974</v>
      </c>
      <c r="L29" s="10">
        <v>77.158243017011969</v>
      </c>
      <c r="M29" s="10">
        <v>81.115887961151742</v>
      </c>
      <c r="N29" s="10">
        <v>89.30243579246428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>
        <f t="shared" si="0"/>
        <v>73.646966400852037</v>
      </c>
      <c r="AA29" s="10">
        <f t="shared" si="1"/>
        <v>89.30243579246428</v>
      </c>
      <c r="AB29" s="10">
        <f t="shared" si="2"/>
        <v>61.550221146201231</v>
      </c>
    </row>
    <row r="30" spans="1:28" x14ac:dyDescent="0.25">
      <c r="A30" s="9">
        <v>24</v>
      </c>
      <c r="B30" s="10">
        <v>91.49030389721446</v>
      </c>
      <c r="C30" s="10">
        <v>83.933433506219117</v>
      </c>
      <c r="D30" s="10">
        <v>74.899346257011629</v>
      </c>
      <c r="E30" s="10">
        <v>67.698001421424337</v>
      </c>
      <c r="F30" s="10">
        <v>63.593304274154171</v>
      </c>
      <c r="G30" s="10">
        <v>63.186742790816041</v>
      </c>
      <c r="H30" s="10">
        <v>64.37653120875278</v>
      </c>
      <c r="I30" s="10">
        <v>62.482083766699034</v>
      </c>
      <c r="J30" s="10">
        <v>65.87148937682656</v>
      </c>
      <c r="K30" s="10">
        <v>65.583841814763559</v>
      </c>
      <c r="L30" s="10">
        <v>73.059375099659647</v>
      </c>
      <c r="M30" s="10">
        <v>76.906124278850157</v>
      </c>
      <c r="N30" s="10">
        <v>79.569668907348316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>
        <f t="shared" si="0"/>
        <v>71.742326661518447</v>
      </c>
      <c r="AA30" s="10">
        <f t="shared" si="1"/>
        <v>91.49030389721446</v>
      </c>
      <c r="AB30" s="10">
        <f t="shared" si="2"/>
        <v>62.482083766699034</v>
      </c>
    </row>
    <row r="31" spans="1:28" x14ac:dyDescent="0.25">
      <c r="A31" s="9">
        <v>25</v>
      </c>
      <c r="B31" s="10">
        <v>86.529677058073943</v>
      </c>
      <c r="C31" s="10">
        <v>83.747930818606349</v>
      </c>
      <c r="D31" s="10">
        <v>78.174946208957891</v>
      </c>
      <c r="E31" s="10">
        <v>71.786345119566221</v>
      </c>
      <c r="F31" s="10">
        <v>66.153150333807702</v>
      </c>
      <c r="G31" s="10">
        <v>63.890643783239518</v>
      </c>
      <c r="H31" s="10">
        <v>65.790924113205833</v>
      </c>
      <c r="I31" s="10">
        <v>70.185833175268371</v>
      </c>
      <c r="J31" s="10">
        <v>75.845447869429577</v>
      </c>
      <c r="K31" s="10">
        <v>73.627425546942845</v>
      </c>
      <c r="L31" s="10">
        <v>73.059375099659647</v>
      </c>
      <c r="M31" s="10">
        <v>76.335974298650626</v>
      </c>
      <c r="N31" s="10">
        <v>82.588198229950223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>
        <f t="shared" si="0"/>
        <v>74.439682435027592</v>
      </c>
      <c r="AA31" s="10">
        <f t="shared" si="1"/>
        <v>86.529677058073943</v>
      </c>
      <c r="AB31" s="10">
        <f t="shared" si="2"/>
        <v>63.890643783239518</v>
      </c>
    </row>
    <row r="32" spans="1:28" x14ac:dyDescent="0.25">
      <c r="A32" s="9">
        <v>26</v>
      </c>
      <c r="B32" s="10">
        <v>91.49030389721446</v>
      </c>
      <c r="C32" s="10">
        <v>85.454869935021705</v>
      </c>
      <c r="D32" s="10">
        <v>78.368269882760842</v>
      </c>
      <c r="E32" s="10">
        <v>71.463418455242063</v>
      </c>
      <c r="F32" s="10">
        <v>66.661614293760735</v>
      </c>
      <c r="G32" s="10">
        <v>71.342104539743104</v>
      </c>
      <c r="H32" s="10">
        <v>71.149184188620822</v>
      </c>
      <c r="I32" s="10">
        <v>77.403724295248693</v>
      </c>
      <c r="J32" s="10">
        <v>79.929597624557786</v>
      </c>
      <c r="K32" s="10">
        <v>87.14137533712541</v>
      </c>
      <c r="L32" s="10">
        <v>87.083169493220765</v>
      </c>
      <c r="M32" s="10">
        <v>88.553044028618061</v>
      </c>
      <c r="N32" s="10">
        <v>88.393064158060469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>
        <f t="shared" si="0"/>
        <v>80.341056933014983</v>
      </c>
      <c r="AA32" s="10">
        <f t="shared" si="1"/>
        <v>91.49030389721446</v>
      </c>
      <c r="AB32" s="10">
        <f t="shared" si="2"/>
        <v>66.661614293760735</v>
      </c>
    </row>
    <row r="33" spans="1:28" x14ac:dyDescent="0.25">
      <c r="A33" s="9">
        <v>27</v>
      </c>
      <c r="B33" s="10">
        <v>94.832696070056826</v>
      </c>
      <c r="C33" s="10">
        <v>89.327020835807261</v>
      </c>
      <c r="D33" s="10">
        <v>78.415953940662547</v>
      </c>
      <c r="E33" s="10">
        <v>73.646627416402168</v>
      </c>
      <c r="F33" s="10">
        <v>70.659857015026191</v>
      </c>
      <c r="G33" s="10">
        <v>69.023035706106839</v>
      </c>
      <c r="H33" s="10">
        <v>70.534262536178971</v>
      </c>
      <c r="I33" s="10">
        <v>69.7215540485997</v>
      </c>
      <c r="J33" s="10">
        <v>69.03825932412856</v>
      </c>
      <c r="K33" s="10">
        <v>68.903870032636945</v>
      </c>
      <c r="L33" s="10">
        <v>71.162140157201421</v>
      </c>
      <c r="M33" s="10">
        <v>72.33643037885038</v>
      </c>
      <c r="N33" s="10">
        <v>73.661877482589802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>
        <f t="shared" si="0"/>
        <v>74.712583457249835</v>
      </c>
      <c r="AA33" s="10">
        <f t="shared" si="1"/>
        <v>94.832696070056826</v>
      </c>
      <c r="AB33" s="10">
        <f t="shared" si="2"/>
        <v>68.903870032636945</v>
      </c>
    </row>
    <row r="34" spans="1:28" x14ac:dyDescent="0.25">
      <c r="A34" s="9">
        <v>28</v>
      </c>
      <c r="B34" s="10">
        <v>86.265360927306787</v>
      </c>
      <c r="C34" s="10">
        <v>72.434570188464548</v>
      </c>
      <c r="D34" s="10">
        <v>67.108061002723758</v>
      </c>
      <c r="E34" s="10">
        <v>61.51499696767393</v>
      </c>
      <c r="F34" s="10">
        <v>61.691456071130524</v>
      </c>
      <c r="G34" s="10">
        <v>62.493028914122952</v>
      </c>
      <c r="H34" s="10">
        <v>59.739187798733283</v>
      </c>
      <c r="I34" s="10">
        <v>56.670952468546645</v>
      </c>
      <c r="J34" s="10">
        <v>57.792452687867183</v>
      </c>
      <c r="K34" s="10">
        <v>60.073072291172736</v>
      </c>
      <c r="L34" s="10">
        <v>64.989900783551946</v>
      </c>
      <c r="M34" s="10">
        <v>72.99635160263162</v>
      </c>
      <c r="N34" s="10">
        <v>79.145636970486265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>
        <f t="shared" si="0"/>
        <v>66.37807912880092</v>
      </c>
      <c r="AA34" s="10">
        <f t="shared" si="1"/>
        <v>86.265360927306787</v>
      </c>
      <c r="AB34" s="10">
        <f t="shared" si="2"/>
        <v>56.670952468546645</v>
      </c>
    </row>
    <row r="35" spans="1:28" x14ac:dyDescent="0.25">
      <c r="A35" s="9">
        <v>29</v>
      </c>
      <c r="B35" s="10">
        <v>86.673075656890276</v>
      </c>
      <c r="C35" s="10">
        <v>81.585700354644629</v>
      </c>
      <c r="D35" s="10">
        <v>72.084809010718615</v>
      </c>
      <c r="E35" s="10">
        <v>61.670585129977219</v>
      </c>
      <c r="F35" s="10">
        <v>61.363278793971077</v>
      </c>
      <c r="G35" s="10">
        <v>55.76439728136711</v>
      </c>
      <c r="H35" s="10">
        <v>52.921844535582792</v>
      </c>
      <c r="I35" s="10">
        <v>56.314062334634997</v>
      </c>
      <c r="J35" s="10">
        <v>57.529889649619605</v>
      </c>
      <c r="K35" s="10">
        <v>63.394438463991897</v>
      </c>
      <c r="L35" s="10">
        <v>68.981347293357317</v>
      </c>
      <c r="M35" s="10">
        <v>76.162807368920355</v>
      </c>
      <c r="N35" s="10">
        <v>81.762173238905774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0">
        <f t="shared" si="0"/>
        <v>67.400646854813971</v>
      </c>
      <c r="AA35" s="10">
        <f t="shared" si="1"/>
        <v>86.673075656890276</v>
      </c>
      <c r="AB35" s="10">
        <f t="shared" si="2"/>
        <v>52.921844535582792</v>
      </c>
    </row>
    <row r="36" spans="1:28" ht="15.75" thickBot="1" x14ac:dyDescent="0.3">
      <c r="A36" s="9">
        <v>30</v>
      </c>
      <c r="B36" s="10">
        <v>86.740997331988694</v>
      </c>
      <c r="C36" s="10">
        <v>82.725204636653288</v>
      </c>
      <c r="D36" s="10">
        <v>74.620033124138288</v>
      </c>
      <c r="E36" s="10">
        <v>68.288902465567787</v>
      </c>
      <c r="F36" s="10">
        <v>65.065538435264926</v>
      </c>
      <c r="G36" s="10">
        <v>66.522823917395485</v>
      </c>
      <c r="H36" s="10">
        <v>53.908525613624207</v>
      </c>
      <c r="I36" s="10">
        <v>55.833675923694635</v>
      </c>
      <c r="J36" s="10">
        <v>59.256212187317146</v>
      </c>
      <c r="K36" s="10">
        <v>62.170825285467082</v>
      </c>
      <c r="L36" s="10">
        <v>62.822015694268231</v>
      </c>
      <c r="M36" s="10">
        <v>74.01339763269938</v>
      </c>
      <c r="N36" s="10">
        <v>80.636327756459053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>
        <f t="shared" si="0"/>
        <v>68.661883077272165</v>
      </c>
      <c r="AA36" s="10">
        <f t="shared" si="1"/>
        <v>86.740997331988694</v>
      </c>
      <c r="AB36" s="10">
        <f t="shared" si="2"/>
        <v>53.908525613624207</v>
      </c>
    </row>
    <row r="37" spans="1:28" ht="16.5" thickTop="1" thickBot="1" x14ac:dyDescent="0.3">
      <c r="A37" s="35" t="s">
        <v>27</v>
      </c>
      <c r="B37" s="36">
        <f t="shared" ref="B37:N37" si="3">MAX(B7:B36)</f>
        <v>96.526047988495392</v>
      </c>
      <c r="C37" s="36">
        <f t="shared" si="3"/>
        <v>94.081459885738553</v>
      </c>
      <c r="D37" s="36">
        <f t="shared" si="3"/>
        <v>84.324261141767138</v>
      </c>
      <c r="E37" s="36">
        <f t="shared" si="3"/>
        <v>88.004060294142761</v>
      </c>
      <c r="F37" s="36">
        <f t="shared" si="3"/>
        <v>79.811342168449215</v>
      </c>
      <c r="G37" s="36">
        <f t="shared" si="3"/>
        <v>84.113958008242946</v>
      </c>
      <c r="H37" s="36">
        <f t="shared" si="3"/>
        <v>98.213588769040797</v>
      </c>
      <c r="I37" s="36">
        <f t="shared" si="3"/>
        <v>93.909080964878754</v>
      </c>
      <c r="J37" s="36">
        <f t="shared" si="3"/>
        <v>98.239777411123399</v>
      </c>
      <c r="K37" s="36">
        <f t="shared" si="3"/>
        <v>100</v>
      </c>
      <c r="L37" s="36">
        <f t="shared" si="3"/>
        <v>98.244057093748026</v>
      </c>
      <c r="M37" s="36">
        <f t="shared" si="3"/>
        <v>98.235473711331494</v>
      </c>
      <c r="N37" s="36">
        <f t="shared" si="3"/>
        <v>98.239777411123399</v>
      </c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8">
        <f>MAX(Z7:Z36)</f>
        <v>90.678825838218017</v>
      </c>
      <c r="AA37" s="38">
        <f>MAX(AA7:AA36)</f>
        <v>100</v>
      </c>
      <c r="AB37" s="38">
        <f>MAX(AB7:AB36)</f>
        <v>77.595485089323546</v>
      </c>
    </row>
    <row r="38" spans="1:28" ht="16.5" thickTop="1" thickBot="1" x14ac:dyDescent="0.3">
      <c r="A38" s="35" t="s">
        <v>28</v>
      </c>
      <c r="B38" s="36">
        <f t="shared" ref="B38:N38" si="4">MIN(B7:B36)</f>
        <v>85.11365227039191</v>
      </c>
      <c r="C38" s="36">
        <f t="shared" si="4"/>
        <v>72.434570188464548</v>
      </c>
      <c r="D38" s="36">
        <f t="shared" si="4"/>
        <v>67.108061002723758</v>
      </c>
      <c r="E38" s="36">
        <f t="shared" si="4"/>
        <v>61.51499696767393</v>
      </c>
      <c r="F38" s="36">
        <f t="shared" si="4"/>
        <v>58.215855691404158</v>
      </c>
      <c r="G38" s="36">
        <f t="shared" si="4"/>
        <v>55.76439728136711</v>
      </c>
      <c r="H38" s="36">
        <f t="shared" si="4"/>
        <v>52.921844535582792</v>
      </c>
      <c r="I38" s="36">
        <f t="shared" si="4"/>
        <v>54.040370815581454</v>
      </c>
      <c r="J38" s="36">
        <f t="shared" si="4"/>
        <v>54.040370815581454</v>
      </c>
      <c r="K38" s="36">
        <f t="shared" si="4"/>
        <v>58.215855691404158</v>
      </c>
      <c r="L38" s="36">
        <f t="shared" si="4"/>
        <v>62.822015694268231</v>
      </c>
      <c r="M38" s="36">
        <f t="shared" si="4"/>
        <v>72.33643037885038</v>
      </c>
      <c r="N38" s="36">
        <f t="shared" si="4"/>
        <v>73.661877482589802</v>
      </c>
      <c r="O38" s="37"/>
      <c r="P38" s="37"/>
      <c r="Q38" s="37"/>
      <c r="R38" s="33"/>
      <c r="S38" s="34"/>
      <c r="T38" s="33"/>
      <c r="U38" s="33"/>
      <c r="V38" s="33"/>
      <c r="W38" s="33"/>
      <c r="X38" s="33"/>
      <c r="Y38" s="33"/>
      <c r="Z38" s="38">
        <f>MIN(Z8:Z37)</f>
        <v>66.37807912880092</v>
      </c>
      <c r="AA38" s="38">
        <f>MIN(AA8:AA37)</f>
        <v>85.11365227039191</v>
      </c>
      <c r="AB38" s="38">
        <f>MIN(AB8:AB37)</f>
        <v>52.921844535582792</v>
      </c>
    </row>
    <row r="39" spans="1:28" ht="15.75" thickTop="1" x14ac:dyDescent="0.25">
      <c r="A39" s="35" t="s">
        <v>35</v>
      </c>
      <c r="B39" s="36">
        <f t="shared" ref="B39:N39" si="5">AVERAGE(B7:B36)</f>
        <v>91.265501471624646</v>
      </c>
      <c r="C39" s="36">
        <f t="shared" si="5"/>
        <v>84.439591390594757</v>
      </c>
      <c r="D39" s="36">
        <f t="shared" si="5"/>
        <v>77.677179207275671</v>
      </c>
      <c r="E39" s="36">
        <f t="shared" si="5"/>
        <v>71.398246991159795</v>
      </c>
      <c r="F39" s="36">
        <f t="shared" si="5"/>
        <v>68.411393845114205</v>
      </c>
      <c r="G39" s="36">
        <f t="shared" si="5"/>
        <v>67.170535463355776</v>
      </c>
      <c r="H39" s="36">
        <f t="shared" si="5"/>
        <v>66.15529447253337</v>
      </c>
      <c r="I39" s="36">
        <f t="shared" si="5"/>
        <v>68.418285921224339</v>
      </c>
      <c r="J39" s="36">
        <f t="shared" si="5"/>
        <v>73.256207114712524</v>
      </c>
      <c r="K39" s="36">
        <f t="shared" si="5"/>
        <v>76.636103797921209</v>
      </c>
      <c r="L39" s="36">
        <f t="shared" si="5"/>
        <v>80.626535802531933</v>
      </c>
      <c r="M39" s="36">
        <f t="shared" si="5"/>
        <v>84.816277396917457</v>
      </c>
      <c r="N39" s="36">
        <f t="shared" si="5"/>
        <v>87.475582261398102</v>
      </c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8">
        <f>AVERAGE(Z9:Z38)</f>
        <v>76.785488052106501</v>
      </c>
      <c r="AA39" s="38">
        <f t="shared" ref="AA39:AB39" si="6">AVERAGE(AA9:AA38)</f>
        <v>92.46579795880011</v>
      </c>
      <c r="AB39" s="38">
        <f t="shared" si="6"/>
        <v>63.819001330543983</v>
      </c>
    </row>
    <row r="40" spans="1:28" x14ac:dyDescent="0.25">
      <c r="A40" s="15" t="s">
        <v>30</v>
      </c>
      <c r="AA40" s="16"/>
      <c r="AB40" s="16"/>
    </row>
    <row r="41" spans="1:28" x14ac:dyDescent="0.25">
      <c r="A41" s="17"/>
      <c r="B41" s="18" t="s">
        <v>31</v>
      </c>
      <c r="C41" s="16"/>
      <c r="D41" s="16"/>
      <c r="E41" s="16"/>
      <c r="F41" s="19"/>
      <c r="G41" s="57"/>
      <c r="H41" s="57"/>
      <c r="I41" s="57"/>
      <c r="J41" s="57"/>
      <c r="K41" s="57"/>
      <c r="L41" s="57"/>
      <c r="M41" s="20"/>
      <c r="N41" s="20"/>
      <c r="O41" s="20"/>
      <c r="P41" s="20"/>
      <c r="Q41" s="20"/>
      <c r="R41" s="21"/>
      <c r="S41" s="22"/>
      <c r="AA41" s="16"/>
      <c r="AB41" s="16"/>
    </row>
    <row r="42" spans="1:28" x14ac:dyDescent="0.25">
      <c r="A42" s="19"/>
      <c r="B42" s="19"/>
      <c r="C42" s="16"/>
      <c r="D42" s="16"/>
      <c r="E42" s="16"/>
      <c r="F42" s="19"/>
      <c r="G42" s="57"/>
      <c r="H42" s="57"/>
      <c r="I42" s="57"/>
      <c r="J42" s="57"/>
      <c r="K42" s="57"/>
      <c r="L42" s="57"/>
      <c r="M42" s="20"/>
      <c r="N42" s="20"/>
      <c r="O42" s="20"/>
      <c r="P42" s="20"/>
      <c r="Q42" s="20"/>
      <c r="R42" s="21"/>
      <c r="S42" s="22"/>
      <c r="Y42" s="21" t="s">
        <v>42</v>
      </c>
      <c r="Z42" s="21"/>
      <c r="AA42" s="21"/>
      <c r="AB42" s="16"/>
    </row>
    <row r="43" spans="1:28" x14ac:dyDescent="0.25">
      <c r="A43" s="19"/>
      <c r="B43" s="19"/>
      <c r="C43" s="16"/>
      <c r="D43" s="16"/>
      <c r="E43" s="16"/>
      <c r="F43" s="19"/>
      <c r="G43" s="21"/>
      <c r="H43" s="21"/>
      <c r="I43" s="21"/>
      <c r="J43" s="21"/>
      <c r="K43" s="21"/>
      <c r="L43" s="21"/>
      <c r="M43" s="20"/>
      <c r="N43" s="20"/>
      <c r="O43" s="20"/>
      <c r="P43" s="20"/>
      <c r="Q43" s="20"/>
      <c r="R43" s="21"/>
      <c r="S43" s="22"/>
      <c r="Y43" s="21" t="str">
        <f>[1]COVER!X4</f>
        <v>PEMBUAT LAPORAN,</v>
      </c>
      <c r="Z43" s="21"/>
      <c r="AA43" s="21"/>
      <c r="AB43" s="16"/>
    </row>
    <row r="44" spans="1:28" x14ac:dyDescent="0.25">
      <c r="A44" s="19"/>
      <c r="B44" s="19"/>
      <c r="C44" s="16"/>
      <c r="D44" s="16"/>
      <c r="E44" s="16"/>
      <c r="F44" s="19"/>
      <c r="G44" s="21"/>
      <c r="H44" s="21"/>
      <c r="I44" s="21"/>
      <c r="J44" s="20"/>
      <c r="K44" s="20"/>
      <c r="L44" s="20"/>
      <c r="M44" s="20"/>
      <c r="N44" s="20"/>
      <c r="O44" s="22"/>
      <c r="P44" s="23"/>
      <c r="Q44" s="23"/>
      <c r="R44" s="21"/>
      <c r="S44" s="22"/>
      <c r="Y44" s="22"/>
      <c r="Z44" s="21"/>
      <c r="AA44" s="21"/>
    </row>
    <row r="45" spans="1:28" x14ac:dyDescent="0.25">
      <c r="A45" s="19"/>
      <c r="B45" s="19"/>
      <c r="C45" s="16"/>
      <c r="D45" s="16"/>
      <c r="E45" s="16"/>
      <c r="F45" s="19"/>
      <c r="G45" s="57"/>
      <c r="H45" s="57"/>
      <c r="I45" s="57"/>
      <c r="J45" s="57"/>
      <c r="K45" s="57"/>
      <c r="L45" s="57"/>
      <c r="M45" s="25"/>
      <c r="N45" s="25"/>
      <c r="O45" s="25"/>
      <c r="P45" s="25"/>
      <c r="Q45" s="25"/>
      <c r="R45" s="21"/>
      <c r="S45" s="22"/>
      <c r="Y45" s="22"/>
      <c r="Z45" s="21"/>
      <c r="AA45" s="21"/>
    </row>
    <row r="46" spans="1:28" x14ac:dyDescent="0.25">
      <c r="Y46" s="26" t="s">
        <v>33</v>
      </c>
      <c r="Z46" s="26"/>
      <c r="AA46" s="26"/>
    </row>
    <row r="47" spans="1:28" x14ac:dyDescent="0.25">
      <c r="Y47" s="21" t="s">
        <v>34</v>
      </c>
      <c r="Z47" s="21"/>
      <c r="AA47" s="21"/>
    </row>
  </sheetData>
  <mergeCells count="4">
    <mergeCell ref="Y3:Z3"/>
    <mergeCell ref="G45:L45"/>
    <mergeCell ref="G41:L41"/>
    <mergeCell ref="G42:L42"/>
  </mergeCells>
  <pageMargins left="1.1023622047244095" right="0.19685039370078741" top="0.55118110236220474" bottom="0" header="0.31496062992125984" footer="0.31496062992125984"/>
  <pageSetup paperSize="9" scale="75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2:AB53"/>
  <sheetViews>
    <sheetView workbookViewId="0">
      <selection activeCell="U12" sqref="U12"/>
    </sheetView>
  </sheetViews>
  <sheetFormatPr defaultRowHeight="15" x14ac:dyDescent="0.25"/>
  <cols>
    <col min="1" max="28" width="5.7109375" customWidth="1"/>
  </cols>
  <sheetData>
    <row r="2" spans="1:28" x14ac:dyDescent="0.25">
      <c r="R2" s="1" t="s">
        <v>0</v>
      </c>
      <c r="T2" s="1"/>
      <c r="W2" s="1"/>
    </row>
    <row r="3" spans="1:28" x14ac:dyDescent="0.25">
      <c r="R3" s="1" t="s">
        <v>1</v>
      </c>
      <c r="T3" s="1" t="str">
        <f>'[8]1'!AA1</f>
        <v>JULI</v>
      </c>
      <c r="V3" s="2">
        <f>JANUARI!V3</f>
        <v>2022</v>
      </c>
      <c r="W3" s="1"/>
      <c r="Y3" s="59"/>
      <c r="Z3" s="59"/>
      <c r="AA3" s="2"/>
    </row>
    <row r="5" spans="1:2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4" t="s">
        <v>32</v>
      </c>
      <c r="AA5" s="4" t="s">
        <v>27</v>
      </c>
      <c r="AB5" s="4" t="s">
        <v>28</v>
      </c>
    </row>
    <row r="6" spans="1:28" x14ac:dyDescent="0.25">
      <c r="A6" s="5" t="s">
        <v>29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  <c r="P6" s="5">
        <v>15</v>
      </c>
      <c r="Q6" s="5">
        <v>16</v>
      </c>
      <c r="R6" s="5">
        <v>17</v>
      </c>
      <c r="S6" s="5">
        <v>18</v>
      </c>
      <c r="T6" s="5">
        <v>19</v>
      </c>
      <c r="U6" s="5">
        <v>20</v>
      </c>
      <c r="V6" s="5">
        <v>21</v>
      </c>
      <c r="W6" s="5">
        <v>22</v>
      </c>
      <c r="X6" s="5">
        <v>23</v>
      </c>
      <c r="Y6" s="5">
        <v>24</v>
      </c>
      <c r="Z6" s="5">
        <v>25</v>
      </c>
      <c r="AA6" s="5">
        <v>26</v>
      </c>
      <c r="AB6" s="5">
        <v>27</v>
      </c>
    </row>
    <row r="7" spans="1:28" x14ac:dyDescent="0.25">
      <c r="A7" s="6">
        <v>1</v>
      </c>
      <c r="B7" s="7">
        <v>85.881801888289289</v>
      </c>
      <c r="C7" s="7">
        <v>79.434090563222099</v>
      </c>
      <c r="D7" s="7">
        <v>74.391078244380012</v>
      </c>
      <c r="E7" s="7">
        <v>65.952794286941469</v>
      </c>
      <c r="F7" s="7">
        <v>62.327271178886356</v>
      </c>
      <c r="G7" s="7">
        <v>57.35940257424803</v>
      </c>
      <c r="H7" s="7">
        <v>57.614864471343338</v>
      </c>
      <c r="I7" s="7">
        <v>57.876458523541388</v>
      </c>
      <c r="J7" s="7">
        <v>61.389030085749205</v>
      </c>
      <c r="K7" s="7">
        <v>62.63528567782356</v>
      </c>
      <c r="L7" s="7">
        <v>68.09153082700125</v>
      </c>
      <c r="M7" s="7">
        <v>69.952200735418316</v>
      </c>
      <c r="N7" s="7">
        <v>75.122904914963499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7">
        <f>AVERAGE(B7:N7)</f>
        <v>67.540670305523676</v>
      </c>
      <c r="AA7" s="7">
        <f>MAX(B7:N7)</f>
        <v>85.881801888289289</v>
      </c>
      <c r="AB7" s="7">
        <f>MIN(B7:Y7)</f>
        <v>57.35940257424803</v>
      </c>
    </row>
    <row r="8" spans="1:28" x14ac:dyDescent="0.25">
      <c r="A8" s="9">
        <v>2</v>
      </c>
      <c r="B8" s="10">
        <v>82.782266918700685</v>
      </c>
      <c r="C8" s="10">
        <v>85.11365227039191</v>
      </c>
      <c r="D8" s="10">
        <v>78.174946208957891</v>
      </c>
      <c r="E8" s="10">
        <v>69.302773600807882</v>
      </c>
      <c r="F8" s="10">
        <v>64.868570103523922</v>
      </c>
      <c r="G8" s="10">
        <v>62.786899188970658</v>
      </c>
      <c r="H8" s="10">
        <v>67.842600044991912</v>
      </c>
      <c r="I8" s="10">
        <v>72.66265365037107</v>
      </c>
      <c r="J8" s="10">
        <v>85.015074807095985</v>
      </c>
      <c r="K8" s="10">
        <v>85.90249604768772</v>
      </c>
      <c r="L8" s="10">
        <v>82.818961990568795</v>
      </c>
      <c r="M8" s="10">
        <v>84.113958008242946</v>
      </c>
      <c r="N8" s="10">
        <v>85.586225280384298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0">
        <f t="shared" ref="Z8:Z37" si="0">AVERAGE(B8:N8)</f>
        <v>77.459313701591981</v>
      </c>
      <c r="AA8" s="10">
        <f t="shared" ref="AA8:AA37" si="1">MAX(B8:N8)</f>
        <v>85.90249604768772</v>
      </c>
      <c r="AB8" s="10">
        <f t="shared" ref="AB8:AB37" si="2">MIN(B8:Y8)</f>
        <v>62.786899188970658</v>
      </c>
    </row>
    <row r="9" spans="1:28" x14ac:dyDescent="0.25">
      <c r="A9" s="9">
        <v>3</v>
      </c>
      <c r="B9" s="10">
        <v>93.295342494094442</v>
      </c>
      <c r="C9" s="10">
        <v>86.362386718915005</v>
      </c>
      <c r="D9" s="10">
        <v>79.286008484751306</v>
      </c>
      <c r="E9" s="10">
        <v>73.627425546942845</v>
      </c>
      <c r="F9" s="10">
        <v>70.843197374237789</v>
      </c>
      <c r="G9" s="10">
        <v>65.980311350113553</v>
      </c>
      <c r="H9" s="10">
        <v>61.55160455249905</v>
      </c>
      <c r="I9" s="10">
        <v>66.244302282615067</v>
      </c>
      <c r="J9" s="10">
        <v>83.187526109929237</v>
      </c>
      <c r="K9" s="10">
        <v>88.955108988785369</v>
      </c>
      <c r="L9" s="10">
        <v>88.808361977229509</v>
      </c>
      <c r="M9" s="10">
        <v>90.329253075595716</v>
      </c>
      <c r="N9" s="10">
        <v>91.801681435810139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0">
        <f t="shared" si="0"/>
        <v>80.020962337809152</v>
      </c>
      <c r="AA9" s="10">
        <f t="shared" si="1"/>
        <v>93.295342494094442</v>
      </c>
      <c r="AB9" s="10">
        <f t="shared" si="2"/>
        <v>61.55160455249905</v>
      </c>
    </row>
    <row r="10" spans="1:28" x14ac:dyDescent="0.25">
      <c r="A10" s="9">
        <v>4</v>
      </c>
      <c r="B10" s="10">
        <v>94.081459885738553</v>
      </c>
      <c r="C10" s="10">
        <v>87.785498780214084</v>
      </c>
      <c r="D10" s="10">
        <v>82.968737558370691</v>
      </c>
      <c r="E10" s="10">
        <v>79.63990947323984</v>
      </c>
      <c r="F10" s="10">
        <v>67.334277344843002</v>
      </c>
      <c r="G10" s="10">
        <v>66.534998351115604</v>
      </c>
      <c r="H10" s="10">
        <v>63.521896516560453</v>
      </c>
      <c r="I10" s="10">
        <v>59.934140074384459</v>
      </c>
      <c r="J10" s="10">
        <v>61.033920578076575</v>
      </c>
      <c r="K10" s="10">
        <v>53.625351274287702</v>
      </c>
      <c r="L10" s="10">
        <v>74.37439491091294</v>
      </c>
      <c r="M10" s="10">
        <v>86.945073798989398</v>
      </c>
      <c r="N10" s="10">
        <v>91.235980145201651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0">
        <f t="shared" si="0"/>
        <v>74.539664514764226</v>
      </c>
      <c r="AA10" s="10">
        <f t="shared" si="1"/>
        <v>94.081459885738553</v>
      </c>
      <c r="AB10" s="10">
        <f t="shared" si="2"/>
        <v>53.625351274287702</v>
      </c>
    </row>
    <row r="11" spans="1:28" x14ac:dyDescent="0.25">
      <c r="A11" s="9">
        <v>5</v>
      </c>
      <c r="B11" s="10">
        <v>89.100830446010093</v>
      </c>
      <c r="C11" s="10">
        <v>84.042334277741404</v>
      </c>
      <c r="D11" s="10">
        <v>76.137431618252776</v>
      </c>
      <c r="E11" s="10">
        <v>67.842600044991912</v>
      </c>
      <c r="F11" s="10">
        <v>65.710896599700163</v>
      </c>
      <c r="G11" s="10">
        <v>64.746586328337798</v>
      </c>
      <c r="H11" s="10">
        <v>64.952479343439492</v>
      </c>
      <c r="I11" s="10">
        <v>72.341153817623322</v>
      </c>
      <c r="J11" s="10">
        <v>70.485939030390881</v>
      </c>
      <c r="K11" s="10">
        <v>73.550683808263827</v>
      </c>
      <c r="L11" s="10">
        <v>81.159545206842822</v>
      </c>
      <c r="M11" s="10">
        <v>86.719384469379108</v>
      </c>
      <c r="N11" s="10">
        <v>88.16192920648966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0">
        <f t="shared" si="0"/>
        <v>75.765522630574097</v>
      </c>
      <c r="AA11" s="10">
        <f t="shared" si="1"/>
        <v>89.100830446010093</v>
      </c>
      <c r="AB11" s="10">
        <f t="shared" si="2"/>
        <v>64.746586328337798</v>
      </c>
    </row>
    <row r="12" spans="1:28" x14ac:dyDescent="0.25">
      <c r="A12" s="9">
        <v>6</v>
      </c>
      <c r="B12" s="10">
        <v>89.873288097977863</v>
      </c>
      <c r="C12" s="10">
        <v>86.300618759302623</v>
      </c>
      <c r="D12" s="10">
        <v>77.207862783481787</v>
      </c>
      <c r="E12" s="10">
        <v>74.844189413582313</v>
      </c>
      <c r="F12" s="10">
        <v>78.742699531414061</v>
      </c>
      <c r="G12" s="10">
        <v>69.940095578184994</v>
      </c>
      <c r="H12" s="10">
        <v>69.34291301303891</v>
      </c>
      <c r="I12" s="10">
        <v>67.580321726852745</v>
      </c>
      <c r="J12" s="10">
        <v>84.948399626078256</v>
      </c>
      <c r="K12" s="10">
        <v>81.487578849068441</v>
      </c>
      <c r="L12" s="10">
        <v>82.818961990568795</v>
      </c>
      <c r="M12" s="10">
        <v>84.184813194407482</v>
      </c>
      <c r="N12" s="10">
        <v>89.375791190256564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0">
        <f t="shared" si="0"/>
        <v>79.742117981093458</v>
      </c>
      <c r="AA12" s="10">
        <f t="shared" si="1"/>
        <v>89.873288097977863</v>
      </c>
      <c r="AB12" s="10">
        <f t="shared" si="2"/>
        <v>67.580321726852745</v>
      </c>
    </row>
    <row r="13" spans="1:28" x14ac:dyDescent="0.25">
      <c r="A13" s="9">
        <v>7</v>
      </c>
      <c r="B13" s="10">
        <v>88.056769780887691</v>
      </c>
      <c r="C13" s="10">
        <v>84.532859453958025</v>
      </c>
      <c r="D13" s="10">
        <v>72.99635160263162</v>
      </c>
      <c r="E13" s="10">
        <v>62.011864681172923</v>
      </c>
      <c r="F13" s="10">
        <v>64.125146742662523</v>
      </c>
      <c r="G13" s="10">
        <v>64.155823597395511</v>
      </c>
      <c r="H13" s="10">
        <v>63.742750164539494</v>
      </c>
      <c r="I13" s="10">
        <v>60.363303106986365</v>
      </c>
      <c r="J13" s="10">
        <v>59.117323258713824</v>
      </c>
      <c r="K13" s="10">
        <v>60.197894386743741</v>
      </c>
      <c r="L13" s="10">
        <v>61.196537357553446</v>
      </c>
      <c r="M13" s="10">
        <v>68.77170396152853</v>
      </c>
      <c r="N13" s="10">
        <v>73.978177147436469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0">
        <f t="shared" si="0"/>
        <v>67.942038864785388</v>
      </c>
      <c r="AA13" s="10">
        <f t="shared" si="1"/>
        <v>88.056769780887691</v>
      </c>
      <c r="AB13" s="10">
        <f t="shared" si="2"/>
        <v>59.117323258713824</v>
      </c>
    </row>
    <row r="14" spans="1:28" x14ac:dyDescent="0.25">
      <c r="A14" s="9">
        <v>8</v>
      </c>
      <c r="B14" s="10">
        <v>86.265360927306787</v>
      </c>
      <c r="C14" s="10">
        <v>80.315719199514163</v>
      </c>
      <c r="D14" s="10">
        <v>72.624926202721426</v>
      </c>
      <c r="E14" s="10">
        <v>63.260335804424841</v>
      </c>
      <c r="F14" s="10">
        <v>64.246103746327918</v>
      </c>
      <c r="G14" s="10">
        <v>59.343969916851314</v>
      </c>
      <c r="H14" s="10">
        <v>87.793543911889643</v>
      </c>
      <c r="I14" s="10">
        <v>56.814418868868636</v>
      </c>
      <c r="J14" s="10">
        <v>59.90055638522891</v>
      </c>
      <c r="K14" s="10">
        <v>64.369899317828242</v>
      </c>
      <c r="L14" s="10">
        <v>68.06638343312008</v>
      </c>
      <c r="M14" s="10">
        <v>71.827609950331436</v>
      </c>
      <c r="N14" s="10">
        <v>73.174904735483366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0">
        <f t="shared" si="0"/>
        <v>69.846440953838211</v>
      </c>
      <c r="AA14" s="10">
        <f t="shared" si="1"/>
        <v>87.793543911889643</v>
      </c>
      <c r="AB14" s="10">
        <f t="shared" si="2"/>
        <v>56.814418868868636</v>
      </c>
    </row>
    <row r="15" spans="1:28" x14ac:dyDescent="0.25">
      <c r="A15" s="9">
        <v>9</v>
      </c>
      <c r="B15" s="10">
        <v>80.935633630496397</v>
      </c>
      <c r="C15" s="10">
        <v>75.711673660468122</v>
      </c>
      <c r="D15" s="10">
        <v>67.626639858254677</v>
      </c>
      <c r="E15" s="10">
        <v>62.257726306901262</v>
      </c>
      <c r="F15" s="10">
        <v>65.140771878420878</v>
      </c>
      <c r="G15" s="10">
        <v>68.768032325576684</v>
      </c>
      <c r="H15" s="10">
        <v>72.823563631993622</v>
      </c>
      <c r="I15" s="10">
        <v>71.415854121030847</v>
      </c>
      <c r="J15" s="10">
        <v>72.582631191483216</v>
      </c>
      <c r="K15" s="10">
        <v>76.594482950064602</v>
      </c>
      <c r="L15" s="10">
        <v>80.72567796841399</v>
      </c>
      <c r="M15" s="10">
        <v>85.043123740432691</v>
      </c>
      <c r="N15" s="10">
        <v>86.593926572007661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0">
        <f t="shared" si="0"/>
        <v>74.324595218118802</v>
      </c>
      <c r="AA15" s="10">
        <f t="shared" si="1"/>
        <v>86.593926572007661</v>
      </c>
      <c r="AB15" s="10">
        <f t="shared" si="2"/>
        <v>62.257726306901262</v>
      </c>
    </row>
    <row r="16" spans="1:28" x14ac:dyDescent="0.25">
      <c r="A16" s="9">
        <v>10</v>
      </c>
      <c r="B16" s="10">
        <v>84.050212952278926</v>
      </c>
      <c r="C16" s="10">
        <v>80.268892669952393</v>
      </c>
      <c r="D16" s="10">
        <v>72.624926202721426</v>
      </c>
      <c r="E16" s="10">
        <v>68.491928772006816</v>
      </c>
      <c r="F16" s="10">
        <v>65.806464042467184</v>
      </c>
      <c r="G16" s="10">
        <v>63.971677768027945</v>
      </c>
      <c r="H16" s="10">
        <v>63.135433284346874</v>
      </c>
      <c r="I16" s="10">
        <v>65.012624330656905</v>
      </c>
      <c r="J16" s="10">
        <v>63.593304274154171</v>
      </c>
      <c r="K16" s="10">
        <v>64.575896105923405</v>
      </c>
      <c r="L16" s="10">
        <v>65.583841814763559</v>
      </c>
      <c r="M16" s="10">
        <v>70.279028134765525</v>
      </c>
      <c r="N16" s="10">
        <v>78.174946208957891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>
        <f t="shared" si="0"/>
        <v>69.659167427770996</v>
      </c>
      <c r="AA16" s="10">
        <f t="shared" si="1"/>
        <v>84.050212952278926</v>
      </c>
      <c r="AB16" s="10">
        <f t="shared" si="2"/>
        <v>63.135433284346874</v>
      </c>
    </row>
    <row r="17" spans="1:28" x14ac:dyDescent="0.25">
      <c r="A17" s="9">
        <v>11</v>
      </c>
      <c r="B17" s="10">
        <v>91.237958945441321</v>
      </c>
      <c r="C17" s="10">
        <v>82.019603566583683</v>
      </c>
      <c r="D17" s="10">
        <v>78.07670594017172</v>
      </c>
      <c r="E17" s="10">
        <v>67.81801577746856</v>
      </c>
      <c r="F17" s="10">
        <v>61.30999441901718</v>
      </c>
      <c r="G17" s="10">
        <v>57.362743557239149</v>
      </c>
      <c r="H17" s="10">
        <v>65.366269632056245</v>
      </c>
      <c r="I17" s="10">
        <v>66.564776169429933</v>
      </c>
      <c r="J17" s="10">
        <v>88.553044028618061</v>
      </c>
      <c r="K17" s="10">
        <v>99.100725389091906</v>
      </c>
      <c r="L17" s="10">
        <v>96.526047988495392</v>
      </c>
      <c r="M17" s="10">
        <v>98.256753770221422</v>
      </c>
      <c r="N17" s="10">
        <v>96.575465562829351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>
        <f t="shared" si="0"/>
        <v>80.674469595897236</v>
      </c>
      <c r="AA17" s="10">
        <f t="shared" si="1"/>
        <v>99.100725389091906</v>
      </c>
      <c r="AB17" s="10">
        <f t="shared" si="2"/>
        <v>57.362743557239149</v>
      </c>
    </row>
    <row r="18" spans="1:28" x14ac:dyDescent="0.25">
      <c r="A18" s="9">
        <v>12</v>
      </c>
      <c r="B18" s="10">
        <v>96.517650497117941</v>
      </c>
      <c r="C18" s="10">
        <v>88.605217614752689</v>
      </c>
      <c r="D18" s="10">
        <v>82.665948335567847</v>
      </c>
      <c r="E18" s="10">
        <v>77.500110101760797</v>
      </c>
      <c r="F18" s="10">
        <v>65.580549592024212</v>
      </c>
      <c r="G18" s="10">
        <v>62.165254744001139</v>
      </c>
      <c r="H18" s="10">
        <v>59.864099621704895</v>
      </c>
      <c r="I18" s="10">
        <v>63.664428451879665</v>
      </c>
      <c r="J18" s="10">
        <v>70.843197374237789</v>
      </c>
      <c r="K18" s="10">
        <v>75.795203739428104</v>
      </c>
      <c r="L18" s="10">
        <v>82.968737558370691</v>
      </c>
      <c r="M18" s="10">
        <v>88.85779948974681</v>
      </c>
      <c r="N18" s="10">
        <v>90.329253075595716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>
        <f t="shared" si="0"/>
        <v>77.335188476629867</v>
      </c>
      <c r="AA18" s="10">
        <f t="shared" si="1"/>
        <v>96.517650497117941</v>
      </c>
      <c r="AB18" s="10">
        <f t="shared" si="2"/>
        <v>59.864099621704895</v>
      </c>
    </row>
    <row r="19" spans="1:28" x14ac:dyDescent="0.25">
      <c r="A19" s="9">
        <v>13</v>
      </c>
      <c r="B19" s="10">
        <v>94.067528369454564</v>
      </c>
      <c r="C19" s="10">
        <v>79.615513693706291</v>
      </c>
      <c r="D19" s="10">
        <v>78.023196869385998</v>
      </c>
      <c r="E19" s="10">
        <v>73.57195967851267</v>
      </c>
      <c r="F19" s="10">
        <v>70.063602699831179</v>
      </c>
      <c r="G19" s="10">
        <v>68.611509620522042</v>
      </c>
      <c r="H19" s="10">
        <v>69.004717151586277</v>
      </c>
      <c r="I19" s="10">
        <v>72.829825080395921</v>
      </c>
      <c r="J19" s="10">
        <v>76.387818684939546</v>
      </c>
      <c r="K19" s="10">
        <v>75.984004934121756</v>
      </c>
      <c r="L19" s="10">
        <v>81.447158103938889</v>
      </c>
      <c r="M19" s="10">
        <v>85.778016219296006</v>
      </c>
      <c r="N19" s="10">
        <v>84.847033412607445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>
        <f t="shared" si="0"/>
        <v>77.710144962946046</v>
      </c>
      <c r="AA19" s="10">
        <f t="shared" si="1"/>
        <v>94.067528369454564</v>
      </c>
      <c r="AB19" s="10">
        <f t="shared" si="2"/>
        <v>68.611509620522042</v>
      </c>
    </row>
    <row r="20" spans="1:28" x14ac:dyDescent="0.25">
      <c r="A20" s="9">
        <v>14</v>
      </c>
      <c r="B20" s="10">
        <v>95.727061625973548</v>
      </c>
      <c r="C20" s="10">
        <v>91.649405643001401</v>
      </c>
      <c r="D20" s="10">
        <v>83.53397272966221</v>
      </c>
      <c r="E20" s="10">
        <v>78.696763824771196</v>
      </c>
      <c r="F20" s="10">
        <v>71.463418455242063</v>
      </c>
      <c r="G20" s="10">
        <v>68.621521496128793</v>
      </c>
      <c r="H20" s="10">
        <v>63.890643783239518</v>
      </c>
      <c r="I20" s="10">
        <v>58.981405006116482</v>
      </c>
      <c r="J20" s="10">
        <v>56.615850668764843</v>
      </c>
      <c r="K20" s="10">
        <v>57.870743447282301</v>
      </c>
      <c r="L20" s="10">
        <v>63.668222607524129</v>
      </c>
      <c r="M20" s="10">
        <v>83.642193622521788</v>
      </c>
      <c r="N20" s="10">
        <v>85.682894066063625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>
        <f t="shared" si="0"/>
        <v>73.849545921253224</v>
      </c>
      <c r="AA20" s="10">
        <f t="shared" si="1"/>
        <v>95.727061625973548</v>
      </c>
      <c r="AB20" s="10">
        <f t="shared" si="2"/>
        <v>56.615850668764843</v>
      </c>
    </row>
    <row r="21" spans="1:28" x14ac:dyDescent="0.25">
      <c r="A21" s="9">
        <v>15</v>
      </c>
      <c r="B21" s="10">
        <v>90.830898396745354</v>
      </c>
      <c r="C21" s="10">
        <v>84.042334277741404</v>
      </c>
      <c r="D21" s="10">
        <v>77.831603044410059</v>
      </c>
      <c r="E21" s="10">
        <v>75.383644632398301</v>
      </c>
      <c r="F21" s="10">
        <v>71.936121520927685</v>
      </c>
      <c r="G21" s="10">
        <v>70.063602699831179</v>
      </c>
      <c r="H21" s="10">
        <v>71.327459226856419</v>
      </c>
      <c r="I21" s="10">
        <v>72.492860597196724</v>
      </c>
      <c r="J21" s="10">
        <v>75.209916123495276</v>
      </c>
      <c r="K21" s="10">
        <v>74.8972604533881</v>
      </c>
      <c r="L21" s="10">
        <v>72.026837161300264</v>
      </c>
      <c r="M21" s="10">
        <v>78.557482738561959</v>
      </c>
      <c r="N21" s="10">
        <v>83.570239157393459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>
        <f t="shared" si="0"/>
        <v>76.782327694634304</v>
      </c>
      <c r="AA21" s="10">
        <f t="shared" si="1"/>
        <v>90.830898396745354</v>
      </c>
      <c r="AB21" s="10">
        <f t="shared" si="2"/>
        <v>70.063602699831179</v>
      </c>
    </row>
    <row r="22" spans="1:28" x14ac:dyDescent="0.25">
      <c r="A22" s="9">
        <v>16</v>
      </c>
      <c r="B22" s="10">
        <v>94.011027612516884</v>
      </c>
      <c r="C22" s="10">
        <v>94.081459885738553</v>
      </c>
      <c r="D22" s="10">
        <v>91.649405643001401</v>
      </c>
      <c r="E22" s="10">
        <v>86.143233317917876</v>
      </c>
      <c r="F22" s="10">
        <v>82.349831095541973</v>
      </c>
      <c r="G22" s="10">
        <v>77.97739324005515</v>
      </c>
      <c r="H22" s="10">
        <v>75.290065632377861</v>
      </c>
      <c r="I22" s="10">
        <v>77.10835778197287</v>
      </c>
      <c r="J22" s="10">
        <v>75.009938428392744</v>
      </c>
      <c r="K22" s="10">
        <v>77.283028775778263</v>
      </c>
      <c r="L22" s="10">
        <v>82.430151826947267</v>
      </c>
      <c r="M22" s="10">
        <v>87.643998693152966</v>
      </c>
      <c r="N22" s="10">
        <v>88.365885432947593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>
        <f t="shared" si="0"/>
        <v>83.795675182026244</v>
      </c>
      <c r="AA22" s="10">
        <f t="shared" si="1"/>
        <v>94.081459885738553</v>
      </c>
      <c r="AB22" s="10">
        <f t="shared" si="2"/>
        <v>75.009938428392744</v>
      </c>
    </row>
    <row r="23" spans="1:28" x14ac:dyDescent="0.25">
      <c r="A23" s="9">
        <v>17</v>
      </c>
      <c r="B23" s="10">
        <v>93.017286667332172</v>
      </c>
      <c r="C23" s="10">
        <v>89.074999225570892</v>
      </c>
      <c r="D23" s="10">
        <v>82.349831095541973</v>
      </c>
      <c r="E23" s="10">
        <v>72.882990935095052</v>
      </c>
      <c r="F23" s="10">
        <v>63.856090567620392</v>
      </c>
      <c r="G23" s="10">
        <v>64.37653120875278</v>
      </c>
      <c r="H23" s="10">
        <v>62.327271178886356</v>
      </c>
      <c r="I23" s="10">
        <v>65.87148937682656</v>
      </c>
      <c r="J23" s="10">
        <v>69.432938262154266</v>
      </c>
      <c r="K23" s="10">
        <v>75.880357993618631</v>
      </c>
      <c r="L23" s="10">
        <v>79.929597624557786</v>
      </c>
      <c r="M23" s="10">
        <v>84.184813194407482</v>
      </c>
      <c r="N23" s="10">
        <v>87.14137533712541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>
        <f>AVERAGE(B23:N23)</f>
        <v>76.178890205191522</v>
      </c>
      <c r="AA23" s="10">
        <f t="shared" si="1"/>
        <v>93.017286667332172</v>
      </c>
      <c r="AB23" s="10">
        <f t="shared" si="2"/>
        <v>62.327271178886356</v>
      </c>
    </row>
    <row r="24" spans="1:28" x14ac:dyDescent="0.25">
      <c r="A24" s="9">
        <v>18</v>
      </c>
      <c r="B24" s="10">
        <v>84.971807629968694</v>
      </c>
      <c r="C24" s="10">
        <v>74.604662310281469</v>
      </c>
      <c r="D24" s="10">
        <v>75.23464770141122</v>
      </c>
      <c r="E24" s="10">
        <v>73.531244067092288</v>
      </c>
      <c r="F24" s="10">
        <v>70.659857015026191</v>
      </c>
      <c r="G24" s="10">
        <v>66.730466106778579</v>
      </c>
      <c r="H24" s="10">
        <v>66.153150333807702</v>
      </c>
      <c r="I24" s="10">
        <v>67.580321726852745</v>
      </c>
      <c r="J24" s="10">
        <v>68.750583528774655</v>
      </c>
      <c r="K24" s="10">
        <v>72.262295922601993</v>
      </c>
      <c r="L24" s="10">
        <v>75.34518411408348</v>
      </c>
      <c r="M24" s="10">
        <v>79.477230089141216</v>
      </c>
      <c r="N24" s="10">
        <v>82.349831095541973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>
        <f t="shared" si="0"/>
        <v>73.665483203181708</v>
      </c>
      <c r="AA24" s="10">
        <f t="shared" si="1"/>
        <v>84.971807629968694</v>
      </c>
      <c r="AB24" s="10">
        <f t="shared" si="2"/>
        <v>66.153150333807702</v>
      </c>
    </row>
    <row r="25" spans="1:28" x14ac:dyDescent="0.25">
      <c r="A25" s="9">
        <v>19</v>
      </c>
      <c r="B25" s="10">
        <v>89.625736066507073</v>
      </c>
      <c r="C25" s="10">
        <v>78.230513693863685</v>
      </c>
      <c r="D25" s="10">
        <v>70.01827129653023</v>
      </c>
      <c r="E25" s="10">
        <v>62.979556869656371</v>
      </c>
      <c r="F25" s="10">
        <v>61.070389720461471</v>
      </c>
      <c r="G25" s="10">
        <v>60.025341146773712</v>
      </c>
      <c r="H25" s="10">
        <v>56.185805578015469</v>
      </c>
      <c r="I25" s="10">
        <v>55.546408050606722</v>
      </c>
      <c r="J25" s="10">
        <v>61.550221146201231</v>
      </c>
      <c r="K25" s="10">
        <v>65.296272058668848</v>
      </c>
      <c r="L25" s="10">
        <v>67.561957351833584</v>
      </c>
      <c r="M25" s="10">
        <v>74.788523258561597</v>
      </c>
      <c r="N25" s="10">
        <v>81.66442898841882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>
        <f t="shared" si="0"/>
        <v>68.041801940469142</v>
      </c>
      <c r="AA25" s="10">
        <f t="shared" si="1"/>
        <v>89.625736066507073</v>
      </c>
      <c r="AB25" s="10">
        <f t="shared" si="2"/>
        <v>55.546408050606722</v>
      </c>
    </row>
    <row r="26" spans="1:28" x14ac:dyDescent="0.25">
      <c r="A26" s="9">
        <v>20</v>
      </c>
      <c r="B26" s="10">
        <v>91.014171761567169</v>
      </c>
      <c r="C26" s="10">
        <v>82.601862644034256</v>
      </c>
      <c r="D26" s="10">
        <v>73.542130193208394</v>
      </c>
      <c r="E26" s="10">
        <v>69.786703339069575</v>
      </c>
      <c r="F26" s="10">
        <v>63.593304274154171</v>
      </c>
      <c r="G26" s="10">
        <v>63.558266287249367</v>
      </c>
      <c r="H26" s="10">
        <v>58.03768868221163</v>
      </c>
      <c r="I26" s="10">
        <v>64.181859698380748</v>
      </c>
      <c r="J26" s="10">
        <v>64.449335347011726</v>
      </c>
      <c r="K26" s="10">
        <v>65.290037489306101</v>
      </c>
      <c r="L26" s="10">
        <v>72.057103866417009</v>
      </c>
      <c r="M26" s="10">
        <v>80.231217829385642</v>
      </c>
      <c r="N26" s="10">
        <v>80.636327756459053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>
        <f t="shared" si="0"/>
        <v>71.460000705265756</v>
      </c>
      <c r="AA26" s="10">
        <f t="shared" si="1"/>
        <v>91.014171761567169</v>
      </c>
      <c r="AB26" s="10">
        <f t="shared" si="2"/>
        <v>58.03768868221163</v>
      </c>
    </row>
    <row r="27" spans="1:28" x14ac:dyDescent="0.25">
      <c r="A27" s="9">
        <v>21</v>
      </c>
      <c r="B27" s="10">
        <v>88.72574623443991</v>
      </c>
      <c r="C27" s="10">
        <v>83.400897002914547</v>
      </c>
      <c r="D27" s="10">
        <v>75.637036951781127</v>
      </c>
      <c r="E27" s="10">
        <v>76.07295753486018</v>
      </c>
      <c r="F27" s="10">
        <v>70.149349812529437</v>
      </c>
      <c r="G27" s="10">
        <v>66.759819879049701</v>
      </c>
      <c r="H27" s="10">
        <v>64.427233409822534</v>
      </c>
      <c r="I27" s="10">
        <v>66.759819879049701</v>
      </c>
      <c r="J27" s="10">
        <v>69.03825932412856</v>
      </c>
      <c r="K27" s="10">
        <v>71.415854121030847</v>
      </c>
      <c r="L27" s="10">
        <v>75.34518411408348</v>
      </c>
      <c r="M27" s="10">
        <v>76.594482950064602</v>
      </c>
      <c r="N27" s="10">
        <v>76.488327844307364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>
        <f t="shared" si="0"/>
        <v>73.908843773697086</v>
      </c>
      <c r="AA27" s="10">
        <f t="shared" si="1"/>
        <v>88.72574623443991</v>
      </c>
      <c r="AB27" s="10">
        <f t="shared" si="2"/>
        <v>64.427233409822534</v>
      </c>
    </row>
    <row r="28" spans="1:28" x14ac:dyDescent="0.25">
      <c r="A28" s="9">
        <v>22</v>
      </c>
      <c r="B28" s="10">
        <v>86.529677058073943</v>
      </c>
      <c r="C28" s="10">
        <v>77.569106103262897</v>
      </c>
      <c r="D28" s="10">
        <v>70.389814269489818</v>
      </c>
      <c r="E28" s="10">
        <v>72.582631191483216</v>
      </c>
      <c r="F28" s="10">
        <v>75.669724273595236</v>
      </c>
      <c r="G28" s="10">
        <v>71.907229173052954</v>
      </c>
      <c r="H28" s="10">
        <v>71.523596986591087</v>
      </c>
      <c r="I28" s="10">
        <v>67.832620950968021</v>
      </c>
      <c r="J28" s="10">
        <v>69.087682892353442</v>
      </c>
      <c r="K28" s="10">
        <v>70.534262536178971</v>
      </c>
      <c r="L28" s="10">
        <v>70.779951324060946</v>
      </c>
      <c r="M28" s="10">
        <v>74.563259642952502</v>
      </c>
      <c r="N28" s="10">
        <v>82.186531997321282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>
        <f t="shared" si="0"/>
        <v>73.93508372302955</v>
      </c>
      <c r="AA28" s="10">
        <f t="shared" si="1"/>
        <v>86.529677058073943</v>
      </c>
      <c r="AB28" s="10">
        <f t="shared" si="2"/>
        <v>67.832620950968021</v>
      </c>
    </row>
    <row r="29" spans="1:28" x14ac:dyDescent="0.25">
      <c r="A29" s="9">
        <v>23</v>
      </c>
      <c r="B29" s="10">
        <v>88.835933456665344</v>
      </c>
      <c r="C29" s="10">
        <v>82.725204636653288</v>
      </c>
      <c r="D29" s="10">
        <v>79.193789527509622</v>
      </c>
      <c r="E29" s="10">
        <v>75.562705752333045</v>
      </c>
      <c r="F29" s="10">
        <v>72.086168209132722</v>
      </c>
      <c r="G29" s="10">
        <v>72.82944435312838</v>
      </c>
      <c r="H29" s="10">
        <v>71.463418455242063</v>
      </c>
      <c r="I29" s="10">
        <v>72.026837161300264</v>
      </c>
      <c r="J29" s="10">
        <v>72.300474542873687</v>
      </c>
      <c r="K29" s="10">
        <v>72.763816290649274</v>
      </c>
      <c r="L29" s="10">
        <v>74.128057490557737</v>
      </c>
      <c r="M29" s="10">
        <v>77.97739324005515</v>
      </c>
      <c r="N29" s="10">
        <v>80.814053293615203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>
        <f t="shared" si="0"/>
        <v>76.362099723824286</v>
      </c>
      <c r="AA29" s="10">
        <f t="shared" si="1"/>
        <v>88.835933456665344</v>
      </c>
      <c r="AB29" s="10">
        <f t="shared" si="2"/>
        <v>71.463418455242063</v>
      </c>
    </row>
    <row r="30" spans="1:28" x14ac:dyDescent="0.25">
      <c r="A30" s="9">
        <v>24</v>
      </c>
      <c r="B30" s="10">
        <v>89.775924385931475</v>
      </c>
      <c r="C30" s="10">
        <v>84.460921108132155</v>
      </c>
      <c r="D30" s="10">
        <v>66.49413697499827</v>
      </c>
      <c r="E30" s="10">
        <v>63.501290667105025</v>
      </c>
      <c r="F30" s="10">
        <v>59.518423706502645</v>
      </c>
      <c r="G30" s="10">
        <v>58.23676990675343</v>
      </c>
      <c r="H30" s="10">
        <v>58.41118307464204</v>
      </c>
      <c r="I30" s="10">
        <v>55.106966787508171</v>
      </c>
      <c r="J30" s="10">
        <v>54.731962240741602</v>
      </c>
      <c r="K30" s="10">
        <v>59.813599785421601</v>
      </c>
      <c r="L30" s="10">
        <v>65.270139876025809</v>
      </c>
      <c r="M30" s="10">
        <v>67.746307360164394</v>
      </c>
      <c r="N30" s="10">
        <v>71.571977170878682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>
        <f t="shared" si="0"/>
        <v>65.741507926523482</v>
      </c>
      <c r="AA30" s="10">
        <f t="shared" si="1"/>
        <v>89.775924385931475</v>
      </c>
      <c r="AB30" s="10">
        <f t="shared" si="2"/>
        <v>54.731962240741602</v>
      </c>
    </row>
    <row r="31" spans="1:28" x14ac:dyDescent="0.25">
      <c r="A31" s="9">
        <v>25</v>
      </c>
      <c r="B31" s="10">
        <v>86.285090921036357</v>
      </c>
      <c r="C31" s="10">
        <v>78.824136822556795</v>
      </c>
      <c r="D31" s="10">
        <v>58.650303344893992</v>
      </c>
      <c r="E31" s="10">
        <v>53.798852295149558</v>
      </c>
      <c r="F31" s="10">
        <v>47.809546954082847</v>
      </c>
      <c r="G31" s="10">
        <v>47.969078859259398</v>
      </c>
      <c r="H31" s="10">
        <v>45.297871873676769</v>
      </c>
      <c r="I31" s="10">
        <v>45.755372825872485</v>
      </c>
      <c r="J31" s="10">
        <v>48.556001900419872</v>
      </c>
      <c r="K31" s="10">
        <v>49.305903670602291</v>
      </c>
      <c r="L31" s="10">
        <v>55.087737516457025</v>
      </c>
      <c r="M31" s="10">
        <v>55.586894078473868</v>
      </c>
      <c r="N31" s="10">
        <v>69.070560229128318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>
        <f t="shared" si="0"/>
        <v>57.076719330123822</v>
      </c>
      <c r="AA31" s="10">
        <f t="shared" si="1"/>
        <v>86.285090921036357</v>
      </c>
      <c r="AB31" s="10">
        <f t="shared" si="2"/>
        <v>45.297871873676769</v>
      </c>
    </row>
    <row r="32" spans="1:28" x14ac:dyDescent="0.25">
      <c r="A32" s="9">
        <v>26</v>
      </c>
      <c r="B32" s="10">
        <v>80.843039214177125</v>
      </c>
      <c r="C32" s="10">
        <v>71.927675660060487</v>
      </c>
      <c r="D32" s="10">
        <v>68.177287980447389</v>
      </c>
      <c r="E32" s="10">
        <v>62.342375867879063</v>
      </c>
      <c r="F32" s="10">
        <v>57.056499215709991</v>
      </c>
      <c r="G32" s="10">
        <v>54.154268834885229</v>
      </c>
      <c r="H32" s="10">
        <v>52.921844535582792</v>
      </c>
      <c r="I32" s="10">
        <v>53.106245879851933</v>
      </c>
      <c r="J32" s="10">
        <v>51.171497210269635</v>
      </c>
      <c r="K32" s="10">
        <v>57.529889649619605</v>
      </c>
      <c r="L32" s="10">
        <v>68.491928772006816</v>
      </c>
      <c r="M32" s="10">
        <v>77.97739324005515</v>
      </c>
      <c r="N32" s="10">
        <v>79.383780323654364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>
        <f t="shared" si="0"/>
        <v>64.237209721861504</v>
      </c>
      <c r="AA32" s="10">
        <f t="shared" si="1"/>
        <v>80.843039214177125</v>
      </c>
      <c r="AB32" s="10">
        <f t="shared" si="2"/>
        <v>51.171497210269635</v>
      </c>
    </row>
    <row r="33" spans="1:28" x14ac:dyDescent="0.25">
      <c r="A33" s="9">
        <v>27</v>
      </c>
      <c r="B33" s="10">
        <v>90.232985226611333</v>
      </c>
      <c r="C33" s="10">
        <v>84.753018170331103</v>
      </c>
      <c r="D33" s="10">
        <v>71.696868282755204</v>
      </c>
      <c r="E33" s="10">
        <v>71.033209316593911</v>
      </c>
      <c r="F33" s="10">
        <v>60.579675158075041</v>
      </c>
      <c r="G33" s="10">
        <v>53.106245879851933</v>
      </c>
      <c r="H33" s="10">
        <v>47.048219445919578</v>
      </c>
      <c r="I33" s="10">
        <v>60.184921376839092</v>
      </c>
      <c r="J33" s="10">
        <v>67.447127204143726</v>
      </c>
      <c r="K33" s="10">
        <v>75.436041013344564</v>
      </c>
      <c r="L33" s="10">
        <v>79.103329133103074</v>
      </c>
      <c r="M33" s="10">
        <v>83.27457998973739</v>
      </c>
      <c r="N33" s="10">
        <v>86.143233317917876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>
        <f t="shared" si="0"/>
        <v>71.541496424247981</v>
      </c>
      <c r="AA33" s="10">
        <f t="shared" si="1"/>
        <v>90.232985226611333</v>
      </c>
      <c r="AB33" s="10">
        <f t="shared" si="2"/>
        <v>47.048219445919578</v>
      </c>
    </row>
    <row r="34" spans="1:28" x14ac:dyDescent="0.25">
      <c r="A34" s="9">
        <v>28</v>
      </c>
      <c r="B34" s="10">
        <v>93.803052460214147</v>
      </c>
      <c r="C34" s="10">
        <v>89.873288097977863</v>
      </c>
      <c r="D34" s="10">
        <v>82.665948335567847</v>
      </c>
      <c r="E34" s="10">
        <v>73.290208372739471</v>
      </c>
      <c r="F34" s="10">
        <v>69.625624251436989</v>
      </c>
      <c r="G34" s="10">
        <v>61.701086461119935</v>
      </c>
      <c r="H34" s="10">
        <v>60.789978564915728</v>
      </c>
      <c r="I34" s="10">
        <v>67.268567437225485</v>
      </c>
      <c r="J34" s="10">
        <v>70.063602699831179</v>
      </c>
      <c r="K34" s="10">
        <v>70.043862627580168</v>
      </c>
      <c r="L34" s="10">
        <v>76.387735371476012</v>
      </c>
      <c r="M34" s="10">
        <v>84.042334277741404</v>
      </c>
      <c r="N34" s="10">
        <v>86.0467194673015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>
        <f t="shared" si="0"/>
        <v>75.815539109625206</v>
      </c>
      <c r="AA34" s="10">
        <f t="shared" si="1"/>
        <v>93.803052460214147</v>
      </c>
      <c r="AB34" s="10">
        <f t="shared" si="2"/>
        <v>60.789978564915728</v>
      </c>
    </row>
    <row r="35" spans="1:28" x14ac:dyDescent="0.25">
      <c r="A35" s="9">
        <v>29</v>
      </c>
      <c r="B35" s="10">
        <v>96.348771716191735</v>
      </c>
      <c r="C35" s="10">
        <v>88.085660743725455</v>
      </c>
      <c r="D35" s="10">
        <v>82.268628724785273</v>
      </c>
      <c r="E35" s="10">
        <v>72.703746635612319</v>
      </c>
      <c r="F35" s="10">
        <v>69.432938262154266</v>
      </c>
      <c r="G35" s="10">
        <v>67.002309260097988</v>
      </c>
      <c r="H35" s="10">
        <v>61.545869858525911</v>
      </c>
      <c r="I35" s="10">
        <v>66.564776169429933</v>
      </c>
      <c r="J35" s="10">
        <v>66.798959026590651</v>
      </c>
      <c r="K35" s="10">
        <v>66.759819879049701</v>
      </c>
      <c r="L35" s="10">
        <v>70.407325925271124</v>
      </c>
      <c r="M35" s="10">
        <v>80.987934542814884</v>
      </c>
      <c r="N35" s="10">
        <v>83.822740725063611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0">
        <f t="shared" si="0"/>
        <v>74.82534472840868</v>
      </c>
      <c r="AA35" s="10">
        <f t="shared" si="1"/>
        <v>96.348771716191735</v>
      </c>
      <c r="AB35" s="10">
        <f t="shared" si="2"/>
        <v>61.545869858525911</v>
      </c>
    </row>
    <row r="36" spans="1:28" x14ac:dyDescent="0.25">
      <c r="A36" s="9">
        <v>30</v>
      </c>
      <c r="B36" s="10">
        <v>89.574536020538488</v>
      </c>
      <c r="C36" s="10">
        <v>84.899692468714505</v>
      </c>
      <c r="D36" s="10">
        <v>77.231520093453483</v>
      </c>
      <c r="E36" s="10">
        <v>73.955601999431096</v>
      </c>
      <c r="F36" s="10">
        <v>66.097573900358</v>
      </c>
      <c r="G36" s="10">
        <v>60.445355667227616</v>
      </c>
      <c r="H36" s="10">
        <v>60.313839144483104</v>
      </c>
      <c r="I36" s="10">
        <v>60.92873461851174</v>
      </c>
      <c r="J36" s="10">
        <v>64.449335347011726</v>
      </c>
      <c r="K36" s="10">
        <v>62.900995842156604</v>
      </c>
      <c r="L36" s="10">
        <v>72.582631191483216</v>
      </c>
      <c r="M36" s="10">
        <v>78.531036461305234</v>
      </c>
      <c r="N36" s="10">
        <v>75.064537456117165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>
        <f t="shared" si="0"/>
        <v>71.30579924698398</v>
      </c>
      <c r="AA36" s="10">
        <f t="shared" si="1"/>
        <v>89.574536020538488</v>
      </c>
      <c r="AB36" s="10">
        <f t="shared" si="2"/>
        <v>60.313839144483104</v>
      </c>
    </row>
    <row r="37" spans="1:28" ht="15.75" thickBot="1" x14ac:dyDescent="0.3">
      <c r="A37" s="12">
        <v>31</v>
      </c>
      <c r="B37" s="13">
        <v>90.873592902033707</v>
      </c>
      <c r="C37" s="13">
        <v>83.200466029126702</v>
      </c>
      <c r="D37" s="13">
        <v>76.916484020560475</v>
      </c>
      <c r="E37" s="13">
        <v>65.732710568710175</v>
      </c>
      <c r="F37" s="13">
        <v>65.583841814763559</v>
      </c>
      <c r="G37" s="13">
        <v>64.155823597395511</v>
      </c>
      <c r="H37" s="13">
        <v>64.723001126635779</v>
      </c>
      <c r="I37" s="13">
        <v>63.890643783239518</v>
      </c>
      <c r="J37" s="13">
        <v>65.580549592024212</v>
      </c>
      <c r="K37" s="13">
        <v>68.827041069691163</v>
      </c>
      <c r="L37" s="13">
        <v>72.942100457355679</v>
      </c>
      <c r="M37" s="13">
        <v>73.661877482589802</v>
      </c>
      <c r="N37" s="13">
        <v>80.72567796841399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3">
        <f t="shared" si="0"/>
        <v>72.062600800964645</v>
      </c>
      <c r="AA37" s="13">
        <f t="shared" si="1"/>
        <v>90.873592902033707</v>
      </c>
      <c r="AB37" s="13">
        <f t="shared" si="2"/>
        <v>63.890643783239518</v>
      </c>
    </row>
    <row r="38" spans="1:28" ht="16.5" thickTop="1" thickBot="1" x14ac:dyDescent="0.3">
      <c r="A38" s="35" t="s">
        <v>27</v>
      </c>
      <c r="B38" s="36">
        <f t="shared" ref="B38:N38" si="3">MAX(B7:B37)</f>
        <v>96.517650497117941</v>
      </c>
      <c r="C38" s="36">
        <f t="shared" si="3"/>
        <v>94.081459885738553</v>
      </c>
      <c r="D38" s="36">
        <f t="shared" si="3"/>
        <v>91.649405643001401</v>
      </c>
      <c r="E38" s="36">
        <f t="shared" si="3"/>
        <v>86.143233317917876</v>
      </c>
      <c r="F38" s="36">
        <f t="shared" si="3"/>
        <v>82.349831095541973</v>
      </c>
      <c r="G38" s="36">
        <f t="shared" si="3"/>
        <v>77.97739324005515</v>
      </c>
      <c r="H38" s="36">
        <f t="shared" si="3"/>
        <v>87.793543911889643</v>
      </c>
      <c r="I38" s="36">
        <f t="shared" si="3"/>
        <v>77.10835778197287</v>
      </c>
      <c r="J38" s="36">
        <f t="shared" si="3"/>
        <v>88.553044028618061</v>
      </c>
      <c r="K38" s="36">
        <f t="shared" si="3"/>
        <v>99.100725389091906</v>
      </c>
      <c r="L38" s="36">
        <f t="shared" si="3"/>
        <v>96.526047988495392</v>
      </c>
      <c r="M38" s="36">
        <f t="shared" si="3"/>
        <v>98.256753770221422</v>
      </c>
      <c r="N38" s="36">
        <f t="shared" si="3"/>
        <v>96.575465562829351</v>
      </c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>
        <f>MAX(Z7:Z37)</f>
        <v>83.795675182026244</v>
      </c>
      <c r="AA38" s="38">
        <f t="shared" ref="AA38:AB38" si="4">MAX(AA7:AA37)</f>
        <v>99.100725389091906</v>
      </c>
      <c r="AB38" s="38">
        <f t="shared" si="4"/>
        <v>75.009938428392744</v>
      </c>
    </row>
    <row r="39" spans="1:28" ht="16.5" thickTop="1" thickBot="1" x14ac:dyDescent="0.3">
      <c r="A39" s="35" t="s">
        <v>28</v>
      </c>
      <c r="B39" s="36">
        <f t="shared" ref="B39:N39" si="5">MIN(B7:B37)</f>
        <v>80.843039214177125</v>
      </c>
      <c r="C39" s="36">
        <f t="shared" si="5"/>
        <v>71.927675660060487</v>
      </c>
      <c r="D39" s="36">
        <f t="shared" si="5"/>
        <v>58.650303344893992</v>
      </c>
      <c r="E39" s="36">
        <f t="shared" si="5"/>
        <v>53.798852295149558</v>
      </c>
      <c r="F39" s="36">
        <f t="shared" si="5"/>
        <v>47.809546954082847</v>
      </c>
      <c r="G39" s="36">
        <f t="shared" si="5"/>
        <v>47.969078859259398</v>
      </c>
      <c r="H39" s="36">
        <f t="shared" si="5"/>
        <v>45.297871873676769</v>
      </c>
      <c r="I39" s="36">
        <f t="shared" si="5"/>
        <v>45.755372825872485</v>
      </c>
      <c r="J39" s="36">
        <f t="shared" si="5"/>
        <v>48.556001900419872</v>
      </c>
      <c r="K39" s="36">
        <f t="shared" si="5"/>
        <v>49.305903670602291</v>
      </c>
      <c r="L39" s="36">
        <f t="shared" si="5"/>
        <v>55.087737516457025</v>
      </c>
      <c r="M39" s="36">
        <f t="shared" si="5"/>
        <v>55.586894078473868</v>
      </c>
      <c r="N39" s="36">
        <f t="shared" si="5"/>
        <v>69.070560229128318</v>
      </c>
      <c r="O39" s="37"/>
      <c r="P39" s="37"/>
      <c r="Q39" s="37"/>
      <c r="R39" s="33"/>
      <c r="S39" s="34"/>
      <c r="T39" s="33"/>
      <c r="U39" s="33"/>
      <c r="V39" s="33"/>
      <c r="W39" s="33"/>
      <c r="X39" s="33"/>
      <c r="Y39" s="33"/>
      <c r="Z39" s="38">
        <f>MIN(Z8:Z38)</f>
        <v>57.076719330123822</v>
      </c>
      <c r="AA39" s="38">
        <f t="shared" ref="AA39:AB39" si="6">MIN(AA8:AA38)</f>
        <v>80.843039214177125</v>
      </c>
      <c r="AB39" s="38">
        <f t="shared" si="6"/>
        <v>45.297871873676769</v>
      </c>
    </row>
    <row r="40" spans="1:28" ht="15.75" thickTop="1" x14ac:dyDescent="0.25">
      <c r="A40" s="35" t="s">
        <v>35</v>
      </c>
      <c r="B40" s="36">
        <f t="shared" ref="B40:N40" si="7">AVERAGE(B7:B37)</f>
        <v>89.586207877107043</v>
      </c>
      <c r="C40" s="36">
        <f t="shared" si="7"/>
        <v>83.358495669432585</v>
      </c>
      <c r="D40" s="36">
        <f t="shared" si="7"/>
        <v>76.009240003859887</v>
      </c>
      <c r="E40" s="36">
        <f t="shared" si="7"/>
        <v>70.519421312150058</v>
      </c>
      <c r="F40" s="36">
        <f t="shared" si="7"/>
        <v>66.601223337440985</v>
      </c>
      <c r="G40" s="36">
        <f t="shared" si="7"/>
        <v>63.914447063160509</v>
      </c>
      <c r="H40" s="36">
        <f t="shared" si="7"/>
        <v>63.814028265529764</v>
      </c>
      <c r="I40" s="36">
        <f t="shared" si="7"/>
        <v>64.338466752012437</v>
      </c>
      <c r="J40" s="36">
        <f t="shared" si="7"/>
        <v>67.976838739350924</v>
      </c>
      <c r="K40" s="36">
        <f t="shared" si="7"/>
        <v>70.222119164357665</v>
      </c>
      <c r="L40" s="36">
        <f t="shared" si="7"/>
        <v>74.455848930720137</v>
      </c>
      <c r="M40" s="36">
        <f t="shared" si="7"/>
        <v>79.694441007743279</v>
      </c>
      <c r="N40" s="36">
        <f t="shared" si="7"/>
        <v>82.764107758570745</v>
      </c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8">
        <f>AVERAGE(Z9:Z39)</f>
        <v>73.194150865731928</v>
      </c>
      <c r="AA40" s="38">
        <f t="shared" ref="AA40:AB40" si="8">AVERAGE(AA9:AA39)</f>
        <v>90.43780047192142</v>
      </c>
      <c r="AB40" s="38">
        <f t="shared" si="8"/>
        <v>60.878773989762884</v>
      </c>
    </row>
    <row r="41" spans="1:28" x14ac:dyDescent="0.25">
      <c r="A41" s="15"/>
      <c r="AA41" s="16"/>
      <c r="AB41" s="16"/>
    </row>
    <row r="42" spans="1:28" x14ac:dyDescent="0.25">
      <c r="A42" s="19"/>
      <c r="B42" s="19"/>
      <c r="C42" s="16"/>
      <c r="D42" s="16"/>
      <c r="E42" s="16"/>
      <c r="F42" s="19"/>
      <c r="G42" s="57"/>
      <c r="H42" s="57"/>
      <c r="I42" s="57"/>
      <c r="J42" s="57"/>
      <c r="K42" s="57"/>
      <c r="L42" s="57"/>
      <c r="M42" s="20"/>
      <c r="N42" s="20"/>
      <c r="O42" s="20"/>
      <c r="P42" s="20"/>
      <c r="Q42" s="20"/>
      <c r="R42" s="21"/>
      <c r="S42" s="22"/>
      <c r="T42" s="57"/>
      <c r="U42" s="57"/>
      <c r="V42" s="57"/>
      <c r="W42" s="57"/>
      <c r="X42" s="57"/>
      <c r="Y42" s="57"/>
      <c r="Z42" s="57"/>
      <c r="AA42" s="16"/>
      <c r="AB42" s="16"/>
    </row>
    <row r="43" spans="1:28" x14ac:dyDescent="0.25">
      <c r="A43" s="15" t="s">
        <v>30</v>
      </c>
      <c r="AA43" s="16"/>
      <c r="AB43" s="16"/>
    </row>
    <row r="44" spans="1:28" x14ac:dyDescent="0.25">
      <c r="A44" s="17"/>
      <c r="B44" s="18" t="s">
        <v>31</v>
      </c>
      <c r="C44" s="16"/>
      <c r="D44" s="16"/>
      <c r="E44" s="16"/>
      <c r="F44" s="19"/>
      <c r="G44" s="57"/>
      <c r="H44" s="57"/>
      <c r="I44" s="57"/>
      <c r="J44" s="57"/>
      <c r="K44" s="57"/>
      <c r="L44" s="57"/>
      <c r="M44" s="20"/>
      <c r="N44" s="20"/>
      <c r="O44" s="20"/>
      <c r="P44" s="20"/>
      <c r="Q44" s="20"/>
      <c r="R44" s="21"/>
      <c r="S44" s="22"/>
      <c r="AA44" s="16"/>
      <c r="AB44" s="16"/>
    </row>
    <row r="45" spans="1:28" x14ac:dyDescent="0.25">
      <c r="A45" s="19"/>
      <c r="B45" s="19"/>
      <c r="C45" s="16"/>
      <c r="D45" s="16"/>
      <c r="E45" s="16"/>
      <c r="F45" s="19"/>
      <c r="G45" s="57"/>
      <c r="H45" s="57"/>
      <c r="I45" s="57"/>
      <c r="J45" s="57"/>
      <c r="K45" s="57"/>
      <c r="L45" s="57"/>
      <c r="M45" s="20"/>
      <c r="N45" s="20"/>
      <c r="O45" s="20"/>
      <c r="P45" s="20"/>
      <c r="Q45" s="20"/>
      <c r="R45" s="21"/>
      <c r="S45" s="22"/>
      <c r="AB45" s="16"/>
    </row>
    <row r="46" spans="1:28" x14ac:dyDescent="0.25">
      <c r="A46" s="19"/>
      <c r="B46" s="19"/>
      <c r="C46" s="16"/>
      <c r="D46" s="16"/>
      <c r="E46" s="16"/>
      <c r="F46" s="19"/>
      <c r="G46" s="57"/>
      <c r="H46" s="57"/>
      <c r="I46" s="57"/>
      <c r="J46" s="57"/>
      <c r="K46" s="57"/>
      <c r="L46" s="57"/>
      <c r="M46" s="20"/>
      <c r="N46" s="20"/>
      <c r="O46" s="20"/>
      <c r="P46" s="20"/>
      <c r="Q46" s="20"/>
      <c r="R46" s="21"/>
      <c r="S46" s="22"/>
      <c r="Y46" s="21" t="s">
        <v>39</v>
      </c>
      <c r="Z46" s="21"/>
      <c r="AA46" s="21"/>
      <c r="AB46" s="16"/>
    </row>
    <row r="47" spans="1:28" x14ac:dyDescent="0.25">
      <c r="A47" s="19"/>
      <c r="B47" s="19"/>
      <c r="C47" s="16"/>
      <c r="D47" s="16"/>
      <c r="E47" s="16"/>
      <c r="F47" s="19"/>
      <c r="G47" s="57"/>
      <c r="H47" s="57"/>
      <c r="I47" s="57"/>
      <c r="J47" s="57"/>
      <c r="K47" s="57"/>
      <c r="L47" s="57"/>
      <c r="M47" s="20"/>
      <c r="N47" s="20"/>
      <c r="O47" s="20"/>
      <c r="P47" s="20"/>
      <c r="Q47" s="20"/>
      <c r="R47" s="21"/>
      <c r="S47" s="22"/>
      <c r="Y47" s="21"/>
      <c r="Z47" s="21"/>
      <c r="AA47" s="21"/>
      <c r="AB47" s="16"/>
    </row>
    <row r="48" spans="1:28" x14ac:dyDescent="0.25">
      <c r="A48" s="19"/>
      <c r="B48" s="19"/>
      <c r="C48" s="16"/>
      <c r="D48" s="16"/>
      <c r="E48" s="16"/>
      <c r="F48" s="19"/>
      <c r="G48" s="21"/>
      <c r="H48" s="21"/>
      <c r="I48" s="21"/>
      <c r="J48" s="21"/>
      <c r="K48" s="21"/>
      <c r="L48" s="21"/>
      <c r="M48" s="20"/>
      <c r="N48" s="20"/>
      <c r="O48" s="20"/>
      <c r="P48" s="20"/>
      <c r="Q48" s="20"/>
      <c r="R48" s="21"/>
      <c r="S48" s="22"/>
      <c r="Y48" s="21" t="str">
        <f>[1]COVER!X4</f>
        <v>PEMBUAT LAPORAN,</v>
      </c>
      <c r="Z48" s="21"/>
      <c r="AA48" s="21"/>
      <c r="AB48" s="16"/>
    </row>
    <row r="49" spans="1:27" x14ac:dyDescent="0.25">
      <c r="A49" s="19"/>
      <c r="B49" s="19"/>
      <c r="C49" s="16"/>
      <c r="D49" s="16"/>
      <c r="E49" s="16"/>
      <c r="F49" s="19"/>
      <c r="G49" s="21"/>
      <c r="H49" s="21"/>
      <c r="I49" s="21"/>
      <c r="J49" s="20"/>
      <c r="K49" s="20"/>
      <c r="L49" s="20"/>
      <c r="M49" s="20"/>
      <c r="N49" s="20"/>
      <c r="O49" s="22"/>
      <c r="P49" s="23"/>
      <c r="Q49" s="23"/>
      <c r="R49" s="21"/>
      <c r="S49" s="22"/>
      <c r="Y49" s="22"/>
      <c r="Z49" s="21"/>
      <c r="AA49" s="21"/>
    </row>
    <row r="50" spans="1:27" x14ac:dyDescent="0.25">
      <c r="A50" s="19"/>
      <c r="B50" s="19"/>
      <c r="C50" s="16"/>
      <c r="D50" s="16"/>
      <c r="E50" s="16"/>
      <c r="F50" s="19"/>
      <c r="G50" s="58"/>
      <c r="H50" s="58"/>
      <c r="I50" s="58"/>
      <c r="J50" s="58"/>
      <c r="K50" s="58"/>
      <c r="L50" s="58"/>
      <c r="M50" s="24"/>
      <c r="N50" s="24"/>
      <c r="O50" s="24"/>
      <c r="P50" s="24"/>
      <c r="Q50" s="24"/>
      <c r="R50" s="21"/>
      <c r="S50" s="22"/>
      <c r="Y50" s="22"/>
      <c r="Z50" s="21"/>
      <c r="AA50" s="21"/>
    </row>
    <row r="51" spans="1:27" x14ac:dyDescent="0.25">
      <c r="A51" s="19"/>
      <c r="B51" s="19"/>
      <c r="C51" s="16"/>
      <c r="D51" s="16"/>
      <c r="E51" s="16"/>
      <c r="F51" s="19"/>
      <c r="G51" s="57"/>
      <c r="H51" s="57"/>
      <c r="I51" s="57"/>
      <c r="J51" s="57"/>
      <c r="K51" s="57"/>
      <c r="L51" s="57"/>
      <c r="M51" s="25"/>
      <c r="N51" s="25"/>
      <c r="O51" s="25"/>
      <c r="P51" s="25"/>
      <c r="Q51" s="25"/>
      <c r="R51" s="21"/>
      <c r="S51" s="22"/>
      <c r="Y51" s="22"/>
      <c r="Z51" s="21"/>
      <c r="AA51" s="21"/>
    </row>
    <row r="52" spans="1:27" x14ac:dyDescent="0.25">
      <c r="Y52" s="26" t="s">
        <v>33</v>
      </c>
      <c r="Z52" s="26"/>
      <c r="AA52" s="26"/>
    </row>
    <row r="53" spans="1:27" x14ac:dyDescent="0.25">
      <c r="Y53" s="21" t="s">
        <v>34</v>
      </c>
      <c r="Z53" s="21"/>
      <c r="AA53" s="21"/>
    </row>
  </sheetData>
  <mergeCells count="9">
    <mergeCell ref="Y3:Z3"/>
    <mergeCell ref="G42:L42"/>
    <mergeCell ref="T42:Z42"/>
    <mergeCell ref="G50:L50"/>
    <mergeCell ref="G51:L51"/>
    <mergeCell ref="G44:L44"/>
    <mergeCell ref="G47:L47"/>
    <mergeCell ref="G45:L45"/>
    <mergeCell ref="G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AB59"/>
  <sheetViews>
    <sheetView zoomScale="80" zoomScaleNormal="80" workbookViewId="0">
      <selection activeCell="U12" sqref="U12"/>
    </sheetView>
  </sheetViews>
  <sheetFormatPr defaultRowHeight="15" x14ac:dyDescent="0.25"/>
  <cols>
    <col min="1" max="28" width="5.7109375" customWidth="1"/>
  </cols>
  <sheetData>
    <row r="1" spans="1:28" ht="15.75" x14ac:dyDescent="0.25">
      <c r="A1" s="61" t="s">
        <v>43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</row>
    <row r="2" spans="1:28" ht="15.75" x14ac:dyDescent="0.25">
      <c r="A2" s="61" t="s">
        <v>44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</row>
    <row r="3" spans="1:28" x14ac:dyDescent="0.25">
      <c r="A3" s="62" t="s">
        <v>45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</row>
    <row r="4" spans="1:28" ht="15.75" thickBot="1" x14ac:dyDescent="0.3">
      <c r="A4" s="63" t="s">
        <v>46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</row>
    <row r="5" spans="1:28" ht="9" customHeight="1" x14ac:dyDescent="0.25">
      <c r="A5" s="27"/>
      <c r="B5" s="27"/>
      <c r="C5" s="27"/>
      <c r="D5" s="27"/>
      <c r="E5" s="27"/>
      <c r="F5" s="27"/>
    </row>
    <row r="6" spans="1:28" x14ac:dyDescent="0.25">
      <c r="A6" s="64" t="s">
        <v>56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</row>
    <row r="7" spans="1:28" ht="14.25" customHeight="1" x14ac:dyDescent="0.25">
      <c r="A7" s="65" t="s">
        <v>55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</row>
    <row r="8" spans="1:28" ht="7.5" customHeight="1" x14ac:dyDescent="0.25"/>
    <row r="9" spans="1:28" x14ac:dyDescent="0.25">
      <c r="A9" s="42" t="s">
        <v>47</v>
      </c>
      <c r="B9" s="42"/>
      <c r="C9" s="43" t="s">
        <v>48</v>
      </c>
    </row>
    <row r="10" spans="1:28" x14ac:dyDescent="0.25">
      <c r="A10" t="s">
        <v>49</v>
      </c>
      <c r="B10" s="42"/>
      <c r="C10" t="s">
        <v>50</v>
      </c>
    </row>
    <row r="11" spans="1:28" x14ac:dyDescent="0.25">
      <c r="A11" t="s">
        <v>51</v>
      </c>
      <c r="C11" t="s">
        <v>52</v>
      </c>
      <c r="Y11" s="44" t="s">
        <v>53</v>
      </c>
      <c r="Z11" s="60" t="s">
        <v>54</v>
      </c>
      <c r="AA11" s="60"/>
    </row>
    <row r="12" spans="1:28" ht="8.25" customHeight="1" x14ac:dyDescent="0.25"/>
    <row r="13" spans="1:28" x14ac:dyDescent="0.25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  <c r="H13" s="3" t="s">
        <v>9</v>
      </c>
      <c r="I13" s="3" t="s">
        <v>10</v>
      </c>
      <c r="J13" s="3" t="s">
        <v>11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  <c r="P13" s="3" t="s">
        <v>17</v>
      </c>
      <c r="Q13" s="3" t="s">
        <v>18</v>
      </c>
      <c r="R13" s="3" t="s">
        <v>19</v>
      </c>
      <c r="S13" s="3" t="s">
        <v>20</v>
      </c>
      <c r="T13" s="3" t="s">
        <v>21</v>
      </c>
      <c r="U13" s="3" t="s">
        <v>22</v>
      </c>
      <c r="V13" s="3" t="s">
        <v>23</v>
      </c>
      <c r="W13" s="3" t="s">
        <v>24</v>
      </c>
      <c r="X13" s="3" t="s">
        <v>25</v>
      </c>
      <c r="Y13" s="3" t="s">
        <v>26</v>
      </c>
      <c r="Z13" s="4" t="s">
        <v>32</v>
      </c>
      <c r="AA13" s="4" t="s">
        <v>27</v>
      </c>
      <c r="AB13" s="4" t="s">
        <v>28</v>
      </c>
    </row>
    <row r="14" spans="1:28" x14ac:dyDescent="0.25">
      <c r="A14" s="5" t="s">
        <v>29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5">
        <v>26</v>
      </c>
      <c r="AB14" s="5">
        <v>27</v>
      </c>
    </row>
    <row r="15" spans="1:28" x14ac:dyDescent="0.25">
      <c r="A15" s="6">
        <v>1</v>
      </c>
      <c r="B15" s="7">
        <v>91.149974698394047</v>
      </c>
      <c r="C15" s="7">
        <v>71.956916711355589</v>
      </c>
      <c r="D15" s="7">
        <v>74.27471756190063</v>
      </c>
      <c r="E15" s="7">
        <v>62.493028914122952</v>
      </c>
      <c r="F15" s="7">
        <v>61.070389720461471</v>
      </c>
      <c r="G15" s="7">
        <v>56.185805578015469</v>
      </c>
      <c r="H15" s="7">
        <v>52.973321667295878</v>
      </c>
      <c r="I15" s="7">
        <v>61.402371676155951</v>
      </c>
      <c r="J15" s="7">
        <v>67.580321726852745</v>
      </c>
      <c r="K15" s="7">
        <v>74.683288699912481</v>
      </c>
      <c r="L15" s="7">
        <v>81.158079831414014</v>
      </c>
      <c r="M15" s="7">
        <v>82.509603433418292</v>
      </c>
      <c r="N15" s="7">
        <v>86.964847685921953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7">
        <f>AVERAGE(B15:N15)</f>
        <v>71.107897531170892</v>
      </c>
      <c r="AA15" s="7">
        <f>MAX(B15:N15)</f>
        <v>91.149974698394047</v>
      </c>
      <c r="AB15" s="7">
        <f>MIN(B15:Y15)</f>
        <v>52.973321667295878</v>
      </c>
    </row>
    <row r="16" spans="1:28" x14ac:dyDescent="0.25">
      <c r="A16" s="9">
        <v>2</v>
      </c>
      <c r="B16" s="10">
        <v>88.697807980291159</v>
      </c>
      <c r="C16" s="10">
        <v>84.165092979644328</v>
      </c>
      <c r="D16" s="10">
        <v>78.531036461305234</v>
      </c>
      <c r="E16" s="10">
        <v>72.823563631993622</v>
      </c>
      <c r="F16" s="10">
        <v>65.583841814763559</v>
      </c>
      <c r="G16" s="10">
        <v>65.728424430578627</v>
      </c>
      <c r="H16" s="10">
        <v>60.849220568666759</v>
      </c>
      <c r="I16" s="10">
        <v>62.786899188970658</v>
      </c>
      <c r="J16" s="10">
        <v>69.8152939061154</v>
      </c>
      <c r="K16" s="10">
        <v>73.627425546942845</v>
      </c>
      <c r="L16" s="10">
        <v>82.894248828323143</v>
      </c>
      <c r="M16" s="10">
        <v>85.714771674595454</v>
      </c>
      <c r="N16" s="10">
        <v>87.024329978942021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>
        <f t="shared" ref="Z16:Z45" si="0">AVERAGE(B16:N16)</f>
        <v>75.249381307010211</v>
      </c>
      <c r="AA16" s="10">
        <f t="shared" ref="AA16:AA45" si="1">MAX(B16:N16)</f>
        <v>88.697807980291159</v>
      </c>
      <c r="AB16" s="10">
        <f t="shared" ref="AB16:AB45" si="2">MIN(B16:Y16)</f>
        <v>60.849220568666759</v>
      </c>
    </row>
    <row r="17" spans="1:28" x14ac:dyDescent="0.25">
      <c r="A17" s="9">
        <v>3</v>
      </c>
      <c r="B17" s="10">
        <v>92.196751092189217</v>
      </c>
      <c r="C17" s="10">
        <v>86.720303337042694</v>
      </c>
      <c r="D17" s="10">
        <v>78.174946208957891</v>
      </c>
      <c r="E17" s="10">
        <v>73.059375099659647</v>
      </c>
      <c r="F17" s="10">
        <v>70.542172192683722</v>
      </c>
      <c r="G17" s="10">
        <v>64.396354094621714</v>
      </c>
      <c r="H17" s="10">
        <v>62.618462402108285</v>
      </c>
      <c r="I17" s="10">
        <v>68.814612271726659</v>
      </c>
      <c r="J17" s="10">
        <v>69.468545417964251</v>
      </c>
      <c r="K17" s="10">
        <v>69.8152939061154</v>
      </c>
      <c r="L17" s="10">
        <v>80.189608416928536</v>
      </c>
      <c r="M17" s="10">
        <v>82.818961990568795</v>
      </c>
      <c r="N17" s="10">
        <v>86.269483009271397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>
        <f t="shared" si="0"/>
        <v>75.775759187679867</v>
      </c>
      <c r="AA17" s="10">
        <f t="shared" si="1"/>
        <v>92.196751092189217</v>
      </c>
      <c r="AB17" s="10">
        <f t="shared" si="2"/>
        <v>62.618462402108285</v>
      </c>
    </row>
    <row r="18" spans="1:28" x14ac:dyDescent="0.25">
      <c r="A18" s="9">
        <v>4</v>
      </c>
      <c r="B18" s="10">
        <v>89.676361964203792</v>
      </c>
      <c r="C18" s="10">
        <v>80.72567796841399</v>
      </c>
      <c r="D18" s="10">
        <v>74.620033124138288</v>
      </c>
      <c r="E18" s="10">
        <v>67.81801577746856</v>
      </c>
      <c r="F18" s="10">
        <v>61.776641298925227</v>
      </c>
      <c r="G18" s="10">
        <v>62.011025068759636</v>
      </c>
      <c r="H18" s="10">
        <v>58.46581563659592</v>
      </c>
      <c r="I18" s="10">
        <v>54.040370815581454</v>
      </c>
      <c r="J18" s="10">
        <v>51.368028345445573</v>
      </c>
      <c r="K18" s="10">
        <v>75.709872775229954</v>
      </c>
      <c r="L18" s="10">
        <v>54.348896341595236</v>
      </c>
      <c r="M18" s="10">
        <v>75.009938428392744</v>
      </c>
      <c r="N18" s="10">
        <v>79.0972186919183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>
        <f t="shared" si="0"/>
        <v>68.051376633589911</v>
      </c>
      <c r="AA18" s="10">
        <f t="shared" si="1"/>
        <v>89.676361964203792</v>
      </c>
      <c r="AB18" s="10">
        <f t="shared" si="2"/>
        <v>51.368028345445573</v>
      </c>
    </row>
    <row r="19" spans="1:28" x14ac:dyDescent="0.25">
      <c r="A19" s="9">
        <v>5</v>
      </c>
      <c r="B19" s="10">
        <v>84.987323317030857</v>
      </c>
      <c r="C19" s="10">
        <v>77.250849606138644</v>
      </c>
      <c r="D19" s="10">
        <v>64.210650853357464</v>
      </c>
      <c r="E19" s="10">
        <v>60.243746929808509</v>
      </c>
      <c r="F19" s="10">
        <v>57.704132228515839</v>
      </c>
      <c r="G19" s="10">
        <v>58.754526676483287</v>
      </c>
      <c r="H19" s="10">
        <v>57.704083079613753</v>
      </c>
      <c r="I19" s="10">
        <v>53.672554980093878</v>
      </c>
      <c r="J19" s="10">
        <v>54.655471703399236</v>
      </c>
      <c r="K19" s="10">
        <v>62.170825285467082</v>
      </c>
      <c r="L19" s="10">
        <v>69.524004331982312</v>
      </c>
      <c r="M19" s="10">
        <v>80.0044578414835</v>
      </c>
      <c r="N19" s="10">
        <v>80.500443629623632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>
        <f t="shared" si="0"/>
        <v>66.260236189461381</v>
      </c>
      <c r="AA19" s="10">
        <f t="shared" si="1"/>
        <v>84.987323317030857</v>
      </c>
      <c r="AB19" s="10">
        <f t="shared" si="2"/>
        <v>53.672554980093878</v>
      </c>
    </row>
    <row r="20" spans="1:28" x14ac:dyDescent="0.25">
      <c r="A20" s="9">
        <v>6</v>
      </c>
      <c r="B20" s="10">
        <v>87.634677753525409</v>
      </c>
      <c r="C20" s="10">
        <v>77.464195000766637</v>
      </c>
      <c r="D20" s="10">
        <v>70.01827129653023</v>
      </c>
      <c r="E20" s="10">
        <v>67.145075265913817</v>
      </c>
      <c r="F20" s="10">
        <v>64.780247885843451</v>
      </c>
      <c r="G20" s="10">
        <v>64.723001126635779</v>
      </c>
      <c r="H20" s="10">
        <v>64.303346315793704</v>
      </c>
      <c r="I20" s="10">
        <v>63.261821906483696</v>
      </c>
      <c r="J20" s="10">
        <v>66.452880268948974</v>
      </c>
      <c r="K20" s="10">
        <v>70.107304990596802</v>
      </c>
      <c r="L20" s="10">
        <v>73.059375099659647</v>
      </c>
      <c r="M20" s="10">
        <v>96.73620600545533</v>
      </c>
      <c r="N20" s="10">
        <v>78.725959239401647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>
        <f t="shared" si="0"/>
        <v>72.647104781196546</v>
      </c>
      <c r="AA20" s="10">
        <f t="shared" si="1"/>
        <v>96.73620600545533</v>
      </c>
      <c r="AB20" s="10">
        <f t="shared" si="2"/>
        <v>63.261821906483696</v>
      </c>
    </row>
    <row r="21" spans="1:28" x14ac:dyDescent="0.25">
      <c r="A21" s="9">
        <v>7</v>
      </c>
      <c r="B21" s="10">
        <v>92.290677550198566</v>
      </c>
      <c r="C21" s="10">
        <v>82.886501946434791</v>
      </c>
      <c r="D21" s="10">
        <v>80.095905213952292</v>
      </c>
      <c r="E21" s="10">
        <v>75.400005269362325</v>
      </c>
      <c r="F21" s="10">
        <v>67.424468638973579</v>
      </c>
      <c r="G21" s="10">
        <v>65.728424430578627</v>
      </c>
      <c r="H21" s="10">
        <v>63.780164672923611</v>
      </c>
      <c r="I21" s="10">
        <v>54.731962240741602</v>
      </c>
      <c r="J21" s="10">
        <v>60.073072291172736</v>
      </c>
      <c r="K21" s="10">
        <v>63.501290667105025</v>
      </c>
      <c r="L21" s="10">
        <v>68.351620645728602</v>
      </c>
      <c r="M21" s="10">
        <v>69.616433202942503</v>
      </c>
      <c r="N21" s="10">
        <v>76.272506966623723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>
        <f t="shared" si="0"/>
        <v>70.7810025951337</v>
      </c>
      <c r="AA21" s="10">
        <f t="shared" si="1"/>
        <v>92.290677550198566</v>
      </c>
      <c r="AB21" s="10">
        <f t="shared" si="2"/>
        <v>54.731962240741602</v>
      </c>
    </row>
    <row r="22" spans="1:28" x14ac:dyDescent="0.25">
      <c r="A22" s="9">
        <v>8</v>
      </c>
      <c r="B22" s="10">
        <v>90.588517160451715</v>
      </c>
      <c r="C22" s="10">
        <v>81.495764390557596</v>
      </c>
      <c r="D22" s="10">
        <v>76.541549937833338</v>
      </c>
      <c r="E22" s="10">
        <v>62.339165903321323</v>
      </c>
      <c r="F22" s="10">
        <v>63.316053715143894</v>
      </c>
      <c r="G22" s="10">
        <v>60.579675158075041</v>
      </c>
      <c r="H22" s="10">
        <v>59.486354950880937</v>
      </c>
      <c r="I22" s="10">
        <v>64.276991063448449</v>
      </c>
      <c r="J22" s="10">
        <v>64.276991063448449</v>
      </c>
      <c r="K22" s="10">
        <v>64.125146742662523</v>
      </c>
      <c r="L22" s="10">
        <v>69.885772609431854</v>
      </c>
      <c r="M22" s="10">
        <v>70.902869457656209</v>
      </c>
      <c r="N22" s="10">
        <v>76.272506966623723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>
        <f t="shared" si="0"/>
        <v>69.545181470733468</v>
      </c>
      <c r="AA22" s="10">
        <f t="shared" si="1"/>
        <v>90.588517160451715</v>
      </c>
      <c r="AB22" s="10">
        <f t="shared" si="2"/>
        <v>59.486354950880937</v>
      </c>
    </row>
    <row r="23" spans="1:28" x14ac:dyDescent="0.25">
      <c r="A23" s="9">
        <v>9</v>
      </c>
      <c r="B23" s="10">
        <v>91.408067720620949</v>
      </c>
      <c r="C23" s="10">
        <v>82.186531997321282</v>
      </c>
      <c r="D23" s="10">
        <v>66.183143865146974</v>
      </c>
      <c r="E23" s="10">
        <v>63.627102108246412</v>
      </c>
      <c r="F23" s="10">
        <v>62.170825285467082</v>
      </c>
      <c r="G23" s="10">
        <v>54.221441652826883</v>
      </c>
      <c r="H23" s="10">
        <v>60.92873461851174</v>
      </c>
      <c r="I23" s="10">
        <v>64.723001126635779</v>
      </c>
      <c r="J23" s="10">
        <v>63.742750164539494</v>
      </c>
      <c r="K23" s="10">
        <v>59.905533056391768</v>
      </c>
      <c r="L23" s="10">
        <v>67.355176171760547</v>
      </c>
      <c r="M23" s="10">
        <v>68.491928772006816</v>
      </c>
      <c r="N23" s="10">
        <v>74.448784418437484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>
        <f t="shared" si="0"/>
        <v>67.645616996762556</v>
      </c>
      <c r="AA23" s="10">
        <f t="shared" si="1"/>
        <v>91.408067720620949</v>
      </c>
      <c r="AB23" s="10">
        <f t="shared" si="2"/>
        <v>54.221441652826883</v>
      </c>
    </row>
    <row r="24" spans="1:28" x14ac:dyDescent="0.25">
      <c r="A24" s="9">
        <v>10</v>
      </c>
      <c r="B24" s="10">
        <v>89.775924385931475</v>
      </c>
      <c r="C24" s="10">
        <v>84.460921108132155</v>
      </c>
      <c r="D24" s="10">
        <v>80.901467602170015</v>
      </c>
      <c r="E24" s="10">
        <v>76.283935116749447</v>
      </c>
      <c r="F24" s="10">
        <v>69.561733871083121</v>
      </c>
      <c r="G24" s="10">
        <v>60.151797197992408</v>
      </c>
      <c r="H24" s="10">
        <v>63.558266287249367</v>
      </c>
      <c r="I24" s="10">
        <v>68.228128647776614</v>
      </c>
      <c r="J24" s="10">
        <v>68.878309260549415</v>
      </c>
      <c r="K24" s="10">
        <v>69.432938262154266</v>
      </c>
      <c r="L24" s="10">
        <v>68.09153082700125</v>
      </c>
      <c r="M24" s="10">
        <v>76.906124278850157</v>
      </c>
      <c r="N24" s="10">
        <v>82.349831095541973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>
        <f t="shared" si="0"/>
        <v>73.736992918552431</v>
      </c>
      <c r="AA24" s="10">
        <f t="shared" si="1"/>
        <v>89.775924385931475</v>
      </c>
      <c r="AB24" s="10">
        <f t="shared" si="2"/>
        <v>60.151797197992408</v>
      </c>
    </row>
    <row r="25" spans="1:28" x14ac:dyDescent="0.25">
      <c r="A25" s="9">
        <v>11</v>
      </c>
      <c r="B25" s="10">
        <v>91.530740973431563</v>
      </c>
      <c r="C25" s="10">
        <v>84.113958008242946</v>
      </c>
      <c r="D25" s="10">
        <v>74.683288699912481</v>
      </c>
      <c r="E25" s="10">
        <v>75.002570485722643</v>
      </c>
      <c r="F25" s="10">
        <v>68.556483518474465</v>
      </c>
      <c r="G25" s="10">
        <v>76.288451319675147</v>
      </c>
      <c r="H25" s="10">
        <v>86.661459694853477</v>
      </c>
      <c r="I25" s="10">
        <v>83.783826751537376</v>
      </c>
      <c r="J25" s="10">
        <v>78.618672365263677</v>
      </c>
      <c r="K25" s="10">
        <v>76.890473842355078</v>
      </c>
      <c r="L25" s="10">
        <v>85.015074807095985</v>
      </c>
      <c r="M25" s="10">
        <v>84.812878594525714</v>
      </c>
      <c r="N25" s="10">
        <v>85.520903747080652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>
        <f t="shared" si="0"/>
        <v>80.882983292936245</v>
      </c>
      <c r="AA25" s="10">
        <f t="shared" si="1"/>
        <v>91.530740973431563</v>
      </c>
      <c r="AB25" s="10">
        <f t="shared" si="2"/>
        <v>68.556483518474465</v>
      </c>
    </row>
    <row r="26" spans="1:28" x14ac:dyDescent="0.25">
      <c r="A26" s="9">
        <v>12</v>
      </c>
      <c r="B26" s="10">
        <v>88.500299434478777</v>
      </c>
      <c r="C26" s="10">
        <v>84.042334277741404</v>
      </c>
      <c r="D26" s="10">
        <v>80.5814793906587</v>
      </c>
      <c r="E26" s="10">
        <v>72.886679337921407</v>
      </c>
      <c r="F26" s="10">
        <v>66.291787562703647</v>
      </c>
      <c r="G26" s="10">
        <v>62.936946230597066</v>
      </c>
      <c r="H26" s="10">
        <v>64.607567227841869</v>
      </c>
      <c r="I26" s="10">
        <v>74.166461988785088</v>
      </c>
      <c r="J26" s="10">
        <v>70.662337040729099</v>
      </c>
      <c r="K26" s="10">
        <v>69.7215540485997</v>
      </c>
      <c r="L26" s="10">
        <v>91.649405643001401</v>
      </c>
      <c r="M26" s="10">
        <v>90.852212412181771</v>
      </c>
      <c r="N26" s="10">
        <v>94.163464436136877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>
        <f t="shared" si="0"/>
        <v>77.774040694721293</v>
      </c>
      <c r="AA26" s="10">
        <f t="shared" si="1"/>
        <v>94.163464436136877</v>
      </c>
      <c r="AB26" s="10">
        <f t="shared" si="2"/>
        <v>62.936946230597066</v>
      </c>
    </row>
    <row r="27" spans="1:28" x14ac:dyDescent="0.25">
      <c r="A27" s="9">
        <v>13</v>
      </c>
      <c r="B27" s="10">
        <v>93.134969543017661</v>
      </c>
      <c r="C27" s="10">
        <v>83.160372093864282</v>
      </c>
      <c r="D27" s="10">
        <v>78.557482738561959</v>
      </c>
      <c r="E27" s="10">
        <v>76.086559339912753</v>
      </c>
      <c r="F27" s="10">
        <v>73.627425546942845</v>
      </c>
      <c r="G27" s="10">
        <v>71.618485316430721</v>
      </c>
      <c r="H27" s="10">
        <v>66.832180876790332</v>
      </c>
      <c r="I27" s="10">
        <v>68.292853978470291</v>
      </c>
      <c r="J27" s="10">
        <v>77.97739324005515</v>
      </c>
      <c r="K27" s="10">
        <v>81.950911104908641</v>
      </c>
      <c r="L27" s="10">
        <v>80.0044578414835</v>
      </c>
      <c r="M27" s="10">
        <v>83.634164500015487</v>
      </c>
      <c r="N27" s="10">
        <v>89.074999225570892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>
        <f t="shared" si="0"/>
        <v>78.765558103540329</v>
      </c>
      <c r="AA27" s="10">
        <f t="shared" si="1"/>
        <v>93.134969543017661</v>
      </c>
      <c r="AB27" s="10">
        <f t="shared" si="2"/>
        <v>66.832180876790332</v>
      </c>
    </row>
    <row r="28" spans="1:28" x14ac:dyDescent="0.25">
      <c r="A28" s="9">
        <v>14</v>
      </c>
      <c r="B28" s="10">
        <v>91.449415009375599</v>
      </c>
      <c r="C28" s="10">
        <v>83.198648387419396</v>
      </c>
      <c r="D28" s="10">
        <v>75.616358494401425</v>
      </c>
      <c r="E28" s="10">
        <v>70.295635929820108</v>
      </c>
      <c r="F28" s="10">
        <v>68.750583528774655</v>
      </c>
      <c r="G28" s="10">
        <v>72.66265365037107</v>
      </c>
      <c r="H28" s="10">
        <v>73.954200751397892</v>
      </c>
      <c r="I28" s="10">
        <v>88.758392692627268</v>
      </c>
      <c r="J28" s="10">
        <v>88.758392692627268</v>
      </c>
      <c r="K28" s="10">
        <v>87.255921724445045</v>
      </c>
      <c r="L28" s="10">
        <v>87.255921724445045</v>
      </c>
      <c r="M28" s="10">
        <v>87.255921724445045</v>
      </c>
      <c r="N28" s="10">
        <v>86.720303337042694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>
        <f t="shared" si="0"/>
        <v>81.687103819014794</v>
      </c>
      <c r="AA28" s="10">
        <f t="shared" si="1"/>
        <v>91.449415009375599</v>
      </c>
      <c r="AB28" s="10">
        <f t="shared" si="2"/>
        <v>68.750583528774655</v>
      </c>
    </row>
    <row r="29" spans="1:28" x14ac:dyDescent="0.25">
      <c r="A29" s="9">
        <v>15</v>
      </c>
      <c r="B29" s="10">
        <v>86.0467194673015</v>
      </c>
      <c r="C29" s="10">
        <v>81.950911104908641</v>
      </c>
      <c r="D29" s="10">
        <v>75.669724273595236</v>
      </c>
      <c r="E29" s="10">
        <v>68.621521496128793</v>
      </c>
      <c r="F29" s="10">
        <v>63.631422711503951</v>
      </c>
      <c r="G29" s="10">
        <v>60.058413323373536</v>
      </c>
      <c r="H29" s="10">
        <v>55.099446969191412</v>
      </c>
      <c r="I29" s="10">
        <v>66.96383709646085</v>
      </c>
      <c r="J29" s="10">
        <v>74.205470123873312</v>
      </c>
      <c r="K29" s="10">
        <v>88.758392692627268</v>
      </c>
      <c r="L29" s="10">
        <v>91.726372472715113</v>
      </c>
      <c r="M29" s="10">
        <v>93.263970887488853</v>
      </c>
      <c r="N29" s="10">
        <v>94.9996701525737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>
        <f t="shared" si="0"/>
        <v>76.999682520903235</v>
      </c>
      <c r="AA29" s="10">
        <f t="shared" si="1"/>
        <v>94.9996701525737</v>
      </c>
      <c r="AB29" s="10">
        <f t="shared" si="2"/>
        <v>55.099446969191412</v>
      </c>
    </row>
    <row r="30" spans="1:28" x14ac:dyDescent="0.25">
      <c r="A30" s="9">
        <v>16</v>
      </c>
      <c r="B30" s="10">
        <v>91.707288047541041</v>
      </c>
      <c r="C30" s="10">
        <v>82.894248828323143</v>
      </c>
      <c r="D30" s="10">
        <v>78.742699531414061</v>
      </c>
      <c r="E30" s="10">
        <v>72.320390570749254</v>
      </c>
      <c r="F30" s="10">
        <v>72.16518276949283</v>
      </c>
      <c r="G30" s="10">
        <v>68.421303550004168</v>
      </c>
      <c r="H30" s="10">
        <v>74.270962017708015</v>
      </c>
      <c r="I30" s="10">
        <v>75.41299607333552</v>
      </c>
      <c r="J30" s="10">
        <v>81.72565273312577</v>
      </c>
      <c r="K30" s="10">
        <v>80.358414363599238</v>
      </c>
      <c r="L30" s="10">
        <v>78.742699531414061</v>
      </c>
      <c r="M30" s="10">
        <v>78.463382904995044</v>
      </c>
      <c r="N30" s="10">
        <v>82.665948335567847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>
        <f t="shared" si="0"/>
        <v>78.299320712097682</v>
      </c>
      <c r="AA30" s="10">
        <f t="shared" si="1"/>
        <v>91.707288047541041</v>
      </c>
      <c r="AB30" s="10">
        <f t="shared" si="2"/>
        <v>68.421303550004168</v>
      </c>
    </row>
    <row r="31" spans="1:28" x14ac:dyDescent="0.25">
      <c r="A31" s="9">
        <v>17</v>
      </c>
      <c r="B31" s="10">
        <v>89.921165122015651</v>
      </c>
      <c r="C31" s="10">
        <v>85.388113599959198</v>
      </c>
      <c r="D31" s="10">
        <v>71.415854121030847</v>
      </c>
      <c r="E31" s="10">
        <v>71.28096465699403</v>
      </c>
      <c r="F31" s="10">
        <v>63.366177156789192</v>
      </c>
      <c r="G31" s="10">
        <v>57.876458523541388</v>
      </c>
      <c r="H31" s="10">
        <v>61.389030085749205</v>
      </c>
      <c r="I31" s="10">
        <v>61.007835800906427</v>
      </c>
      <c r="J31" s="10">
        <v>60.474201295188692</v>
      </c>
      <c r="K31" s="10">
        <v>59.782848634566733</v>
      </c>
      <c r="L31" s="10">
        <v>68.49339392019975</v>
      </c>
      <c r="M31" s="10">
        <v>73.237299387235481</v>
      </c>
      <c r="N31" s="10">
        <v>76.272506966623723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>
        <f>AVERAGE(B31:N31)</f>
        <v>69.223526866984642</v>
      </c>
      <c r="AA31" s="10">
        <f t="shared" si="1"/>
        <v>89.921165122015651</v>
      </c>
      <c r="AB31" s="10">
        <f t="shared" si="2"/>
        <v>57.876458523541388</v>
      </c>
    </row>
    <row r="32" spans="1:28" x14ac:dyDescent="0.25">
      <c r="A32" s="9">
        <v>18</v>
      </c>
      <c r="B32" s="10">
        <v>91.366255333533658</v>
      </c>
      <c r="C32" s="10">
        <v>79.0972186919183</v>
      </c>
      <c r="D32" s="10">
        <v>68.561514744503938</v>
      </c>
      <c r="E32" s="10">
        <v>62.582530817823482</v>
      </c>
      <c r="F32" s="10">
        <v>61.691456071130524</v>
      </c>
      <c r="G32" s="10">
        <v>60.608172288502814</v>
      </c>
      <c r="H32" s="10">
        <v>61.933305204455813</v>
      </c>
      <c r="I32" s="10">
        <v>59.988051911368203</v>
      </c>
      <c r="J32" s="10">
        <v>64.006745644283527</v>
      </c>
      <c r="K32" s="10">
        <v>66.617949857703053</v>
      </c>
      <c r="L32" s="10">
        <v>72.057103866417009</v>
      </c>
      <c r="M32" s="10">
        <v>73.661877482589802</v>
      </c>
      <c r="N32" s="10">
        <v>74.895730635335454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>
        <f t="shared" si="0"/>
        <v>69.005224042274278</v>
      </c>
      <c r="AA32" s="10">
        <f t="shared" si="1"/>
        <v>91.366255333533658</v>
      </c>
      <c r="AB32" s="10">
        <f t="shared" si="2"/>
        <v>59.988051911368203</v>
      </c>
    </row>
    <row r="33" spans="1:28" x14ac:dyDescent="0.25">
      <c r="A33" s="9">
        <v>19</v>
      </c>
      <c r="B33" s="10">
        <v>89.600208336209931</v>
      </c>
      <c r="C33" s="10">
        <v>83.672295453860002</v>
      </c>
      <c r="D33" s="10">
        <v>71.289681892766282</v>
      </c>
      <c r="E33" s="10">
        <v>68.023695804104378</v>
      </c>
      <c r="F33" s="10">
        <v>61.697691541474811</v>
      </c>
      <c r="G33" s="10">
        <v>62.805402683408715</v>
      </c>
      <c r="H33" s="10">
        <v>66.522823917395485</v>
      </c>
      <c r="I33" s="10">
        <v>66.900192873680993</v>
      </c>
      <c r="J33" s="10">
        <v>64.575896105923405</v>
      </c>
      <c r="K33" s="10">
        <v>69.656056100089742</v>
      </c>
      <c r="L33" s="10">
        <v>73.296724268708942</v>
      </c>
      <c r="M33" s="10">
        <v>74.448784418437484</v>
      </c>
      <c r="N33" s="10">
        <v>78.531036461305234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>
        <f t="shared" si="0"/>
        <v>71.616960758258884</v>
      </c>
      <c r="AA33" s="10">
        <f t="shared" si="1"/>
        <v>89.600208336209931</v>
      </c>
      <c r="AB33" s="10">
        <f t="shared" si="2"/>
        <v>61.697691541474811</v>
      </c>
    </row>
    <row r="34" spans="1:28" x14ac:dyDescent="0.25">
      <c r="A34" s="9">
        <v>20</v>
      </c>
      <c r="B34" s="10">
        <v>85.360577910727429</v>
      </c>
      <c r="C34" s="10">
        <v>79.434090563222099</v>
      </c>
      <c r="D34" s="10">
        <v>69.201254627052904</v>
      </c>
      <c r="E34" s="10">
        <v>62.339165903321323</v>
      </c>
      <c r="F34" s="10">
        <v>55.949565476901483</v>
      </c>
      <c r="G34" s="10">
        <v>57.529889649619605</v>
      </c>
      <c r="H34" s="10">
        <v>55.333462210804072</v>
      </c>
      <c r="I34" s="10">
        <v>61.854702278070761</v>
      </c>
      <c r="J34" s="10">
        <v>64.575896105923405</v>
      </c>
      <c r="K34" s="10">
        <v>67.81801577746856</v>
      </c>
      <c r="L34" s="10">
        <v>64.683250431080694</v>
      </c>
      <c r="M34" s="10">
        <v>70.902869457656209</v>
      </c>
      <c r="N34" s="10">
        <v>73.421065027056869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>
        <f t="shared" si="0"/>
        <v>66.800292724531175</v>
      </c>
      <c r="AA34" s="10">
        <f t="shared" si="1"/>
        <v>85.360577910727429</v>
      </c>
      <c r="AB34" s="10">
        <f t="shared" si="2"/>
        <v>55.333462210804072</v>
      </c>
    </row>
    <row r="35" spans="1:28" x14ac:dyDescent="0.25">
      <c r="A35" s="9">
        <v>21</v>
      </c>
      <c r="B35" s="10">
        <v>84.089058176274321</v>
      </c>
      <c r="C35" s="10">
        <v>82.68431897913247</v>
      </c>
      <c r="D35" s="10">
        <v>79.0972186919183</v>
      </c>
      <c r="E35" s="10">
        <v>75.122904914963499</v>
      </c>
      <c r="F35" s="10">
        <v>71.415854121030847</v>
      </c>
      <c r="G35" s="10">
        <v>69.237171833753351</v>
      </c>
      <c r="H35" s="10">
        <v>66.900192873680993</v>
      </c>
      <c r="I35" s="10">
        <v>65.87148937682656</v>
      </c>
      <c r="J35" s="10">
        <v>65.87148937682656</v>
      </c>
      <c r="K35" s="10">
        <v>70.534262536178971</v>
      </c>
      <c r="L35" s="10">
        <v>71.540676129620792</v>
      </c>
      <c r="M35" s="10">
        <v>76.699489935892004</v>
      </c>
      <c r="N35" s="10">
        <v>79.289305063965926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0">
        <f t="shared" si="0"/>
        <v>73.719494770004957</v>
      </c>
      <c r="AA35" s="10">
        <f t="shared" si="1"/>
        <v>84.089058176274321</v>
      </c>
      <c r="AB35" s="10">
        <f t="shared" si="2"/>
        <v>65.87148937682656</v>
      </c>
    </row>
    <row r="36" spans="1:28" x14ac:dyDescent="0.25">
      <c r="A36" s="9">
        <v>22</v>
      </c>
      <c r="B36" s="10">
        <v>89.417405911932903</v>
      </c>
      <c r="C36" s="10">
        <v>82.434163167292155</v>
      </c>
      <c r="D36" s="10">
        <v>74.895730635335454</v>
      </c>
      <c r="E36" s="10">
        <v>63.316053715143894</v>
      </c>
      <c r="F36" s="10">
        <v>59.655355274649935</v>
      </c>
      <c r="G36" s="10">
        <v>61.296648340826323</v>
      </c>
      <c r="H36" s="10">
        <v>56.40398970790644</v>
      </c>
      <c r="I36" s="10">
        <v>54.655471703399236</v>
      </c>
      <c r="J36" s="10">
        <v>55.833675923694635</v>
      </c>
      <c r="K36" s="10">
        <v>58.754526676483287</v>
      </c>
      <c r="L36" s="10">
        <v>61.528243407321895</v>
      </c>
      <c r="M36" s="10">
        <v>67.108061002723758</v>
      </c>
      <c r="N36" s="10">
        <v>69.479550902297788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>
        <f t="shared" si="0"/>
        <v>65.752221259154425</v>
      </c>
      <c r="AA36" s="10">
        <f t="shared" si="1"/>
        <v>89.417405911932903</v>
      </c>
      <c r="AB36" s="10">
        <f t="shared" si="2"/>
        <v>54.655471703399236</v>
      </c>
    </row>
    <row r="37" spans="1:28" x14ac:dyDescent="0.25">
      <c r="A37" s="9">
        <v>23</v>
      </c>
      <c r="B37" s="10">
        <v>88.584454468365337</v>
      </c>
      <c r="C37" s="10">
        <v>81.848939867812547</v>
      </c>
      <c r="D37" s="10">
        <v>72.460198729062924</v>
      </c>
      <c r="E37" s="10">
        <v>68.288902465567787</v>
      </c>
      <c r="F37" s="10">
        <v>62.493028914122952</v>
      </c>
      <c r="G37" s="10">
        <v>58.583760156268902</v>
      </c>
      <c r="H37" s="10">
        <v>58.482493040160847</v>
      </c>
      <c r="I37" s="10">
        <v>54.253909155160606</v>
      </c>
      <c r="J37" s="10">
        <v>61.855178230145093</v>
      </c>
      <c r="K37" s="10">
        <v>64.081480385163289</v>
      </c>
      <c r="L37" s="10">
        <v>64.780247885843451</v>
      </c>
      <c r="M37" s="10">
        <v>72.460198729062924</v>
      </c>
      <c r="N37" s="10">
        <v>77.022649503457004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0">
        <f t="shared" si="0"/>
        <v>68.091957040784123</v>
      </c>
      <c r="AA37" s="10">
        <f t="shared" si="1"/>
        <v>88.584454468365337</v>
      </c>
      <c r="AB37" s="10">
        <f t="shared" si="2"/>
        <v>54.253909155160606</v>
      </c>
    </row>
    <row r="38" spans="1:28" x14ac:dyDescent="0.25">
      <c r="A38" s="9">
        <v>24</v>
      </c>
      <c r="B38" s="10">
        <v>86.972677868942654</v>
      </c>
      <c r="C38" s="10">
        <v>80.174451946775193</v>
      </c>
      <c r="D38" s="10">
        <v>75.354740389794898</v>
      </c>
      <c r="E38" s="10">
        <v>70.01827129653023</v>
      </c>
      <c r="F38" s="10">
        <v>65.583841814763559</v>
      </c>
      <c r="G38" s="10">
        <v>62.727926243305035</v>
      </c>
      <c r="H38" s="10">
        <v>60.92873461851174</v>
      </c>
      <c r="I38" s="10">
        <v>61.855178230145093</v>
      </c>
      <c r="J38" s="10">
        <v>61.30999441901718</v>
      </c>
      <c r="K38" s="10">
        <v>61.852941268598016</v>
      </c>
      <c r="L38" s="10">
        <v>66.329633568275582</v>
      </c>
      <c r="M38" s="10">
        <v>72.935290939670054</v>
      </c>
      <c r="N38" s="10">
        <v>73.978177147436469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0">
        <f t="shared" si="0"/>
        <v>69.232450750135811</v>
      </c>
      <c r="AA38" s="10">
        <f t="shared" si="1"/>
        <v>86.972677868942654</v>
      </c>
      <c r="AB38" s="10">
        <f t="shared" si="2"/>
        <v>60.92873461851174</v>
      </c>
    </row>
    <row r="39" spans="1:28" x14ac:dyDescent="0.25">
      <c r="A39" s="9">
        <v>25</v>
      </c>
      <c r="B39" s="10">
        <v>84.789995952358097</v>
      </c>
      <c r="C39" s="10">
        <v>74.305435620262429</v>
      </c>
      <c r="D39" s="10">
        <v>67.108061002723758</v>
      </c>
      <c r="E39" s="10">
        <v>58.613818329389325</v>
      </c>
      <c r="F39" s="10">
        <v>65.728424430578627</v>
      </c>
      <c r="G39" s="10">
        <v>50.569356798237344</v>
      </c>
      <c r="H39" s="10">
        <v>48.325101977718823</v>
      </c>
      <c r="I39" s="10">
        <v>57.876458523541388</v>
      </c>
      <c r="J39" s="10">
        <v>57.876458523541388</v>
      </c>
      <c r="K39" s="10">
        <v>64.276991063448449</v>
      </c>
      <c r="L39" s="10">
        <v>71.540676129620792</v>
      </c>
      <c r="M39" s="10">
        <v>74.128057490557737</v>
      </c>
      <c r="N39" s="10">
        <v>79.289305063965926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0">
        <f t="shared" si="0"/>
        <v>65.725241608149545</v>
      </c>
      <c r="AA39" s="10">
        <f t="shared" si="1"/>
        <v>84.789995952358097</v>
      </c>
      <c r="AB39" s="10">
        <f t="shared" si="2"/>
        <v>48.325101977718823</v>
      </c>
    </row>
    <row r="40" spans="1:28" x14ac:dyDescent="0.25">
      <c r="A40" s="9">
        <v>26</v>
      </c>
      <c r="B40" s="10">
        <v>83.118706918908714</v>
      </c>
      <c r="C40" s="10">
        <v>78.999577290788963</v>
      </c>
      <c r="D40" s="10">
        <v>74.563259642952502</v>
      </c>
      <c r="E40" s="10">
        <v>70.843756308264133</v>
      </c>
      <c r="F40" s="10">
        <v>70.534262536178971</v>
      </c>
      <c r="G40" s="10">
        <v>68.827041069691163</v>
      </c>
      <c r="H40" s="10">
        <v>67.31253681304905</v>
      </c>
      <c r="I40" s="10">
        <v>68.491104410455307</v>
      </c>
      <c r="J40" s="10">
        <v>67.176530953796302</v>
      </c>
      <c r="K40" s="10">
        <v>68.359313222541118</v>
      </c>
      <c r="L40" s="10">
        <v>66.183143865146974</v>
      </c>
      <c r="M40" s="10">
        <v>73.780325597694159</v>
      </c>
      <c r="N40" s="10">
        <v>76.488327844307364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0">
        <f t="shared" si="0"/>
        <v>71.898298959521142</v>
      </c>
      <c r="AA40" s="10">
        <f t="shared" si="1"/>
        <v>83.118706918908714</v>
      </c>
      <c r="AB40" s="10">
        <f t="shared" si="2"/>
        <v>66.183143865146974</v>
      </c>
    </row>
    <row r="41" spans="1:28" x14ac:dyDescent="0.25">
      <c r="A41" s="9">
        <v>27</v>
      </c>
      <c r="B41" s="10">
        <v>86.332559089294307</v>
      </c>
      <c r="C41" s="10">
        <v>79.771398122085841</v>
      </c>
      <c r="D41" s="10">
        <v>71.033209316593911</v>
      </c>
      <c r="E41" s="10">
        <v>68.357430804021575</v>
      </c>
      <c r="F41" s="10">
        <v>63.627102108246412</v>
      </c>
      <c r="G41" s="10">
        <v>60.744979119168796</v>
      </c>
      <c r="H41" s="10">
        <v>59.739187798733283</v>
      </c>
      <c r="I41" s="10">
        <v>58.923507762125759</v>
      </c>
      <c r="J41" s="10">
        <v>65.00313694833838</v>
      </c>
      <c r="K41" s="10">
        <v>66.474561602581659</v>
      </c>
      <c r="L41" s="10">
        <v>69.323249368257194</v>
      </c>
      <c r="M41" s="10">
        <v>70.771100346025079</v>
      </c>
      <c r="N41" s="10">
        <v>75.239623964089077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0">
        <f t="shared" si="0"/>
        <v>68.87238818073547</v>
      </c>
      <c r="AA41" s="10">
        <f t="shared" si="1"/>
        <v>86.332559089294307</v>
      </c>
      <c r="AB41" s="10">
        <f t="shared" si="2"/>
        <v>58.923507762125759</v>
      </c>
    </row>
    <row r="42" spans="1:28" x14ac:dyDescent="0.25">
      <c r="A42" s="9">
        <v>28</v>
      </c>
      <c r="B42" s="10">
        <v>92.158436932544859</v>
      </c>
      <c r="C42" s="10">
        <v>92.215747289768416</v>
      </c>
      <c r="D42" s="10">
        <v>81.012328995139455</v>
      </c>
      <c r="E42" s="10">
        <v>62.516412052040401</v>
      </c>
      <c r="F42" s="10">
        <v>61.670585129977219</v>
      </c>
      <c r="G42" s="10">
        <v>58.433619963571779</v>
      </c>
      <c r="H42" s="10">
        <v>55.196880521343196</v>
      </c>
      <c r="I42" s="10">
        <v>55.003609091331541</v>
      </c>
      <c r="J42" s="10">
        <v>54.154268834885229</v>
      </c>
      <c r="K42" s="10">
        <v>51.189331279438257</v>
      </c>
      <c r="L42" s="10">
        <v>54.885215182840533</v>
      </c>
      <c r="M42" s="10">
        <v>73.73499032145908</v>
      </c>
      <c r="N42" s="10">
        <v>79.384820609656558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0">
        <f t="shared" si="0"/>
        <v>67.042788169538198</v>
      </c>
      <c r="AA42" s="10">
        <f t="shared" si="1"/>
        <v>92.215747289768416</v>
      </c>
      <c r="AB42" s="10">
        <f t="shared" si="2"/>
        <v>51.189331279438257</v>
      </c>
    </row>
    <row r="43" spans="1:28" x14ac:dyDescent="0.25">
      <c r="A43" s="9">
        <v>29</v>
      </c>
      <c r="B43" s="10">
        <v>89.417405911932903</v>
      </c>
      <c r="C43" s="10">
        <v>85.468468249012091</v>
      </c>
      <c r="D43" s="10">
        <v>80.268892669952393</v>
      </c>
      <c r="E43" s="10">
        <v>73.298662978911182</v>
      </c>
      <c r="F43" s="10">
        <v>72.084809010718615</v>
      </c>
      <c r="G43" s="10">
        <v>71.033209316593911</v>
      </c>
      <c r="H43" s="10">
        <v>70.01827129653023</v>
      </c>
      <c r="I43" s="10">
        <v>71.933441002788896</v>
      </c>
      <c r="J43" s="10">
        <v>73.661877482589802</v>
      </c>
      <c r="K43" s="10">
        <v>77.127656033612567</v>
      </c>
      <c r="L43" s="10">
        <v>73.298662978911182</v>
      </c>
      <c r="M43" s="10">
        <v>77.972344615804772</v>
      </c>
      <c r="N43" s="10">
        <v>84.715831740918858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0">
        <f t="shared" si="0"/>
        <v>76.946117945252098</v>
      </c>
      <c r="AA43" s="10">
        <f t="shared" si="1"/>
        <v>89.417405911932903</v>
      </c>
      <c r="AB43" s="10">
        <f t="shared" si="2"/>
        <v>70.01827129653023</v>
      </c>
    </row>
    <row r="44" spans="1:28" x14ac:dyDescent="0.25">
      <c r="A44" s="9">
        <v>30</v>
      </c>
      <c r="B44" s="10">
        <v>88.890103424438209</v>
      </c>
      <c r="C44" s="10">
        <v>85.043123740432691</v>
      </c>
      <c r="D44" s="10">
        <v>78.431962951394553</v>
      </c>
      <c r="E44" s="10">
        <v>77.179729852490269</v>
      </c>
      <c r="F44" s="10">
        <v>74.070882062548776</v>
      </c>
      <c r="G44" s="10">
        <v>75.775603021681007</v>
      </c>
      <c r="H44" s="10">
        <v>75.063367353311918</v>
      </c>
      <c r="I44" s="10">
        <v>67.679057578930355</v>
      </c>
      <c r="J44" s="10">
        <v>71.907229173052954</v>
      </c>
      <c r="K44" s="10">
        <v>77.685199174361657</v>
      </c>
      <c r="L44" s="10">
        <v>79.569668907348316</v>
      </c>
      <c r="M44" s="10">
        <v>79.958357114218288</v>
      </c>
      <c r="N44" s="10">
        <v>83.557268494184072</v>
      </c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10">
        <f t="shared" si="0"/>
        <v>78.062427142184092</v>
      </c>
      <c r="AA44" s="10">
        <f t="shared" si="1"/>
        <v>88.890103424438209</v>
      </c>
      <c r="AB44" s="10">
        <f t="shared" si="2"/>
        <v>67.679057578930355</v>
      </c>
    </row>
    <row r="45" spans="1:28" ht="15.75" thickBot="1" x14ac:dyDescent="0.3">
      <c r="A45" s="12">
        <v>31</v>
      </c>
      <c r="B45" s="13">
        <v>94.881722302512387</v>
      </c>
      <c r="C45" s="13">
        <v>92.399992081647682</v>
      </c>
      <c r="D45" s="13">
        <v>93.263970887488853</v>
      </c>
      <c r="E45" s="13">
        <v>85.650844615991446</v>
      </c>
      <c r="F45" s="13">
        <v>77.975679903278944</v>
      </c>
      <c r="G45" s="13">
        <v>70.784128109960974</v>
      </c>
      <c r="H45" s="13">
        <v>73.516201765591887</v>
      </c>
      <c r="I45" s="13">
        <v>72.606349963958579</v>
      </c>
      <c r="J45" s="13">
        <v>73.627425546942845</v>
      </c>
      <c r="K45" s="13">
        <v>89.824877111856409</v>
      </c>
      <c r="L45" s="13">
        <v>88.338556606876153</v>
      </c>
      <c r="M45" s="13">
        <v>91.530740973431563</v>
      </c>
      <c r="N45" s="13">
        <v>93.167757326285368</v>
      </c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13">
        <f t="shared" si="0"/>
        <v>84.428326707370999</v>
      </c>
      <c r="AA45" s="13">
        <f t="shared" si="1"/>
        <v>94.881722302512387</v>
      </c>
      <c r="AB45" s="13">
        <f t="shared" si="2"/>
        <v>70.784128109960974</v>
      </c>
    </row>
    <row r="46" spans="1:28" ht="16.5" thickTop="1" thickBot="1" x14ac:dyDescent="0.3">
      <c r="A46" s="35" t="s">
        <v>27</v>
      </c>
      <c r="B46" s="36">
        <f t="shared" ref="B46:N46" si="3">MAX(B15:B45)</f>
        <v>94.881722302512387</v>
      </c>
      <c r="C46" s="36">
        <f t="shared" si="3"/>
        <v>92.399992081647682</v>
      </c>
      <c r="D46" s="36">
        <f t="shared" si="3"/>
        <v>93.263970887488853</v>
      </c>
      <c r="E46" s="36">
        <f t="shared" si="3"/>
        <v>85.650844615991446</v>
      </c>
      <c r="F46" s="36">
        <f t="shared" si="3"/>
        <v>77.975679903278944</v>
      </c>
      <c r="G46" s="36">
        <f t="shared" si="3"/>
        <v>76.288451319675147</v>
      </c>
      <c r="H46" s="36">
        <f t="shared" si="3"/>
        <v>86.661459694853477</v>
      </c>
      <c r="I46" s="36">
        <f t="shared" si="3"/>
        <v>88.758392692627268</v>
      </c>
      <c r="J46" s="36">
        <f t="shared" si="3"/>
        <v>88.758392692627268</v>
      </c>
      <c r="K46" s="36">
        <f t="shared" si="3"/>
        <v>89.824877111856409</v>
      </c>
      <c r="L46" s="36">
        <f t="shared" si="3"/>
        <v>91.726372472715113</v>
      </c>
      <c r="M46" s="36">
        <f t="shared" si="3"/>
        <v>96.73620600545533</v>
      </c>
      <c r="N46" s="36">
        <f t="shared" si="3"/>
        <v>94.9996701525737</v>
      </c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38">
        <f>MAX(Z15:Z45)</f>
        <v>84.428326707370999</v>
      </c>
      <c r="AA46" s="38">
        <f t="shared" ref="AA46:AB46" si="4">MAX(AA15:AA45)</f>
        <v>96.73620600545533</v>
      </c>
      <c r="AB46" s="38">
        <f t="shared" si="4"/>
        <v>70.784128109960974</v>
      </c>
    </row>
    <row r="47" spans="1:28" ht="16.5" thickTop="1" thickBot="1" x14ac:dyDescent="0.3">
      <c r="A47" s="35" t="s">
        <v>28</v>
      </c>
      <c r="B47" s="36">
        <f t="shared" ref="B47:N47" si="5">MIN(B15:B45)</f>
        <v>83.118706918908714</v>
      </c>
      <c r="C47" s="36">
        <f t="shared" si="5"/>
        <v>71.956916711355589</v>
      </c>
      <c r="D47" s="36">
        <f t="shared" si="5"/>
        <v>64.210650853357464</v>
      </c>
      <c r="E47" s="36">
        <f t="shared" si="5"/>
        <v>58.613818329389325</v>
      </c>
      <c r="F47" s="36">
        <f t="shared" si="5"/>
        <v>55.949565476901483</v>
      </c>
      <c r="G47" s="36">
        <f t="shared" si="5"/>
        <v>50.569356798237344</v>
      </c>
      <c r="H47" s="36">
        <f t="shared" si="5"/>
        <v>48.325101977718823</v>
      </c>
      <c r="I47" s="36">
        <f t="shared" si="5"/>
        <v>53.672554980093878</v>
      </c>
      <c r="J47" s="36">
        <f t="shared" si="5"/>
        <v>51.368028345445573</v>
      </c>
      <c r="K47" s="36">
        <f t="shared" si="5"/>
        <v>51.189331279438257</v>
      </c>
      <c r="L47" s="36">
        <f t="shared" si="5"/>
        <v>54.348896341595236</v>
      </c>
      <c r="M47" s="36">
        <f t="shared" si="5"/>
        <v>67.108061002723758</v>
      </c>
      <c r="N47" s="36">
        <f t="shared" si="5"/>
        <v>69.479550902297788</v>
      </c>
      <c r="O47" s="47"/>
      <c r="P47" s="47"/>
      <c r="Q47" s="47"/>
      <c r="R47" s="48"/>
      <c r="S47" s="49"/>
      <c r="T47" s="48"/>
      <c r="U47" s="48"/>
      <c r="V47" s="48"/>
      <c r="W47" s="48"/>
      <c r="X47" s="48"/>
      <c r="Y47" s="48"/>
      <c r="Z47" s="38">
        <f>MIN(Z16:Z46)</f>
        <v>65.725241608149545</v>
      </c>
      <c r="AA47" s="38">
        <f t="shared" ref="AA47:AB47" si="6">MIN(AA16:AA46)</f>
        <v>83.118706918908714</v>
      </c>
      <c r="AB47" s="38">
        <f t="shared" si="6"/>
        <v>48.325101977718823</v>
      </c>
    </row>
    <row r="48" spans="1:28" ht="15.75" thickTop="1" x14ac:dyDescent="0.25">
      <c r="A48" s="35" t="s">
        <v>35</v>
      </c>
      <c r="B48" s="36">
        <f t="shared" ref="B48:N48" si="7">AVERAGE(B15:B45)</f>
        <v>89.215362895418522</v>
      </c>
      <c r="C48" s="36">
        <f t="shared" si="7"/>
        <v>82.310018142267012</v>
      </c>
      <c r="D48" s="36">
        <f t="shared" si="7"/>
        <v>75.334214017791865</v>
      </c>
      <c r="E48" s="36">
        <f t="shared" si="7"/>
        <v>69.479984377176081</v>
      </c>
      <c r="F48" s="36">
        <f t="shared" si="7"/>
        <v>65.951551865875615</v>
      </c>
      <c r="G48" s="36">
        <f t="shared" si="7"/>
        <v>63.590325674940352</v>
      </c>
      <c r="H48" s="36">
        <f t="shared" si="7"/>
        <v>63.327715062011798</v>
      </c>
      <c r="I48" s="36">
        <f t="shared" si="7"/>
        <v>64.910240069726484</v>
      </c>
      <c r="J48" s="36">
        <f t="shared" si="7"/>
        <v>66.779664093814844</v>
      </c>
      <c r="K48" s="36">
        <f t="shared" si="7"/>
        <v>70.388728981716284</v>
      </c>
      <c r="L48" s="36">
        <f t="shared" si="7"/>
        <v>73.390344891627407</v>
      </c>
      <c r="M48" s="36">
        <f t="shared" si="7"/>
        <v>78.397535932950959</v>
      </c>
      <c r="N48" s="36">
        <f t="shared" si="7"/>
        <v>81.154972827973026</v>
      </c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38">
        <f>AVERAGE(Z17:Z47)</f>
        <v>72.755588553442706</v>
      </c>
      <c r="AA48" s="38">
        <f t="shared" ref="AA48:AB48" si="8">AVERAGE(AA17:AA47)</f>
        <v>89.982526912894741</v>
      </c>
      <c r="AB48" s="38">
        <f t="shared" si="8"/>
        <v>60.416980946742655</v>
      </c>
    </row>
    <row r="49" spans="1:28" x14ac:dyDescent="0.25">
      <c r="A49" s="15" t="s">
        <v>30</v>
      </c>
      <c r="AA49" s="16"/>
      <c r="AB49" s="16"/>
    </row>
    <row r="50" spans="1:28" x14ac:dyDescent="0.25">
      <c r="A50" s="17"/>
      <c r="B50" s="18" t="s">
        <v>31</v>
      </c>
      <c r="C50" s="16"/>
      <c r="D50" s="16"/>
      <c r="E50" s="16"/>
      <c r="F50" s="19"/>
      <c r="G50" s="57"/>
      <c r="H50" s="57"/>
      <c r="I50" s="57"/>
      <c r="J50" s="57"/>
      <c r="K50" s="57"/>
      <c r="L50" s="57"/>
      <c r="M50" s="20"/>
      <c r="N50" s="20"/>
      <c r="O50" s="20"/>
      <c r="P50" s="20"/>
      <c r="Q50" s="20"/>
      <c r="R50" s="21"/>
      <c r="S50" s="22"/>
      <c r="Y50" s="21" t="s">
        <v>57</v>
      </c>
      <c r="Z50" s="21"/>
      <c r="AA50" s="21"/>
      <c r="AB50" s="16"/>
    </row>
    <row r="51" spans="1:28" x14ac:dyDescent="0.25">
      <c r="A51" s="19"/>
      <c r="B51" s="19"/>
      <c r="C51" s="16"/>
      <c r="D51" s="16"/>
      <c r="E51" s="16"/>
      <c r="F51" s="19"/>
      <c r="G51" s="57"/>
      <c r="H51" s="57"/>
      <c r="I51" s="57"/>
      <c r="J51" s="57"/>
      <c r="K51" s="57"/>
      <c r="L51" s="57"/>
      <c r="M51" s="20"/>
      <c r="N51" s="20"/>
      <c r="O51" s="20"/>
      <c r="P51" s="20"/>
      <c r="Q51" s="20"/>
      <c r="R51" s="21"/>
      <c r="S51" s="22"/>
      <c r="Y51" s="21"/>
      <c r="Z51" s="21"/>
      <c r="AA51" s="21"/>
      <c r="AB51" s="16"/>
    </row>
    <row r="52" spans="1:28" x14ac:dyDescent="0.25">
      <c r="A52" s="19"/>
      <c r="B52" s="19"/>
      <c r="C52" s="16"/>
      <c r="D52" s="16"/>
      <c r="E52" s="16"/>
      <c r="F52" s="19"/>
      <c r="G52" s="57"/>
      <c r="H52" s="57"/>
      <c r="I52" s="57"/>
      <c r="J52" s="57"/>
      <c r="K52" s="57"/>
      <c r="L52" s="57"/>
      <c r="M52" s="20"/>
      <c r="N52" s="20"/>
      <c r="O52" s="20"/>
      <c r="P52" s="20"/>
      <c r="Q52" s="20"/>
      <c r="R52" s="21"/>
      <c r="S52" s="22"/>
      <c r="W52" s="57" t="s">
        <v>58</v>
      </c>
      <c r="X52" s="57"/>
      <c r="Y52" s="57"/>
      <c r="Z52" s="57"/>
      <c r="AA52" s="57"/>
      <c r="AB52" s="57"/>
    </row>
    <row r="53" spans="1:28" x14ac:dyDescent="0.25">
      <c r="A53" s="19"/>
      <c r="B53" s="19"/>
      <c r="C53" s="16"/>
      <c r="D53" s="16"/>
      <c r="E53" s="16"/>
      <c r="F53" s="19"/>
      <c r="G53" s="57"/>
      <c r="H53" s="57"/>
      <c r="I53" s="57"/>
      <c r="J53" s="57"/>
      <c r="K53" s="57"/>
      <c r="L53" s="57"/>
      <c r="M53" s="20"/>
      <c r="N53" s="20"/>
      <c r="O53" s="20"/>
      <c r="P53" s="20"/>
      <c r="Q53" s="20"/>
      <c r="R53" s="21"/>
      <c r="S53" s="22"/>
      <c r="AB53" s="16"/>
    </row>
    <row r="54" spans="1:28" x14ac:dyDescent="0.25">
      <c r="A54" s="19"/>
      <c r="B54" s="19"/>
      <c r="C54" s="16"/>
      <c r="D54" s="16"/>
      <c r="E54" s="16"/>
      <c r="F54" s="19"/>
      <c r="G54" s="21"/>
      <c r="H54" s="21"/>
      <c r="I54" s="21"/>
      <c r="J54" s="21"/>
      <c r="K54" s="21"/>
      <c r="L54" s="21"/>
      <c r="M54" s="20"/>
      <c r="N54" s="20"/>
      <c r="O54" s="20"/>
      <c r="P54" s="20"/>
      <c r="Q54" s="20"/>
      <c r="R54" s="21"/>
      <c r="S54" s="22"/>
      <c r="AB54" s="16"/>
    </row>
    <row r="55" spans="1:28" x14ac:dyDescent="0.25">
      <c r="A55" s="19"/>
      <c r="B55" s="19"/>
      <c r="C55" s="16"/>
      <c r="D55" s="16"/>
      <c r="E55" s="16"/>
      <c r="F55" s="19"/>
      <c r="G55" s="21"/>
      <c r="H55" s="21"/>
      <c r="I55" s="21"/>
      <c r="J55" s="20"/>
      <c r="K55" s="20"/>
      <c r="L55" s="20"/>
      <c r="M55" s="20"/>
      <c r="N55" s="20"/>
      <c r="O55" s="22"/>
      <c r="P55" s="23"/>
      <c r="Q55" s="23"/>
      <c r="R55" s="21"/>
      <c r="S55" s="22"/>
      <c r="Y55" s="22"/>
      <c r="Z55" s="21"/>
      <c r="AA55" s="21"/>
    </row>
    <row r="56" spans="1:28" x14ac:dyDescent="0.25">
      <c r="A56" s="19"/>
      <c r="B56" s="19"/>
      <c r="C56" s="16"/>
      <c r="D56" s="16"/>
      <c r="E56" s="16"/>
      <c r="F56" s="19"/>
      <c r="G56" s="58"/>
      <c r="H56" s="58"/>
      <c r="I56" s="58"/>
      <c r="J56" s="58"/>
      <c r="K56" s="58"/>
      <c r="L56" s="58"/>
      <c r="M56" s="24"/>
      <c r="N56" s="24"/>
      <c r="O56" s="24"/>
      <c r="P56" s="24"/>
      <c r="Q56" s="24"/>
      <c r="R56" s="21"/>
      <c r="S56" s="22"/>
      <c r="Y56" s="22"/>
      <c r="Z56" s="21"/>
      <c r="AA56" s="21"/>
    </row>
    <row r="57" spans="1:28" x14ac:dyDescent="0.25">
      <c r="A57" s="19"/>
      <c r="B57" s="19"/>
      <c r="C57" s="16"/>
      <c r="D57" s="16"/>
      <c r="E57" s="16"/>
      <c r="F57" s="19"/>
      <c r="G57" s="57"/>
      <c r="H57" s="57"/>
      <c r="I57" s="57"/>
      <c r="J57" s="57"/>
      <c r="K57" s="57"/>
      <c r="L57" s="57"/>
      <c r="M57" s="25"/>
      <c r="N57" s="25"/>
      <c r="O57" s="25"/>
      <c r="P57" s="25"/>
      <c r="Q57" s="25"/>
      <c r="R57" s="21"/>
      <c r="S57" s="22"/>
      <c r="Y57" s="22"/>
      <c r="Z57" s="21"/>
      <c r="AA57" s="21"/>
    </row>
    <row r="58" spans="1:28" x14ac:dyDescent="0.25">
      <c r="Y58" s="26"/>
      <c r="Z58" s="26"/>
      <c r="AA58" s="26"/>
    </row>
    <row r="59" spans="1:28" x14ac:dyDescent="0.25">
      <c r="Y59" s="21"/>
      <c r="Z59" s="21"/>
      <c r="AA59" s="21"/>
    </row>
  </sheetData>
  <mergeCells count="14">
    <mergeCell ref="G56:L56"/>
    <mergeCell ref="G57:L57"/>
    <mergeCell ref="G50:L50"/>
    <mergeCell ref="G53:L53"/>
    <mergeCell ref="G51:L51"/>
    <mergeCell ref="G52:L52"/>
    <mergeCell ref="Z11:AA11"/>
    <mergeCell ref="W52:AB52"/>
    <mergeCell ref="A1:AB1"/>
    <mergeCell ref="A2:AB2"/>
    <mergeCell ref="A3:AB3"/>
    <mergeCell ref="A4:AB4"/>
    <mergeCell ref="A6:AB6"/>
    <mergeCell ref="A7:A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B58"/>
  <sheetViews>
    <sheetView topLeftCell="A31" workbookViewId="0">
      <selection activeCell="W49" sqref="W49:AB51"/>
    </sheetView>
  </sheetViews>
  <sheetFormatPr defaultRowHeight="15" x14ac:dyDescent="0.25"/>
  <cols>
    <col min="1" max="28" width="5.7109375" customWidth="1"/>
  </cols>
  <sheetData>
    <row r="1" spans="1:28" ht="15.75" x14ac:dyDescent="0.25">
      <c r="A1" s="61" t="s">
        <v>43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</row>
    <row r="2" spans="1:28" ht="15.75" x14ac:dyDescent="0.25">
      <c r="A2" s="61" t="s">
        <v>44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</row>
    <row r="3" spans="1:28" x14ac:dyDescent="0.25">
      <c r="A3" s="62" t="s">
        <v>45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</row>
    <row r="4" spans="1:28" ht="15.75" thickBot="1" x14ac:dyDescent="0.3">
      <c r="A4" s="63" t="s">
        <v>46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</row>
    <row r="5" spans="1:28" ht="9" customHeight="1" x14ac:dyDescent="0.25">
      <c r="A5" s="27"/>
      <c r="B5" s="27"/>
      <c r="C5" s="27"/>
      <c r="D5" s="27"/>
      <c r="E5" s="27"/>
      <c r="F5" s="27"/>
    </row>
    <row r="6" spans="1:28" x14ac:dyDescent="0.25">
      <c r="A6" s="64" t="s">
        <v>56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</row>
    <row r="7" spans="1:28" ht="14.25" customHeight="1" x14ac:dyDescent="0.25">
      <c r="A7" s="65" t="s">
        <v>59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</row>
    <row r="8" spans="1:28" ht="7.5" customHeight="1" x14ac:dyDescent="0.25"/>
    <row r="9" spans="1:28" x14ac:dyDescent="0.25">
      <c r="A9" s="42" t="s">
        <v>47</v>
      </c>
      <c r="B9" s="42"/>
      <c r="C9" s="43" t="s">
        <v>48</v>
      </c>
    </row>
    <row r="10" spans="1:28" x14ac:dyDescent="0.25">
      <c r="A10" t="s">
        <v>49</v>
      </c>
      <c r="B10" s="42"/>
      <c r="C10" t="s">
        <v>50</v>
      </c>
    </row>
    <row r="11" spans="1:28" x14ac:dyDescent="0.25">
      <c r="A11" t="s">
        <v>51</v>
      </c>
      <c r="C11" t="s">
        <v>52</v>
      </c>
      <c r="Y11" s="44" t="s">
        <v>53</v>
      </c>
      <c r="Z11" s="60" t="s">
        <v>54</v>
      </c>
      <c r="AA11" s="60"/>
    </row>
    <row r="12" spans="1:28" ht="8.25" customHeight="1" x14ac:dyDescent="0.25"/>
    <row r="13" spans="1:28" x14ac:dyDescent="0.25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  <c r="H13" s="3" t="s">
        <v>9</v>
      </c>
      <c r="I13" s="3" t="s">
        <v>10</v>
      </c>
      <c r="J13" s="3" t="s">
        <v>11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  <c r="P13" s="3" t="s">
        <v>17</v>
      </c>
      <c r="Q13" s="3" t="s">
        <v>18</v>
      </c>
      <c r="R13" s="3" t="s">
        <v>19</v>
      </c>
      <c r="S13" s="3" t="s">
        <v>20</v>
      </c>
      <c r="T13" s="3" t="s">
        <v>21</v>
      </c>
      <c r="U13" s="3" t="s">
        <v>22</v>
      </c>
      <c r="V13" s="3" t="s">
        <v>23</v>
      </c>
      <c r="W13" s="3" t="s">
        <v>24</v>
      </c>
      <c r="X13" s="3" t="s">
        <v>25</v>
      </c>
      <c r="Y13" s="3" t="s">
        <v>26</v>
      </c>
      <c r="Z13" s="50" t="s">
        <v>63</v>
      </c>
      <c r="AA13" s="50" t="s">
        <v>27</v>
      </c>
      <c r="AB13" s="50" t="s">
        <v>28</v>
      </c>
    </row>
    <row r="14" spans="1:28" x14ac:dyDescent="0.25">
      <c r="A14" s="5" t="s">
        <v>29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1">
        <v>25</v>
      </c>
      <c r="AA14" s="51">
        <v>26</v>
      </c>
      <c r="AB14" s="51">
        <v>27</v>
      </c>
    </row>
    <row r="15" spans="1:28" x14ac:dyDescent="0.25">
      <c r="A15" s="6">
        <v>1</v>
      </c>
      <c r="B15" s="7">
        <v>93.101814744269959</v>
      </c>
      <c r="C15" s="7">
        <v>83.822740725063611</v>
      </c>
      <c r="D15" s="7">
        <v>78.557482738561959</v>
      </c>
      <c r="E15" s="7">
        <v>69.8152939061154</v>
      </c>
      <c r="F15" s="7">
        <v>65.580549592024212</v>
      </c>
      <c r="G15" s="7">
        <v>62.63528567782356</v>
      </c>
      <c r="H15" s="7">
        <v>57.698044088409048</v>
      </c>
      <c r="I15" s="7">
        <v>66.832180876790332</v>
      </c>
      <c r="J15" s="7">
        <v>64.325223913221464</v>
      </c>
      <c r="K15" s="7">
        <v>63.085448392751509</v>
      </c>
      <c r="L15" s="7">
        <v>74.683288699912481</v>
      </c>
      <c r="M15" s="7">
        <v>81.406521414660631</v>
      </c>
      <c r="N15" s="7">
        <v>84.184813194407482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52">
        <f>AVERAGE(B15:N15)</f>
        <v>72.748360612616281</v>
      </c>
      <c r="AA15" s="52">
        <f>MAX(B15:N15)</f>
        <v>93.101814744269959</v>
      </c>
      <c r="AB15" s="52">
        <f>MIN(B15:Y15)</f>
        <v>57.698044088409048</v>
      </c>
    </row>
    <row r="16" spans="1:28" x14ac:dyDescent="0.25">
      <c r="A16" s="9">
        <v>2</v>
      </c>
      <c r="B16" s="10">
        <v>89.921165122015651</v>
      </c>
      <c r="C16" s="10">
        <v>82.509603433418292</v>
      </c>
      <c r="D16" s="10">
        <v>73.290208372739471</v>
      </c>
      <c r="E16" s="10">
        <v>67.580321726852745</v>
      </c>
      <c r="F16" s="10">
        <v>59.901258776394741</v>
      </c>
      <c r="G16" s="10">
        <v>62.306163689807228</v>
      </c>
      <c r="H16" s="10">
        <v>64.342695946328703</v>
      </c>
      <c r="I16" s="10">
        <v>64.617224486033393</v>
      </c>
      <c r="J16" s="10">
        <v>64.467119704332802</v>
      </c>
      <c r="K16" s="10">
        <v>65.860323454483165</v>
      </c>
      <c r="L16" s="10">
        <v>71.342104539743104</v>
      </c>
      <c r="M16" s="10">
        <v>81.158079831414014</v>
      </c>
      <c r="N16" s="10">
        <v>89.277716228241317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53">
        <f t="shared" ref="Z16:Z44" si="0">AVERAGE(B16:N16)</f>
        <v>72.044152716292672</v>
      </c>
      <c r="AA16" s="53">
        <f t="shared" ref="AA16:AA44" si="1">MAX(B16:N16)</f>
        <v>89.921165122015651</v>
      </c>
      <c r="AB16" s="53">
        <f t="shared" ref="AB16:AB44" si="2">MIN(B16:Y16)</f>
        <v>59.901258776394741</v>
      </c>
    </row>
    <row r="17" spans="1:28" x14ac:dyDescent="0.25">
      <c r="A17" s="9">
        <v>3</v>
      </c>
      <c r="B17" s="10">
        <v>95.706722906100097</v>
      </c>
      <c r="C17" s="10">
        <v>88.473710441923501</v>
      </c>
      <c r="D17" s="10">
        <v>81.158079831414014</v>
      </c>
      <c r="E17" s="10">
        <v>72.597461681764116</v>
      </c>
      <c r="F17" s="10">
        <v>67.039089716075779</v>
      </c>
      <c r="G17" s="10">
        <v>66.730466106778579</v>
      </c>
      <c r="H17" s="10">
        <v>64.795976281836062</v>
      </c>
      <c r="I17" s="10">
        <v>66.083287233257934</v>
      </c>
      <c r="J17" s="10">
        <v>62.786899188970658</v>
      </c>
      <c r="K17" s="10">
        <v>65.87148937682656</v>
      </c>
      <c r="L17" s="10">
        <v>73.531244067092288</v>
      </c>
      <c r="M17" s="10">
        <v>80.814053293615203</v>
      </c>
      <c r="N17" s="10">
        <v>85.217992989837029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53">
        <f t="shared" si="0"/>
        <v>74.677421008883982</v>
      </c>
      <c r="AA17" s="53">
        <f t="shared" si="1"/>
        <v>95.706722906100097</v>
      </c>
      <c r="AB17" s="53">
        <f t="shared" si="2"/>
        <v>62.786899188970658</v>
      </c>
    </row>
    <row r="18" spans="1:28" x14ac:dyDescent="0.25">
      <c r="A18" s="9">
        <v>4</v>
      </c>
      <c r="B18" s="10">
        <v>91.127663660013241</v>
      </c>
      <c r="C18" s="10">
        <v>83.321396443091601</v>
      </c>
      <c r="D18" s="10">
        <v>84.744011969391934</v>
      </c>
      <c r="E18" s="10">
        <v>70.149349812529437</v>
      </c>
      <c r="F18" s="10">
        <v>63.158021257073912</v>
      </c>
      <c r="G18" s="10">
        <v>60.197894386743741</v>
      </c>
      <c r="H18" s="10">
        <v>57.1853719531615</v>
      </c>
      <c r="I18" s="10">
        <v>63.742750164539494</v>
      </c>
      <c r="J18" s="10">
        <v>63.742750164539494</v>
      </c>
      <c r="K18" s="10">
        <v>63.289668150315528</v>
      </c>
      <c r="L18" s="10">
        <v>78.272129214173759</v>
      </c>
      <c r="M18" s="10">
        <v>79.569668907348316</v>
      </c>
      <c r="N18" s="10">
        <v>88.446975599750772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53">
        <f t="shared" si="0"/>
        <v>72.842127052513291</v>
      </c>
      <c r="AA18" s="53">
        <f t="shared" si="1"/>
        <v>91.127663660013241</v>
      </c>
      <c r="AB18" s="53">
        <f t="shared" si="2"/>
        <v>57.1853719531615</v>
      </c>
    </row>
    <row r="19" spans="1:28" x14ac:dyDescent="0.25">
      <c r="A19" s="9">
        <v>5</v>
      </c>
      <c r="B19" s="10">
        <v>89.824877111856409</v>
      </c>
      <c r="C19" s="10">
        <v>80.72567796841399</v>
      </c>
      <c r="D19" s="10">
        <v>78.174946208957891</v>
      </c>
      <c r="E19" s="10">
        <v>71.846947778957102</v>
      </c>
      <c r="F19" s="10">
        <v>71.846947778957102</v>
      </c>
      <c r="G19" s="10">
        <v>61.933305204455813</v>
      </c>
      <c r="H19" s="10">
        <v>57.197261590800032</v>
      </c>
      <c r="I19" s="10">
        <v>65.22579188406219</v>
      </c>
      <c r="J19" s="10">
        <v>68.421303550004168</v>
      </c>
      <c r="K19" s="10">
        <v>73.985480335888511</v>
      </c>
      <c r="L19" s="10">
        <v>78.368269882760842</v>
      </c>
      <c r="M19" s="10">
        <v>84.149480987485191</v>
      </c>
      <c r="N19" s="10">
        <v>79.615513693706291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53">
        <f t="shared" si="0"/>
        <v>73.947369536638888</v>
      </c>
      <c r="AA19" s="53">
        <f t="shared" si="1"/>
        <v>89.824877111856409</v>
      </c>
      <c r="AB19" s="53">
        <f t="shared" si="2"/>
        <v>57.197261590800032</v>
      </c>
    </row>
    <row r="20" spans="1:28" x14ac:dyDescent="0.25">
      <c r="A20" s="9">
        <v>6</v>
      </c>
      <c r="B20" s="10">
        <v>88.446975599750772</v>
      </c>
      <c r="C20" s="10">
        <v>83.969930982786138</v>
      </c>
      <c r="D20" s="10">
        <v>79.751570735784398</v>
      </c>
      <c r="E20" s="10">
        <v>74.683288699912481</v>
      </c>
      <c r="F20" s="10">
        <v>70.784128109960974</v>
      </c>
      <c r="G20" s="10">
        <v>64.449335347011726</v>
      </c>
      <c r="H20" s="10">
        <v>62.936946230597066</v>
      </c>
      <c r="I20" s="10">
        <v>64.537523252010914</v>
      </c>
      <c r="J20" s="10">
        <v>66.96383709646085</v>
      </c>
      <c r="K20" s="10">
        <v>69.8152939061154</v>
      </c>
      <c r="L20" s="10">
        <v>80.017191943947921</v>
      </c>
      <c r="M20" s="10">
        <v>82.588198229950223</v>
      </c>
      <c r="N20" s="10">
        <v>86.964847685921953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53">
        <f t="shared" si="0"/>
        <v>75.069928293862375</v>
      </c>
      <c r="AA20" s="53">
        <f t="shared" si="1"/>
        <v>88.446975599750772</v>
      </c>
      <c r="AB20" s="53">
        <f t="shared" si="2"/>
        <v>62.936946230597066</v>
      </c>
    </row>
    <row r="21" spans="1:28" x14ac:dyDescent="0.25">
      <c r="A21" s="9">
        <v>7</v>
      </c>
      <c r="B21" s="10">
        <v>92.345789175537178</v>
      </c>
      <c r="C21" s="10">
        <v>83.896736925091147</v>
      </c>
      <c r="D21" s="10">
        <v>76.387735371476012</v>
      </c>
      <c r="E21" s="10">
        <v>70.295635929820108</v>
      </c>
      <c r="F21" s="10">
        <v>65.012624330656905</v>
      </c>
      <c r="G21" s="10">
        <v>63.377902771134032</v>
      </c>
      <c r="H21" s="10">
        <v>62.453593355798965</v>
      </c>
      <c r="I21" s="10">
        <v>63.377902771134032</v>
      </c>
      <c r="J21" s="10">
        <v>81.324594065900854</v>
      </c>
      <c r="K21" s="10">
        <v>85.714771674595454</v>
      </c>
      <c r="L21" s="10">
        <v>90.329253075595716</v>
      </c>
      <c r="M21" s="10">
        <v>88.707884038296882</v>
      </c>
      <c r="N21" s="10">
        <v>91.68809926880499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53">
        <f t="shared" si="0"/>
        <v>78.070194057987862</v>
      </c>
      <c r="AA21" s="53">
        <f t="shared" si="1"/>
        <v>92.345789175537178</v>
      </c>
      <c r="AB21" s="53">
        <f t="shared" si="2"/>
        <v>62.453593355798965</v>
      </c>
    </row>
    <row r="22" spans="1:28" x14ac:dyDescent="0.25">
      <c r="A22" s="9">
        <v>8</v>
      </c>
      <c r="B22" s="10">
        <v>94.081459885738553</v>
      </c>
      <c r="C22" s="10">
        <v>89.375791190256564</v>
      </c>
      <c r="D22" s="10">
        <v>80.666714991687755</v>
      </c>
      <c r="E22" s="10">
        <v>73.403801579739962</v>
      </c>
      <c r="F22" s="10">
        <v>72.943614293302261</v>
      </c>
      <c r="G22" s="10">
        <v>67.580321726852745</v>
      </c>
      <c r="H22" s="10">
        <v>66.765844771671453</v>
      </c>
      <c r="I22" s="10">
        <v>73.333931893494324</v>
      </c>
      <c r="J22" s="10">
        <v>81.567778571788381</v>
      </c>
      <c r="K22" s="10">
        <v>88.393064158060469</v>
      </c>
      <c r="L22" s="10">
        <v>85.043123740432691</v>
      </c>
      <c r="M22" s="10">
        <v>96.500714289497807</v>
      </c>
      <c r="N22" s="10">
        <v>95.654878515675122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53">
        <f t="shared" si="0"/>
        <v>81.947003046784474</v>
      </c>
      <c r="AA22" s="53">
        <f t="shared" si="1"/>
        <v>96.500714289497807</v>
      </c>
      <c r="AB22" s="53">
        <f t="shared" si="2"/>
        <v>66.765844771671453</v>
      </c>
    </row>
    <row r="23" spans="1:28" x14ac:dyDescent="0.25">
      <c r="A23" s="9">
        <v>9</v>
      </c>
      <c r="B23" s="10">
        <v>94.857344951335847</v>
      </c>
      <c r="C23" s="10">
        <v>87.024329978942021</v>
      </c>
      <c r="D23" s="10">
        <v>73.059375099659647</v>
      </c>
      <c r="E23" s="10">
        <v>66.900192873680993</v>
      </c>
      <c r="F23" s="10">
        <v>67.31253681304905</v>
      </c>
      <c r="G23" s="10">
        <v>67.712139675672887</v>
      </c>
      <c r="H23" s="10">
        <v>73.954200751397892</v>
      </c>
      <c r="I23" s="10">
        <v>76.642437179068139</v>
      </c>
      <c r="J23" s="10">
        <v>83.969930982786138</v>
      </c>
      <c r="K23" s="10">
        <v>94.782567829893352</v>
      </c>
      <c r="L23" s="10">
        <v>93.017286667332172</v>
      </c>
      <c r="M23" s="10">
        <v>94.744228988376278</v>
      </c>
      <c r="N23" s="10">
        <v>93.034382575167328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53">
        <f t="shared" si="0"/>
        <v>82.077765720489353</v>
      </c>
      <c r="AA23" s="53">
        <f t="shared" si="1"/>
        <v>94.857344951335847</v>
      </c>
      <c r="AB23" s="53">
        <f t="shared" si="2"/>
        <v>66.900192873680993</v>
      </c>
    </row>
    <row r="24" spans="1:28" x14ac:dyDescent="0.25">
      <c r="A24" s="9">
        <v>10</v>
      </c>
      <c r="B24" s="10">
        <v>86.782450820642936</v>
      </c>
      <c r="C24" s="10">
        <v>82.509603433418292</v>
      </c>
      <c r="D24" s="10">
        <v>77.831603044410059</v>
      </c>
      <c r="E24" s="10">
        <v>71.463418455242063</v>
      </c>
      <c r="F24" s="10">
        <v>67.31253681304905</v>
      </c>
      <c r="G24" s="10">
        <v>72.16518276949283</v>
      </c>
      <c r="H24" s="10">
        <v>76.086559339912753</v>
      </c>
      <c r="I24" s="10">
        <v>98.248312933070963</v>
      </c>
      <c r="J24" s="10">
        <v>98.256753770221422</v>
      </c>
      <c r="K24" s="10">
        <v>96.55917508812108</v>
      </c>
      <c r="L24" s="10">
        <v>94.905832015442712</v>
      </c>
      <c r="M24" s="10">
        <v>94.905832015442712</v>
      </c>
      <c r="N24" s="10">
        <v>93.034382575167328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53">
        <f t="shared" si="0"/>
        <v>85.389357159510311</v>
      </c>
      <c r="AA24" s="53">
        <f t="shared" si="1"/>
        <v>98.256753770221422</v>
      </c>
      <c r="AB24" s="53">
        <f t="shared" si="2"/>
        <v>67.31253681304905</v>
      </c>
    </row>
    <row r="25" spans="1:28" x14ac:dyDescent="0.25">
      <c r="A25" s="9">
        <v>11</v>
      </c>
      <c r="B25" s="10">
        <v>95.706722906100097</v>
      </c>
      <c r="C25" s="10">
        <v>90.015347770751774</v>
      </c>
      <c r="D25" s="10">
        <v>81.073467546751985</v>
      </c>
      <c r="E25" s="10">
        <v>81.910645591784984</v>
      </c>
      <c r="F25" s="10">
        <v>84.184813194407482</v>
      </c>
      <c r="G25" s="10">
        <v>78.650583612557497</v>
      </c>
      <c r="H25" s="10">
        <v>74.790838423941608</v>
      </c>
      <c r="I25" s="10">
        <v>79.768820054768838</v>
      </c>
      <c r="J25" s="10">
        <v>73.403801579739962</v>
      </c>
      <c r="K25" s="10">
        <v>74.574595333638541</v>
      </c>
      <c r="L25" s="10">
        <v>74.844083714500869</v>
      </c>
      <c r="M25" s="10">
        <v>81.073467546751985</v>
      </c>
      <c r="N25" s="10">
        <v>83.896736925091147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53">
        <f t="shared" si="0"/>
        <v>81.068763400060504</v>
      </c>
      <c r="AA25" s="53">
        <f t="shared" si="1"/>
        <v>95.706722906100097</v>
      </c>
      <c r="AB25" s="53">
        <f t="shared" si="2"/>
        <v>73.403801579739962</v>
      </c>
    </row>
    <row r="26" spans="1:28" x14ac:dyDescent="0.25">
      <c r="A26" s="9">
        <v>12</v>
      </c>
      <c r="B26" s="10">
        <v>91.649405643001401</v>
      </c>
      <c r="C26" s="10">
        <v>85.454869935021705</v>
      </c>
      <c r="D26" s="10">
        <v>69.656056100089742</v>
      </c>
      <c r="E26" s="10">
        <v>65.366856813423652</v>
      </c>
      <c r="F26" s="10">
        <v>60.632906828880131</v>
      </c>
      <c r="G26" s="10">
        <v>59.742484089310175</v>
      </c>
      <c r="H26" s="10">
        <v>54.400655695265812</v>
      </c>
      <c r="I26" s="10">
        <v>65.294227195928684</v>
      </c>
      <c r="J26" s="10">
        <v>67.712139675672887</v>
      </c>
      <c r="K26" s="10">
        <v>74.790838423941608</v>
      </c>
      <c r="L26" s="10">
        <v>74.954312989357916</v>
      </c>
      <c r="M26" s="10">
        <v>82.030795597571043</v>
      </c>
      <c r="N26" s="10">
        <v>87.083169493220765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53">
        <f t="shared" si="0"/>
        <v>72.21297834466813</v>
      </c>
      <c r="AA26" s="53">
        <f t="shared" si="1"/>
        <v>91.649405643001401</v>
      </c>
      <c r="AB26" s="53">
        <f t="shared" si="2"/>
        <v>54.400655695265812</v>
      </c>
    </row>
    <row r="27" spans="1:28" x14ac:dyDescent="0.25">
      <c r="A27" s="9">
        <v>13</v>
      </c>
      <c r="B27" s="10">
        <v>90.061668333449816</v>
      </c>
      <c r="C27" s="10">
        <v>84.042334277741404</v>
      </c>
      <c r="D27" s="10">
        <v>78.742699531414061</v>
      </c>
      <c r="E27" s="10">
        <v>64.723001126635779</v>
      </c>
      <c r="F27" s="10">
        <v>60.313839144483104</v>
      </c>
      <c r="G27" s="10">
        <v>60.058413323373536</v>
      </c>
      <c r="H27" s="10">
        <v>61.550221146201231</v>
      </c>
      <c r="I27" s="10">
        <v>59.742484089310175</v>
      </c>
      <c r="J27" s="10">
        <v>56.207850135934045</v>
      </c>
      <c r="K27" s="10">
        <v>59.58206673938092</v>
      </c>
      <c r="L27" s="10">
        <v>60.908542569544188</v>
      </c>
      <c r="M27" s="10">
        <v>67.748722227698124</v>
      </c>
      <c r="N27" s="10">
        <v>69.187598110956628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53">
        <f t="shared" si="0"/>
        <v>67.143803135086387</v>
      </c>
      <c r="AA27" s="53">
        <f t="shared" si="1"/>
        <v>90.061668333449816</v>
      </c>
      <c r="AB27" s="53">
        <f t="shared" si="2"/>
        <v>56.207850135934045</v>
      </c>
    </row>
    <row r="28" spans="1:28" x14ac:dyDescent="0.25">
      <c r="A28" s="9">
        <v>14</v>
      </c>
      <c r="B28" s="10">
        <v>85.007564845293771</v>
      </c>
      <c r="C28" s="10">
        <v>81.538276869420628</v>
      </c>
      <c r="D28" s="10">
        <v>71.033132304021294</v>
      </c>
      <c r="E28" s="10">
        <v>65.438460732029853</v>
      </c>
      <c r="F28" s="10">
        <v>63.336511123135587</v>
      </c>
      <c r="G28" s="10">
        <v>59.58206673938092</v>
      </c>
      <c r="H28" s="10">
        <v>64.736796866099183</v>
      </c>
      <c r="I28" s="10">
        <v>64.253726630839722</v>
      </c>
      <c r="J28" s="10">
        <v>65.225911281245502</v>
      </c>
      <c r="K28" s="10">
        <v>64.940785242956792</v>
      </c>
      <c r="L28" s="10">
        <v>70.659857015026191</v>
      </c>
      <c r="M28" s="10">
        <v>74.241490060044853</v>
      </c>
      <c r="N28" s="10">
        <v>78.027184601536845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53">
        <f t="shared" si="0"/>
        <v>69.847828023925487</v>
      </c>
      <c r="AA28" s="53">
        <f t="shared" si="1"/>
        <v>85.007564845293771</v>
      </c>
      <c r="AB28" s="53">
        <f t="shared" si="2"/>
        <v>59.58206673938092</v>
      </c>
    </row>
    <row r="29" spans="1:28" x14ac:dyDescent="0.25">
      <c r="A29" s="9">
        <v>15</v>
      </c>
      <c r="B29" s="10">
        <v>91.610285518898209</v>
      </c>
      <c r="C29" s="10">
        <v>75.911705772164211</v>
      </c>
      <c r="D29" s="10">
        <v>73.296724268708942</v>
      </c>
      <c r="E29" s="10">
        <v>69.915965725785</v>
      </c>
      <c r="F29" s="10">
        <v>72.82944435312838</v>
      </c>
      <c r="G29" s="10">
        <v>63.111271053555221</v>
      </c>
      <c r="H29" s="10">
        <v>60.526977728920741</v>
      </c>
      <c r="I29" s="10">
        <v>65.012624330656905</v>
      </c>
      <c r="J29" s="10">
        <v>67.176530953796302</v>
      </c>
      <c r="K29" s="10">
        <v>66.900192873680993</v>
      </c>
      <c r="L29" s="10">
        <v>70.279028134765525</v>
      </c>
      <c r="M29" s="10">
        <v>73.780325597694159</v>
      </c>
      <c r="N29" s="10">
        <v>80.72567796841399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53">
        <f t="shared" si="0"/>
        <v>71.621288790782188</v>
      </c>
      <c r="AA29" s="53">
        <f t="shared" si="1"/>
        <v>91.610285518898209</v>
      </c>
      <c r="AB29" s="53">
        <f t="shared" si="2"/>
        <v>60.526977728920741</v>
      </c>
    </row>
    <row r="30" spans="1:28" x14ac:dyDescent="0.25">
      <c r="A30" s="9">
        <v>16</v>
      </c>
      <c r="B30" s="10">
        <v>87.527973228996387</v>
      </c>
      <c r="C30" s="10">
        <v>83.822740725063611</v>
      </c>
      <c r="D30" s="10">
        <v>73.473086580417231</v>
      </c>
      <c r="E30" s="10">
        <v>70.784128109960974</v>
      </c>
      <c r="F30" s="10">
        <v>70.6030049832072</v>
      </c>
      <c r="G30" s="10">
        <v>67.069391343588762</v>
      </c>
      <c r="H30" s="10">
        <v>60.632906828880131</v>
      </c>
      <c r="I30" s="10">
        <v>64.884196544104626</v>
      </c>
      <c r="J30" s="10">
        <v>66.428989569440731</v>
      </c>
      <c r="K30" s="10">
        <v>73.175405263054287</v>
      </c>
      <c r="L30" s="10">
        <v>78.368269882760842</v>
      </c>
      <c r="M30" s="10">
        <v>81.158079831414014</v>
      </c>
      <c r="N30" s="10">
        <v>82.509603433418292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53">
        <f t="shared" si="0"/>
        <v>73.879828948023615</v>
      </c>
      <c r="AA30" s="53">
        <f t="shared" si="1"/>
        <v>87.527973228996387</v>
      </c>
      <c r="AB30" s="53">
        <f t="shared" si="2"/>
        <v>60.632906828880131</v>
      </c>
    </row>
    <row r="31" spans="1:28" x14ac:dyDescent="0.25">
      <c r="A31" s="9">
        <v>17</v>
      </c>
      <c r="B31" s="10">
        <v>91.49030389721446</v>
      </c>
      <c r="C31" s="10">
        <v>77.97739324005515</v>
      </c>
      <c r="D31" s="10">
        <v>70.71580248755896</v>
      </c>
      <c r="E31" s="10">
        <v>62.334344970743217</v>
      </c>
      <c r="F31" s="10">
        <v>55.062185559716305</v>
      </c>
      <c r="G31" s="10">
        <v>53.244857490150821</v>
      </c>
      <c r="H31" s="10">
        <v>59.701400299341834</v>
      </c>
      <c r="I31" s="10">
        <v>65.846291311698906</v>
      </c>
      <c r="J31" s="10">
        <v>66.428989569440731</v>
      </c>
      <c r="K31" s="10">
        <v>74.683288699912481</v>
      </c>
      <c r="L31" s="10">
        <v>70.784128109960974</v>
      </c>
      <c r="M31" s="10">
        <v>73.059375099659647</v>
      </c>
      <c r="N31" s="10">
        <v>79.477230089141216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53">
        <f>AVERAGE(B31:N31)</f>
        <v>69.292737755738059</v>
      </c>
      <c r="AA31" s="53">
        <f t="shared" si="1"/>
        <v>91.49030389721446</v>
      </c>
      <c r="AB31" s="53">
        <f t="shared" si="2"/>
        <v>53.244857490150821</v>
      </c>
    </row>
    <row r="32" spans="1:28" x14ac:dyDescent="0.25">
      <c r="A32" s="9">
        <v>18</v>
      </c>
      <c r="B32" s="10">
        <v>87.498564958124902</v>
      </c>
      <c r="C32" s="10">
        <v>80.814053293615203</v>
      </c>
      <c r="D32" s="10">
        <v>67.679057578930355</v>
      </c>
      <c r="E32" s="10">
        <v>65.728424430578627</v>
      </c>
      <c r="F32" s="10">
        <v>63.668222607524129</v>
      </c>
      <c r="G32" s="10">
        <v>61.47393122338265</v>
      </c>
      <c r="H32" s="10">
        <v>63.484730643681608</v>
      </c>
      <c r="I32" s="10">
        <v>64.87831079401542</v>
      </c>
      <c r="J32" s="10">
        <v>63.742750164539494</v>
      </c>
      <c r="K32" s="10">
        <v>67.039089716075779</v>
      </c>
      <c r="L32" s="10">
        <v>71.786345119566221</v>
      </c>
      <c r="M32" s="10">
        <v>76.07295753486018</v>
      </c>
      <c r="N32" s="10">
        <v>80.141255441717902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53">
        <f t="shared" si="0"/>
        <v>70.308284115893258</v>
      </c>
      <c r="AA32" s="53">
        <f t="shared" si="1"/>
        <v>87.498564958124902</v>
      </c>
      <c r="AB32" s="53">
        <f t="shared" si="2"/>
        <v>61.47393122338265</v>
      </c>
    </row>
    <row r="33" spans="1:28" x14ac:dyDescent="0.25">
      <c r="A33" s="9">
        <v>19</v>
      </c>
      <c r="B33" s="10">
        <v>87.58630517534786</v>
      </c>
      <c r="C33" s="10">
        <v>80.987934542814884</v>
      </c>
      <c r="D33" s="10">
        <v>72.538694573499654</v>
      </c>
      <c r="E33" s="10">
        <v>66.900192873680993</v>
      </c>
      <c r="F33" s="10">
        <v>67.244712053996224</v>
      </c>
      <c r="G33" s="10">
        <v>60.92873461851174</v>
      </c>
      <c r="H33" s="10">
        <v>60.632906828880131</v>
      </c>
      <c r="I33" s="10">
        <v>59.090728148765848</v>
      </c>
      <c r="J33" s="10">
        <v>61.389030085749205</v>
      </c>
      <c r="K33" s="10">
        <v>61.618326065861297</v>
      </c>
      <c r="L33" s="10">
        <v>66.617949857703053</v>
      </c>
      <c r="M33" s="10">
        <v>74.01339763269938</v>
      </c>
      <c r="N33" s="10">
        <v>76.488327844307364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53">
        <f t="shared" si="0"/>
        <v>68.925941561678286</v>
      </c>
      <c r="AA33" s="53">
        <f t="shared" si="1"/>
        <v>87.58630517534786</v>
      </c>
      <c r="AB33" s="53">
        <f t="shared" si="2"/>
        <v>59.090728148765848</v>
      </c>
    </row>
    <row r="34" spans="1:28" x14ac:dyDescent="0.25">
      <c r="A34" s="9">
        <v>20</v>
      </c>
      <c r="B34" s="10">
        <v>80.545988562362538</v>
      </c>
      <c r="C34" s="10">
        <v>74.391078244380012</v>
      </c>
      <c r="D34" s="10">
        <v>70.01827129653023</v>
      </c>
      <c r="E34" s="10">
        <v>63.057701712754756</v>
      </c>
      <c r="F34" s="10">
        <v>64.780247885843451</v>
      </c>
      <c r="G34" s="10">
        <v>62.170825285467082</v>
      </c>
      <c r="H34" s="10">
        <v>62.249253823608164</v>
      </c>
      <c r="I34" s="10">
        <v>70.043862627580168</v>
      </c>
      <c r="J34" s="10">
        <v>72.026837161300264</v>
      </c>
      <c r="K34" s="10">
        <v>69.302773600807882</v>
      </c>
      <c r="L34" s="10">
        <v>67.538604450824309</v>
      </c>
      <c r="M34" s="10">
        <v>72.460198729062924</v>
      </c>
      <c r="N34" s="10">
        <v>77.826379597551053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53">
        <f t="shared" si="0"/>
        <v>69.724001767544067</v>
      </c>
      <c r="AA34" s="53">
        <f t="shared" si="1"/>
        <v>80.545988562362538</v>
      </c>
      <c r="AB34" s="53">
        <f t="shared" si="2"/>
        <v>62.170825285467082</v>
      </c>
    </row>
    <row r="35" spans="1:28" x14ac:dyDescent="0.25">
      <c r="A35" s="9">
        <v>21</v>
      </c>
      <c r="B35" s="10">
        <v>88.393064158060469</v>
      </c>
      <c r="C35" s="10">
        <v>80.901467602170015</v>
      </c>
      <c r="D35" s="10">
        <v>75.562705752333045</v>
      </c>
      <c r="E35" s="10">
        <v>66.452880268948974</v>
      </c>
      <c r="F35" s="10">
        <v>60.474201295188692</v>
      </c>
      <c r="G35" s="10">
        <v>59.901258776394741</v>
      </c>
      <c r="H35" s="10">
        <v>66.402815546958095</v>
      </c>
      <c r="I35" s="10">
        <v>67.842600044991912</v>
      </c>
      <c r="J35" s="10">
        <v>66.291787562703647</v>
      </c>
      <c r="K35" s="10">
        <v>69.302773600807882</v>
      </c>
      <c r="L35" s="10">
        <v>74.128057490557737</v>
      </c>
      <c r="M35" s="10">
        <v>76.803365049062933</v>
      </c>
      <c r="N35" s="10">
        <v>79.477230089141216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53">
        <f t="shared" si="0"/>
        <v>71.687246710563031</v>
      </c>
      <c r="AA35" s="53">
        <f t="shared" si="1"/>
        <v>88.393064158060469</v>
      </c>
      <c r="AB35" s="53">
        <f t="shared" si="2"/>
        <v>59.901258776394741</v>
      </c>
    </row>
    <row r="36" spans="1:28" x14ac:dyDescent="0.25">
      <c r="A36" s="9">
        <v>22</v>
      </c>
      <c r="B36" s="10">
        <v>83.121886826202228</v>
      </c>
      <c r="C36" s="10">
        <v>81.788537470934102</v>
      </c>
      <c r="D36" s="10">
        <v>82.588198229950223</v>
      </c>
      <c r="E36" s="10">
        <v>82.030795597571043</v>
      </c>
      <c r="F36" s="10">
        <v>75.22478195265451</v>
      </c>
      <c r="G36" s="10">
        <v>67.31253681304905</v>
      </c>
      <c r="H36" s="10">
        <v>65.155184770327764</v>
      </c>
      <c r="I36" s="10">
        <v>63.558266287249367</v>
      </c>
      <c r="J36" s="10">
        <v>65.710896599700163</v>
      </c>
      <c r="K36" s="10">
        <v>66.153150333807702</v>
      </c>
      <c r="L36" s="10">
        <v>68.627915978953965</v>
      </c>
      <c r="M36" s="10">
        <v>67.679057578930355</v>
      </c>
      <c r="N36" s="10">
        <v>75.290065632377861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53">
        <f t="shared" si="0"/>
        <v>72.633944159362173</v>
      </c>
      <c r="AA36" s="53">
        <f t="shared" si="1"/>
        <v>83.121886826202228</v>
      </c>
      <c r="AB36" s="53">
        <f t="shared" si="2"/>
        <v>63.558266287249367</v>
      </c>
    </row>
    <row r="37" spans="1:28" x14ac:dyDescent="0.25">
      <c r="A37" s="9">
        <v>23</v>
      </c>
      <c r="B37" s="10">
        <v>86.143233317917876</v>
      </c>
      <c r="C37" s="10">
        <v>81.788537470934102</v>
      </c>
      <c r="D37" s="10">
        <v>79.88544819641784</v>
      </c>
      <c r="E37" s="10">
        <v>71.02877367431519</v>
      </c>
      <c r="F37" s="10">
        <v>70.12487641025767</v>
      </c>
      <c r="G37" s="10">
        <v>66.699166870239253</v>
      </c>
      <c r="H37" s="10">
        <v>66.600586657657459</v>
      </c>
      <c r="I37" s="10">
        <v>67.721537465722335</v>
      </c>
      <c r="J37" s="10">
        <v>76.583468902286143</v>
      </c>
      <c r="K37" s="10">
        <v>91.68809926880499</v>
      </c>
      <c r="L37" s="10">
        <v>84.604013298737655</v>
      </c>
      <c r="M37" s="10">
        <v>91.801681435810139</v>
      </c>
      <c r="N37" s="10">
        <v>91.76423123386563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53">
        <f t="shared" si="0"/>
        <v>78.956434938689711</v>
      </c>
      <c r="AA37" s="53">
        <f t="shared" si="1"/>
        <v>91.801681435810139</v>
      </c>
      <c r="AB37" s="53">
        <f t="shared" si="2"/>
        <v>66.600586657657459</v>
      </c>
    </row>
    <row r="38" spans="1:28" x14ac:dyDescent="0.25">
      <c r="A38" s="9">
        <v>24</v>
      </c>
      <c r="B38" s="10">
        <v>94.929677919351548</v>
      </c>
      <c r="C38" s="10">
        <v>90.915459394490014</v>
      </c>
      <c r="D38" s="10">
        <v>82.070417619923234</v>
      </c>
      <c r="E38" s="10">
        <v>76.086559339912753</v>
      </c>
      <c r="F38" s="10">
        <v>71.149184188620822</v>
      </c>
      <c r="G38" s="10">
        <v>69.004717151586277</v>
      </c>
      <c r="H38" s="10">
        <v>68.621521496128793</v>
      </c>
      <c r="I38" s="10">
        <v>66.083287233257934</v>
      </c>
      <c r="J38" s="10">
        <v>66.013057754206329</v>
      </c>
      <c r="K38" s="10">
        <v>68.958047938255689</v>
      </c>
      <c r="L38" s="10">
        <v>73.117544645664125</v>
      </c>
      <c r="M38" s="10">
        <v>76.957090364672098</v>
      </c>
      <c r="N38" s="10">
        <v>82.469985496479183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53">
        <f t="shared" si="0"/>
        <v>75.875119272503767</v>
      </c>
      <c r="AA38" s="53">
        <f t="shared" si="1"/>
        <v>94.929677919351548</v>
      </c>
      <c r="AB38" s="53">
        <f t="shared" si="2"/>
        <v>66.013057754206329</v>
      </c>
    </row>
    <row r="39" spans="1:28" x14ac:dyDescent="0.25">
      <c r="A39" s="9">
        <v>25</v>
      </c>
      <c r="B39" s="10">
        <v>88.338556606876153</v>
      </c>
      <c r="C39" s="10">
        <v>76.803365049062933</v>
      </c>
      <c r="D39" s="10">
        <v>70.534262536178971</v>
      </c>
      <c r="E39" s="10">
        <v>69.561733871083121</v>
      </c>
      <c r="F39" s="10">
        <v>66.867095546257474</v>
      </c>
      <c r="G39" s="10">
        <v>66.013057754206329</v>
      </c>
      <c r="H39" s="10">
        <v>62.012723099250643</v>
      </c>
      <c r="I39" s="10">
        <v>62.327271178886356</v>
      </c>
      <c r="J39" s="10">
        <v>62.327271178886356</v>
      </c>
      <c r="K39" s="10">
        <v>64.276991063448449</v>
      </c>
      <c r="L39" s="10">
        <v>70.279028134765525</v>
      </c>
      <c r="M39" s="10">
        <v>74.01339763269938</v>
      </c>
      <c r="N39" s="10">
        <v>80.901467602170015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53">
        <f t="shared" si="0"/>
        <v>70.327401634905513</v>
      </c>
      <c r="AA39" s="53">
        <f t="shared" si="1"/>
        <v>88.338556606876153</v>
      </c>
      <c r="AB39" s="53">
        <f t="shared" si="2"/>
        <v>62.012723099250643</v>
      </c>
    </row>
    <row r="40" spans="1:28" x14ac:dyDescent="0.25">
      <c r="A40" s="9">
        <v>26</v>
      </c>
      <c r="B40" s="10">
        <v>90.015347770751774</v>
      </c>
      <c r="C40" s="10">
        <v>86.206701945338793</v>
      </c>
      <c r="D40" s="10">
        <v>76.906124278850157</v>
      </c>
      <c r="E40" s="10">
        <v>74.464742122921493</v>
      </c>
      <c r="F40" s="10">
        <v>66.169389004272148</v>
      </c>
      <c r="G40" s="10">
        <v>68.560833815079704</v>
      </c>
      <c r="H40" s="10">
        <v>66.311883187752073</v>
      </c>
      <c r="I40" s="10">
        <v>63.057701712754756</v>
      </c>
      <c r="J40" s="10">
        <v>64.048616768587479</v>
      </c>
      <c r="K40" s="10">
        <v>67.609019203004948</v>
      </c>
      <c r="L40" s="10">
        <v>68.491928772006816</v>
      </c>
      <c r="M40" s="10">
        <v>75.692572215237846</v>
      </c>
      <c r="N40" s="10">
        <v>79.241678263562136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53">
        <f t="shared" si="0"/>
        <v>72.828964543086173</v>
      </c>
      <c r="AA40" s="53">
        <f t="shared" si="1"/>
        <v>90.015347770751774</v>
      </c>
      <c r="AB40" s="53">
        <f t="shared" si="2"/>
        <v>63.057701712754756</v>
      </c>
    </row>
    <row r="41" spans="1:28" x14ac:dyDescent="0.25">
      <c r="A41" s="9">
        <v>27</v>
      </c>
      <c r="B41" s="10">
        <v>89.873288097977863</v>
      </c>
      <c r="C41" s="10">
        <v>85.252391550562905</v>
      </c>
      <c r="D41" s="10">
        <v>72.118437416201758</v>
      </c>
      <c r="E41" s="10">
        <v>62.979556869656371</v>
      </c>
      <c r="F41" s="10">
        <v>60.688942318978903</v>
      </c>
      <c r="G41" s="10">
        <v>58.650529259228449</v>
      </c>
      <c r="H41" s="10">
        <v>64.037006586816375</v>
      </c>
      <c r="I41" s="10">
        <v>64.868570103523922</v>
      </c>
      <c r="J41" s="10">
        <v>66.617949857703053</v>
      </c>
      <c r="K41" s="10">
        <v>72.823563631993622</v>
      </c>
      <c r="L41" s="10">
        <v>75.857369225815063</v>
      </c>
      <c r="M41" s="10">
        <v>79.0972186919183</v>
      </c>
      <c r="N41" s="10">
        <v>81.93474538130927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53">
        <f t="shared" si="0"/>
        <v>71.907659153206609</v>
      </c>
      <c r="AA41" s="53">
        <f t="shared" si="1"/>
        <v>89.873288097977863</v>
      </c>
      <c r="AB41" s="53">
        <f t="shared" si="2"/>
        <v>58.650529259228449</v>
      </c>
    </row>
    <row r="42" spans="1:28" x14ac:dyDescent="0.25">
      <c r="A42" s="9">
        <v>28</v>
      </c>
      <c r="B42" s="10">
        <v>90.519798082148995</v>
      </c>
      <c r="C42" s="10">
        <v>82.806299124542747</v>
      </c>
      <c r="D42" s="10">
        <v>73.780325597694159</v>
      </c>
      <c r="E42" s="10">
        <v>72.300474542873687</v>
      </c>
      <c r="F42" s="10">
        <v>65.583841814763559</v>
      </c>
      <c r="G42" s="10">
        <v>64.037006586816375</v>
      </c>
      <c r="H42" s="10">
        <v>64.181859698380748</v>
      </c>
      <c r="I42" s="10">
        <v>64.940785242956792</v>
      </c>
      <c r="J42" s="10">
        <v>65.87148937682656</v>
      </c>
      <c r="K42" s="10">
        <v>72.42021932786939</v>
      </c>
      <c r="L42" s="10">
        <v>67.679057578930355</v>
      </c>
      <c r="M42" s="10">
        <v>74.27471756190063</v>
      </c>
      <c r="N42" s="10">
        <v>79.0972186919183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53">
        <f t="shared" si="0"/>
        <v>72.114853325201722</v>
      </c>
      <c r="AA42" s="53">
        <f t="shared" si="1"/>
        <v>90.519798082148995</v>
      </c>
      <c r="AB42" s="53">
        <f t="shared" si="2"/>
        <v>64.037006586816375</v>
      </c>
    </row>
    <row r="43" spans="1:28" x14ac:dyDescent="0.25">
      <c r="A43" s="9">
        <v>29</v>
      </c>
      <c r="B43" s="10">
        <v>93.134969543017661</v>
      </c>
      <c r="C43" s="10">
        <v>87.557219580802538</v>
      </c>
      <c r="D43" s="10">
        <v>81.073467546751985</v>
      </c>
      <c r="E43" s="10">
        <v>75.117459108577037</v>
      </c>
      <c r="F43" s="10">
        <v>72.771907229605958</v>
      </c>
      <c r="G43" s="10">
        <v>69.940095578184994</v>
      </c>
      <c r="H43" s="10">
        <v>70.002009832208074</v>
      </c>
      <c r="I43" s="10">
        <v>67.580321726852745</v>
      </c>
      <c r="J43" s="10">
        <v>71.149184188620822</v>
      </c>
      <c r="K43" s="10">
        <v>76.439220295820519</v>
      </c>
      <c r="L43" s="10">
        <v>77.635872174939948</v>
      </c>
      <c r="M43" s="10">
        <v>80.987934542814884</v>
      </c>
      <c r="N43" s="10">
        <v>85.354461239644934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53">
        <f t="shared" si="0"/>
        <v>77.595701737526298</v>
      </c>
      <c r="AA43" s="53">
        <f t="shared" si="1"/>
        <v>93.134969543017661</v>
      </c>
      <c r="AB43" s="53">
        <f t="shared" si="2"/>
        <v>67.580321726852745</v>
      </c>
    </row>
    <row r="44" spans="1:28" x14ac:dyDescent="0.25">
      <c r="A44" s="9">
        <v>30</v>
      </c>
      <c r="B44" s="10">
        <v>91.610285518898209</v>
      </c>
      <c r="C44" s="10">
        <v>86.964847685921953</v>
      </c>
      <c r="D44" s="10">
        <v>79.929597624557786</v>
      </c>
      <c r="E44" s="10">
        <v>78.604157165009099</v>
      </c>
      <c r="F44" s="10">
        <v>71.936121520927685</v>
      </c>
      <c r="G44" s="10">
        <v>72.492860597196724</v>
      </c>
      <c r="H44" s="10">
        <v>73.627425546942845</v>
      </c>
      <c r="I44" s="10">
        <v>75.330970636652822</v>
      </c>
      <c r="J44" s="10">
        <v>77.500110101760797</v>
      </c>
      <c r="K44" s="10">
        <v>99.126802363964629</v>
      </c>
      <c r="L44" s="10">
        <v>98.265101285460787</v>
      </c>
      <c r="M44" s="10">
        <v>98.265101285460787</v>
      </c>
      <c r="N44" s="10">
        <v>99.133053177692759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54">
        <f t="shared" si="0"/>
        <v>84.829725731572836</v>
      </c>
      <c r="AA44" s="54">
        <f t="shared" si="1"/>
        <v>99.133053177692759</v>
      </c>
      <c r="AB44" s="54">
        <f t="shared" si="2"/>
        <v>71.936121520927685</v>
      </c>
    </row>
    <row r="45" spans="1:28" x14ac:dyDescent="0.25">
      <c r="A45" s="56" t="s">
        <v>27</v>
      </c>
      <c r="B45" s="55">
        <f t="shared" ref="B45:N45" si="3">MAX(B15:B44)</f>
        <v>95.706722906100097</v>
      </c>
      <c r="C45" s="55">
        <f t="shared" si="3"/>
        <v>90.915459394490014</v>
      </c>
      <c r="D45" s="55">
        <f t="shared" si="3"/>
        <v>84.744011969391934</v>
      </c>
      <c r="E45" s="55">
        <f t="shared" si="3"/>
        <v>82.030795597571043</v>
      </c>
      <c r="F45" s="55">
        <f t="shared" si="3"/>
        <v>84.184813194407482</v>
      </c>
      <c r="G45" s="55">
        <f t="shared" si="3"/>
        <v>78.650583612557497</v>
      </c>
      <c r="H45" s="55">
        <f t="shared" si="3"/>
        <v>76.086559339912753</v>
      </c>
      <c r="I45" s="55">
        <f t="shared" si="3"/>
        <v>98.248312933070963</v>
      </c>
      <c r="J45" s="55">
        <f t="shared" si="3"/>
        <v>98.256753770221422</v>
      </c>
      <c r="K45" s="55">
        <f t="shared" si="3"/>
        <v>99.126802363964629</v>
      </c>
      <c r="L45" s="55">
        <f t="shared" si="3"/>
        <v>98.265101285460787</v>
      </c>
      <c r="M45" s="55">
        <f t="shared" si="3"/>
        <v>98.265101285460787</v>
      </c>
      <c r="N45" s="55">
        <f t="shared" si="3"/>
        <v>99.133053177692759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55">
        <f>MAX(Z15:Z44)</f>
        <v>85.389357159510311</v>
      </c>
      <c r="AA45" s="55">
        <f>MAX(AA15:AA44)</f>
        <v>99.133053177692759</v>
      </c>
      <c r="AB45" s="55">
        <f>MAX(AB15:AB44)</f>
        <v>73.403801579739962</v>
      </c>
    </row>
    <row r="46" spans="1:28" x14ac:dyDescent="0.25">
      <c r="A46" s="56" t="s">
        <v>28</v>
      </c>
      <c r="B46" s="55">
        <f t="shared" ref="B46:N46" si="4">MIN(B15:B44)</f>
        <v>80.545988562362538</v>
      </c>
      <c r="C46" s="55">
        <f t="shared" si="4"/>
        <v>74.391078244380012</v>
      </c>
      <c r="D46" s="55">
        <f t="shared" si="4"/>
        <v>67.679057578930355</v>
      </c>
      <c r="E46" s="55">
        <f t="shared" si="4"/>
        <v>62.334344970743217</v>
      </c>
      <c r="F46" s="55">
        <f t="shared" si="4"/>
        <v>55.062185559716305</v>
      </c>
      <c r="G46" s="55">
        <f t="shared" si="4"/>
        <v>53.244857490150821</v>
      </c>
      <c r="H46" s="55">
        <f t="shared" si="4"/>
        <v>54.400655695265812</v>
      </c>
      <c r="I46" s="55">
        <f t="shared" si="4"/>
        <v>59.090728148765848</v>
      </c>
      <c r="J46" s="55">
        <f t="shared" si="4"/>
        <v>56.207850135934045</v>
      </c>
      <c r="K46" s="55">
        <f t="shared" si="4"/>
        <v>59.58206673938092</v>
      </c>
      <c r="L46" s="55">
        <f t="shared" si="4"/>
        <v>60.908542569544188</v>
      </c>
      <c r="M46" s="55">
        <f t="shared" si="4"/>
        <v>67.679057578930355</v>
      </c>
      <c r="N46" s="55">
        <f t="shared" si="4"/>
        <v>69.187598110956628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55">
        <f>MIN(Z16:Z45)</f>
        <v>67.143803135086387</v>
      </c>
      <c r="AA46" s="55">
        <f>MIN(AA16:AA45)</f>
        <v>80.545988562362538</v>
      </c>
      <c r="AB46" s="55">
        <f>MIN(AB16:AB45)</f>
        <v>53.244857490150821</v>
      </c>
    </row>
    <row r="47" spans="1:28" x14ac:dyDescent="0.25">
      <c r="A47" s="56" t="s">
        <v>35</v>
      </c>
      <c r="B47" s="55">
        <f t="shared" ref="B47:N47" si="5">AVERAGE(B15:B44)</f>
        <v>90.032038496241768</v>
      </c>
      <c r="C47" s="55">
        <f t="shared" si="5"/>
        <v>83.385669435606459</v>
      </c>
      <c r="D47" s="55">
        <f t="shared" si="5"/>
        <v>76.209923514362146</v>
      </c>
      <c r="E47" s="55">
        <f t="shared" si="5"/>
        <v>70.450752236428713</v>
      </c>
      <c r="F47" s="55">
        <f t="shared" si="5"/>
        <v>67.151251216546427</v>
      </c>
      <c r="G47" s="55">
        <f t="shared" si="5"/>
        <v>64.591087311234446</v>
      </c>
      <c r="H47" s="55">
        <f t="shared" si="5"/>
        <v>64.435873300571899</v>
      </c>
      <c r="I47" s="55">
        <f t="shared" si="5"/>
        <v>67.492264201132699</v>
      </c>
      <c r="J47" s="55">
        <f t="shared" si="5"/>
        <v>69.256095115878892</v>
      </c>
      <c r="K47" s="55">
        <f t="shared" si="5"/>
        <v>73.425417711804627</v>
      </c>
      <c r="L47" s="55">
        <f t="shared" si="5"/>
        <v>76.164557809209171</v>
      </c>
      <c r="M47" s="55">
        <f t="shared" si="5"/>
        <v>80.525186940401724</v>
      </c>
      <c r="N47" s="55">
        <f t="shared" si="5"/>
        <v>83.904896754673217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55">
        <f>AVERAGE(Z17:Z46)</f>
        <v>74.644561107376163</v>
      </c>
      <c r="AA47" s="55">
        <f t="shared" ref="AA47:AB47" si="6">AVERAGE(AA17:AA46)</f>
        <v>90.823066329701561</v>
      </c>
      <c r="AB47" s="55">
        <f t="shared" si="6"/>
        <v>62.475649336161588</v>
      </c>
    </row>
    <row r="48" spans="1:28" x14ac:dyDescent="0.25">
      <c r="A48" s="15" t="s">
        <v>30</v>
      </c>
      <c r="AA48" s="16"/>
      <c r="AB48" s="16"/>
    </row>
    <row r="49" spans="1:28" x14ac:dyDescent="0.25">
      <c r="A49" s="17"/>
      <c r="B49" s="18" t="s">
        <v>31</v>
      </c>
      <c r="C49" s="16"/>
      <c r="D49" s="16"/>
      <c r="E49" s="16"/>
      <c r="F49" s="19"/>
      <c r="G49" s="57"/>
      <c r="H49" s="57"/>
      <c r="I49" s="57"/>
      <c r="J49" s="57"/>
      <c r="K49" s="57"/>
      <c r="L49" s="57"/>
      <c r="M49" s="20"/>
      <c r="N49" s="20"/>
      <c r="O49" s="20"/>
      <c r="P49" s="20"/>
      <c r="Q49" s="20"/>
      <c r="R49" s="21"/>
      <c r="S49" s="22"/>
      <c r="Y49" s="21" t="s">
        <v>64</v>
      </c>
      <c r="Z49" s="21"/>
      <c r="AA49" s="21"/>
      <c r="AB49" s="16"/>
    </row>
    <row r="50" spans="1:28" x14ac:dyDescent="0.25">
      <c r="A50" s="19"/>
      <c r="B50" s="19"/>
      <c r="C50" s="16"/>
      <c r="D50" s="16"/>
      <c r="E50" s="16"/>
      <c r="F50" s="19"/>
      <c r="G50" s="57"/>
      <c r="H50" s="57"/>
      <c r="I50" s="57"/>
      <c r="J50" s="57"/>
      <c r="K50" s="57"/>
      <c r="L50" s="57"/>
      <c r="M50" s="20"/>
      <c r="N50" s="20"/>
      <c r="O50" s="20"/>
      <c r="P50" s="20"/>
      <c r="Q50" s="20"/>
      <c r="R50" s="21"/>
      <c r="S50" s="22"/>
      <c r="Y50" s="21"/>
      <c r="Z50" s="21"/>
      <c r="AA50" s="21"/>
      <c r="AB50" s="16"/>
    </row>
    <row r="51" spans="1:28" x14ac:dyDescent="0.25">
      <c r="A51" s="19"/>
      <c r="B51" s="19"/>
      <c r="C51" s="16"/>
      <c r="D51" s="16"/>
      <c r="E51" s="16"/>
      <c r="F51" s="19"/>
      <c r="G51" s="57"/>
      <c r="H51" s="57"/>
      <c r="I51" s="57"/>
      <c r="J51" s="57"/>
      <c r="K51" s="57"/>
      <c r="L51" s="57"/>
      <c r="M51" s="20"/>
      <c r="N51" s="20"/>
      <c r="O51" s="20"/>
      <c r="P51" s="20"/>
      <c r="Q51" s="20"/>
      <c r="R51" s="21"/>
      <c r="S51" s="22"/>
      <c r="W51" s="57" t="s">
        <v>58</v>
      </c>
      <c r="X51" s="57"/>
      <c r="Y51" s="57"/>
      <c r="Z51" s="57"/>
      <c r="AA51" s="57"/>
      <c r="AB51" s="57"/>
    </row>
    <row r="52" spans="1:28" x14ac:dyDescent="0.25">
      <c r="A52" s="19"/>
      <c r="B52" s="19"/>
      <c r="C52" s="16"/>
      <c r="D52" s="16"/>
      <c r="E52" s="16"/>
      <c r="F52" s="19"/>
      <c r="G52" s="57"/>
      <c r="H52" s="57"/>
      <c r="I52" s="57"/>
      <c r="J52" s="57"/>
      <c r="K52" s="57"/>
      <c r="L52" s="57"/>
      <c r="M52" s="20"/>
      <c r="N52" s="20"/>
      <c r="O52" s="20"/>
      <c r="P52" s="20"/>
      <c r="Q52" s="20"/>
      <c r="R52" s="21"/>
      <c r="S52" s="22"/>
      <c r="AB52" s="16"/>
    </row>
    <row r="53" spans="1:28" x14ac:dyDescent="0.25">
      <c r="A53" s="19"/>
      <c r="B53" s="19"/>
      <c r="C53" s="16"/>
      <c r="D53" s="16"/>
      <c r="E53" s="16"/>
      <c r="F53" s="19"/>
      <c r="G53" s="21"/>
      <c r="H53" s="21"/>
      <c r="I53" s="21"/>
      <c r="J53" s="21"/>
      <c r="K53" s="21"/>
      <c r="L53" s="21"/>
      <c r="M53" s="20"/>
      <c r="N53" s="20"/>
      <c r="O53" s="20"/>
      <c r="P53" s="20"/>
      <c r="Q53" s="20"/>
      <c r="R53" s="21"/>
      <c r="S53" s="22"/>
      <c r="AB53" s="16"/>
    </row>
    <row r="54" spans="1:28" x14ac:dyDescent="0.25">
      <c r="A54" s="19"/>
      <c r="B54" s="19"/>
      <c r="C54" s="16"/>
      <c r="D54" s="16"/>
      <c r="E54" s="16"/>
      <c r="F54" s="19"/>
      <c r="G54" s="21"/>
      <c r="H54" s="21"/>
      <c r="I54" s="21"/>
      <c r="J54" s="20"/>
      <c r="K54" s="20"/>
      <c r="L54" s="20"/>
      <c r="M54" s="20"/>
      <c r="N54" s="20"/>
      <c r="O54" s="22"/>
      <c r="P54" s="23"/>
      <c r="Q54" s="23"/>
      <c r="R54" s="21"/>
      <c r="S54" s="22"/>
      <c r="Y54" s="22"/>
      <c r="Z54" s="21"/>
      <c r="AA54" s="21"/>
    </row>
    <row r="55" spans="1:28" x14ac:dyDescent="0.25">
      <c r="A55" s="19"/>
      <c r="B55" s="19"/>
      <c r="C55" s="16"/>
      <c r="D55" s="16"/>
      <c r="E55" s="16"/>
      <c r="F55" s="19"/>
      <c r="G55" s="58"/>
      <c r="H55" s="58"/>
      <c r="I55" s="58"/>
      <c r="J55" s="58"/>
      <c r="K55" s="58"/>
      <c r="L55" s="58"/>
      <c r="M55" s="24"/>
      <c r="N55" s="24"/>
      <c r="O55" s="24"/>
      <c r="P55" s="24"/>
      <c r="Q55" s="24"/>
      <c r="R55" s="21"/>
      <c r="S55" s="22"/>
      <c r="Y55" s="22"/>
      <c r="Z55" s="21"/>
      <c r="AA55" s="21"/>
    </row>
    <row r="56" spans="1:28" x14ac:dyDescent="0.25">
      <c r="A56" s="19"/>
      <c r="B56" s="19"/>
      <c r="C56" s="16"/>
      <c r="D56" s="16"/>
      <c r="E56" s="16"/>
      <c r="F56" s="19"/>
      <c r="G56" s="57"/>
      <c r="H56" s="57"/>
      <c r="I56" s="57"/>
      <c r="J56" s="57"/>
      <c r="K56" s="57"/>
      <c r="L56" s="57"/>
      <c r="M56" s="25"/>
      <c r="N56" s="25"/>
      <c r="O56" s="25"/>
      <c r="P56" s="25"/>
      <c r="Q56" s="25"/>
      <c r="R56" s="21"/>
      <c r="S56" s="22"/>
      <c r="Y56" s="22"/>
      <c r="Z56" s="21"/>
      <c r="AA56" s="21"/>
    </row>
    <row r="57" spans="1:28" x14ac:dyDescent="0.25">
      <c r="Y57" s="26"/>
      <c r="Z57" s="26"/>
      <c r="AA57" s="26"/>
    </row>
    <row r="58" spans="1:28" x14ac:dyDescent="0.25">
      <c r="Y58" s="21"/>
      <c r="Z58" s="21"/>
      <c r="AA58" s="21"/>
    </row>
  </sheetData>
  <mergeCells count="14">
    <mergeCell ref="G49:L49"/>
    <mergeCell ref="A7:AB7"/>
    <mergeCell ref="Z11:AA11"/>
    <mergeCell ref="A1:AB1"/>
    <mergeCell ref="A2:AB2"/>
    <mergeCell ref="A3:AB3"/>
    <mergeCell ref="A4:AB4"/>
    <mergeCell ref="A6:AB6"/>
    <mergeCell ref="G56:L56"/>
    <mergeCell ref="G50:L50"/>
    <mergeCell ref="G51:L51"/>
    <mergeCell ref="W51:AB51"/>
    <mergeCell ref="G52:L52"/>
    <mergeCell ref="G55:L5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AB60"/>
  <sheetViews>
    <sheetView topLeftCell="A31" workbookViewId="0">
      <selection activeCell="V50" sqref="V50:AA54"/>
    </sheetView>
  </sheetViews>
  <sheetFormatPr defaultRowHeight="15" x14ac:dyDescent="0.25"/>
  <cols>
    <col min="1" max="28" width="5.28515625" customWidth="1"/>
  </cols>
  <sheetData>
    <row r="1" spans="1:28" ht="15.75" x14ac:dyDescent="0.25">
      <c r="A1" s="61" t="s">
        <v>43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</row>
    <row r="2" spans="1:28" ht="15.75" x14ac:dyDescent="0.25">
      <c r="A2" s="61" t="s">
        <v>44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</row>
    <row r="3" spans="1:28" x14ac:dyDescent="0.25">
      <c r="A3" s="62" t="s">
        <v>45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</row>
    <row r="4" spans="1:28" ht="15.75" thickBot="1" x14ac:dyDescent="0.3">
      <c r="A4" s="63" t="s">
        <v>46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</row>
    <row r="5" spans="1:28" ht="9" customHeight="1" x14ac:dyDescent="0.25">
      <c r="A5" s="27"/>
      <c r="B5" s="27"/>
      <c r="C5" s="27"/>
      <c r="D5" s="27"/>
      <c r="E5" s="27"/>
      <c r="F5" s="27"/>
    </row>
    <row r="6" spans="1:28" x14ac:dyDescent="0.25">
      <c r="A6" s="64" t="s">
        <v>56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</row>
    <row r="7" spans="1:28" ht="14.25" customHeight="1" x14ac:dyDescent="0.25">
      <c r="A7" s="65" t="s">
        <v>60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</row>
    <row r="8" spans="1:28" ht="7.5" customHeight="1" x14ac:dyDescent="0.25"/>
    <row r="9" spans="1:28" x14ac:dyDescent="0.25">
      <c r="A9" s="42" t="s">
        <v>47</v>
      </c>
      <c r="B9" s="42"/>
      <c r="C9" s="43" t="s">
        <v>48</v>
      </c>
    </row>
    <row r="10" spans="1:28" x14ac:dyDescent="0.25">
      <c r="A10" t="s">
        <v>49</v>
      </c>
      <c r="B10" s="42"/>
      <c r="C10" t="s">
        <v>50</v>
      </c>
    </row>
    <row r="11" spans="1:28" x14ac:dyDescent="0.25">
      <c r="A11" t="s">
        <v>51</v>
      </c>
      <c r="C11" t="s">
        <v>52</v>
      </c>
      <c r="Y11" s="44" t="s">
        <v>53</v>
      </c>
      <c r="Z11" s="60" t="s">
        <v>54</v>
      </c>
      <c r="AA11" s="60"/>
    </row>
    <row r="12" spans="1:28" x14ac:dyDescent="0.25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9</v>
      </c>
      <c r="I12" s="3" t="s">
        <v>10</v>
      </c>
      <c r="J12" s="3" t="s">
        <v>11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  <c r="P12" s="3" t="s">
        <v>17</v>
      </c>
      <c r="Q12" s="3" t="s">
        <v>18</v>
      </c>
      <c r="R12" s="3" t="s">
        <v>19</v>
      </c>
      <c r="S12" s="3" t="s">
        <v>20</v>
      </c>
      <c r="T12" s="3" t="s">
        <v>21</v>
      </c>
      <c r="U12" s="3" t="s">
        <v>22</v>
      </c>
      <c r="V12" s="3" t="s">
        <v>23</v>
      </c>
      <c r="W12" s="3" t="s">
        <v>24</v>
      </c>
      <c r="X12" s="3" t="s">
        <v>25</v>
      </c>
      <c r="Y12" s="3" t="s">
        <v>26</v>
      </c>
      <c r="Z12" s="4" t="s">
        <v>32</v>
      </c>
      <c r="AA12" s="4" t="s">
        <v>27</v>
      </c>
      <c r="AB12" s="4" t="s">
        <v>28</v>
      </c>
    </row>
    <row r="13" spans="1:28" x14ac:dyDescent="0.25">
      <c r="A13" s="5" t="s">
        <v>29</v>
      </c>
      <c r="B13" s="5">
        <v>1</v>
      </c>
      <c r="C13" s="5">
        <v>2</v>
      </c>
      <c r="D13" s="5">
        <v>3</v>
      </c>
      <c r="E13" s="5">
        <v>4</v>
      </c>
      <c r="F13" s="5">
        <v>5</v>
      </c>
      <c r="G13" s="5">
        <v>6</v>
      </c>
      <c r="H13" s="5">
        <v>7</v>
      </c>
      <c r="I13" s="5">
        <v>8</v>
      </c>
      <c r="J13" s="5">
        <v>9</v>
      </c>
      <c r="K13" s="5">
        <v>10</v>
      </c>
      <c r="L13" s="5">
        <v>11</v>
      </c>
      <c r="M13" s="5">
        <v>12</v>
      </c>
      <c r="N13" s="5">
        <v>13</v>
      </c>
      <c r="O13" s="5">
        <v>14</v>
      </c>
      <c r="P13" s="5">
        <v>15</v>
      </c>
      <c r="Q13" s="5">
        <v>16</v>
      </c>
      <c r="R13" s="5">
        <v>17</v>
      </c>
      <c r="S13" s="5">
        <v>18</v>
      </c>
      <c r="T13" s="5">
        <v>19</v>
      </c>
      <c r="U13" s="5">
        <v>20</v>
      </c>
      <c r="V13" s="5">
        <v>21</v>
      </c>
      <c r="W13" s="5">
        <v>22</v>
      </c>
      <c r="X13" s="5">
        <v>23</v>
      </c>
      <c r="Y13" s="5">
        <v>24</v>
      </c>
      <c r="Z13" s="5">
        <v>25</v>
      </c>
      <c r="AA13" s="5">
        <v>26</v>
      </c>
      <c r="AB13" s="5">
        <v>27</v>
      </c>
    </row>
    <row r="14" spans="1:28" x14ac:dyDescent="0.25">
      <c r="A14" s="6">
        <v>1</v>
      </c>
      <c r="B14" s="7">
        <v>93.32637261393613</v>
      </c>
      <c r="C14" s="7">
        <v>87.14137533712541</v>
      </c>
      <c r="D14" s="7">
        <v>80.103857872245882</v>
      </c>
      <c r="E14" s="7">
        <v>74.313740619690805</v>
      </c>
      <c r="F14" s="7">
        <v>71.149184188620822</v>
      </c>
      <c r="G14" s="7">
        <v>66.564776169429933</v>
      </c>
      <c r="H14" s="7">
        <v>68.878309260549415</v>
      </c>
      <c r="I14" s="7">
        <v>70.907094274853861</v>
      </c>
      <c r="J14" s="7">
        <v>70.534262536178971</v>
      </c>
      <c r="K14" s="7">
        <v>85.388113599959198</v>
      </c>
      <c r="L14" s="7">
        <v>94.807771703071936</v>
      </c>
      <c r="M14" s="7">
        <v>98.222416748831193</v>
      </c>
      <c r="N14" s="7">
        <v>98.222416748831193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7">
        <f>AVERAGE(B14:N14)</f>
        <v>81.504591667178829</v>
      </c>
      <c r="AA14" s="7">
        <f>MAX(B14:N14)</f>
        <v>98.222416748831193</v>
      </c>
      <c r="AB14" s="7">
        <f>MIN(B14:Y14)</f>
        <v>66.564776169429933</v>
      </c>
    </row>
    <row r="15" spans="1:28" x14ac:dyDescent="0.25">
      <c r="A15" s="9">
        <v>2</v>
      </c>
      <c r="B15" s="10">
        <v>94.857344951335847</v>
      </c>
      <c r="C15" s="10">
        <v>90.809467144997924</v>
      </c>
      <c r="D15" s="10">
        <v>87.083169493220765</v>
      </c>
      <c r="E15" s="10">
        <v>75.828119989761134</v>
      </c>
      <c r="F15" s="10">
        <v>71.149184188620822</v>
      </c>
      <c r="G15" s="10">
        <v>69.776989268096514</v>
      </c>
      <c r="H15" s="10">
        <v>69.253651821422508</v>
      </c>
      <c r="I15" s="10">
        <v>72.606349963958579</v>
      </c>
      <c r="J15" s="10">
        <v>70.542172192683722</v>
      </c>
      <c r="K15" s="10">
        <v>84.184813194407482</v>
      </c>
      <c r="L15" s="10">
        <v>91.610285518898209</v>
      </c>
      <c r="M15" s="10">
        <v>91.449415009375599</v>
      </c>
      <c r="N15" s="10">
        <v>93.101814744269959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0">
        <f t="shared" ref="Z15:Z44" si="0">AVERAGE(B15:N15)</f>
        <v>81.711752113926863</v>
      </c>
      <c r="AA15" s="10">
        <f t="shared" ref="AA15:AA44" si="1">MAX(B15:N15)</f>
        <v>94.857344951335847</v>
      </c>
      <c r="AB15" s="10">
        <f t="shared" ref="AB15:AB44" si="2">MIN(B15:Y15)</f>
        <v>69.253651821422508</v>
      </c>
    </row>
    <row r="16" spans="1:28" x14ac:dyDescent="0.25">
      <c r="A16" s="9">
        <v>3</v>
      </c>
      <c r="B16" s="10">
        <v>97.364405663260328</v>
      </c>
      <c r="C16" s="10">
        <v>96.534398858160003</v>
      </c>
      <c r="D16" s="10">
        <v>91.610285518898209</v>
      </c>
      <c r="E16" s="10">
        <v>87.868568479817412</v>
      </c>
      <c r="F16" s="10">
        <v>83.424000157422981</v>
      </c>
      <c r="G16" s="10">
        <v>81.52778516928538</v>
      </c>
      <c r="H16" s="10">
        <v>77.642797934266568</v>
      </c>
      <c r="I16" s="10">
        <v>72.108361551714822</v>
      </c>
      <c r="J16" s="10">
        <v>80.189608416928536</v>
      </c>
      <c r="K16" s="10">
        <v>82.665948335567847</v>
      </c>
      <c r="L16" s="10">
        <v>98.273356819657053</v>
      </c>
      <c r="M16" s="10">
        <v>99.12889752649663</v>
      </c>
      <c r="N16" s="10">
        <v>98.265101285460787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>
        <f t="shared" si="0"/>
        <v>88.200270439764324</v>
      </c>
      <c r="AA16" s="10">
        <f t="shared" si="1"/>
        <v>99.12889752649663</v>
      </c>
      <c r="AB16" s="10">
        <f t="shared" si="2"/>
        <v>72.108361551714822</v>
      </c>
    </row>
    <row r="17" spans="1:28" x14ac:dyDescent="0.25">
      <c r="A17" s="9">
        <v>4</v>
      </c>
      <c r="B17" s="10">
        <v>95.696468862586542</v>
      </c>
      <c r="C17" s="10">
        <v>93.295342494094442</v>
      </c>
      <c r="D17" s="10">
        <v>84.042334277741404</v>
      </c>
      <c r="E17" s="10">
        <v>74.353712606600766</v>
      </c>
      <c r="F17" s="10">
        <v>75.984004934121756</v>
      </c>
      <c r="G17" s="10">
        <v>70.907094274853861</v>
      </c>
      <c r="H17" s="10">
        <v>74.519814731536059</v>
      </c>
      <c r="I17" s="10">
        <v>68.359313222541118</v>
      </c>
      <c r="J17" s="10">
        <v>64.575896105923405</v>
      </c>
      <c r="K17" s="10">
        <v>62.170825285467082</v>
      </c>
      <c r="L17" s="10">
        <v>71.540676129620792</v>
      </c>
      <c r="M17" s="10">
        <v>79.477230089141216</v>
      </c>
      <c r="N17" s="10">
        <v>86.84391758944578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>
        <f t="shared" si="0"/>
        <v>77.058971584898032</v>
      </c>
      <c r="AA17" s="10">
        <f t="shared" si="1"/>
        <v>95.696468862586542</v>
      </c>
      <c r="AB17" s="10">
        <f t="shared" si="2"/>
        <v>62.170825285467082</v>
      </c>
    </row>
    <row r="18" spans="1:28" x14ac:dyDescent="0.25">
      <c r="A18" s="9">
        <v>5</v>
      </c>
      <c r="B18" s="10">
        <v>93.953260163004273</v>
      </c>
      <c r="C18" s="10">
        <v>89.873288097977863</v>
      </c>
      <c r="D18" s="10">
        <v>80.186359061652794</v>
      </c>
      <c r="E18" s="10">
        <v>75.669724273595236</v>
      </c>
      <c r="F18" s="10">
        <v>71.28096465699403</v>
      </c>
      <c r="G18" s="10">
        <v>69.171220515102988</v>
      </c>
      <c r="H18" s="10">
        <v>67.955499989049656</v>
      </c>
      <c r="I18" s="10">
        <v>67.493394844692162</v>
      </c>
      <c r="J18" s="10">
        <v>71.523596986591087</v>
      </c>
      <c r="K18" s="10">
        <v>74.954312989357916</v>
      </c>
      <c r="L18" s="10">
        <v>79.661111093631618</v>
      </c>
      <c r="M18" s="10">
        <v>82.509603433418292</v>
      </c>
      <c r="N18" s="10">
        <v>83.896736925091147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>
        <f t="shared" si="0"/>
        <v>77.548390233089151</v>
      </c>
      <c r="AA18" s="10">
        <f t="shared" si="1"/>
        <v>93.953260163004273</v>
      </c>
      <c r="AB18" s="10">
        <f t="shared" si="2"/>
        <v>67.493394844692162</v>
      </c>
    </row>
    <row r="19" spans="1:28" x14ac:dyDescent="0.25">
      <c r="A19" s="9">
        <v>6</v>
      </c>
      <c r="B19" s="10">
        <v>91.49030389721446</v>
      </c>
      <c r="C19" s="10">
        <v>92.382024204273009</v>
      </c>
      <c r="D19" s="10">
        <v>88.446975599750772</v>
      </c>
      <c r="E19" s="10">
        <v>83.083191085074802</v>
      </c>
      <c r="F19" s="10">
        <v>77.685199174361657</v>
      </c>
      <c r="G19" s="10">
        <v>76.387735371476012</v>
      </c>
      <c r="H19" s="10">
        <v>75.117459108577037</v>
      </c>
      <c r="I19" s="10">
        <v>77.831603044410059</v>
      </c>
      <c r="J19" s="10">
        <v>77.783062752468766</v>
      </c>
      <c r="K19" s="10">
        <v>76.019497845099366</v>
      </c>
      <c r="L19" s="10">
        <v>83.896736925091147</v>
      </c>
      <c r="M19" s="10">
        <v>89.227869660164401</v>
      </c>
      <c r="N19" s="10">
        <v>91.649405643001401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>
        <f t="shared" si="0"/>
        <v>83.153928023920244</v>
      </c>
      <c r="AA19" s="10">
        <f t="shared" si="1"/>
        <v>92.382024204273009</v>
      </c>
      <c r="AB19" s="10">
        <f t="shared" si="2"/>
        <v>75.117459108577037</v>
      </c>
    </row>
    <row r="20" spans="1:28" x14ac:dyDescent="0.25">
      <c r="A20" s="9">
        <v>7</v>
      </c>
      <c r="B20" s="10">
        <v>94.067528369454564</v>
      </c>
      <c r="C20" s="10">
        <v>83.53397272966221</v>
      </c>
      <c r="D20" s="10">
        <v>75.693926157315659</v>
      </c>
      <c r="E20" s="10">
        <v>69.004717151586277</v>
      </c>
      <c r="F20" s="10">
        <v>67.334277344843002</v>
      </c>
      <c r="G20" s="10">
        <v>70.407325925271124</v>
      </c>
      <c r="H20" s="10">
        <v>98.281521692045985</v>
      </c>
      <c r="I20" s="10">
        <v>96.542703442597727</v>
      </c>
      <c r="J20" s="10">
        <v>94.9996701525737</v>
      </c>
      <c r="K20" s="10">
        <v>94.9996701525737</v>
      </c>
      <c r="L20" s="10">
        <v>96.638867036747584</v>
      </c>
      <c r="M20" s="10">
        <v>96.638867036747584</v>
      </c>
      <c r="N20" s="10">
        <v>98.305485214160797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>
        <f t="shared" si="0"/>
        <v>87.419117877352306</v>
      </c>
      <c r="AA20" s="10">
        <f t="shared" si="1"/>
        <v>98.305485214160797</v>
      </c>
      <c r="AB20" s="10">
        <f t="shared" si="2"/>
        <v>67.334277344843002</v>
      </c>
    </row>
    <row r="21" spans="1:28" x14ac:dyDescent="0.25">
      <c r="A21" s="9">
        <v>8</v>
      </c>
      <c r="B21" s="10">
        <v>96.55917508812108</v>
      </c>
      <c r="C21" s="10">
        <v>94.929677919351548</v>
      </c>
      <c r="D21" s="10">
        <v>87.198956473953885</v>
      </c>
      <c r="E21" s="10">
        <v>80.017191943947921</v>
      </c>
      <c r="F21" s="10">
        <v>76.841388548609814</v>
      </c>
      <c r="G21" s="10">
        <v>73.627425546942845</v>
      </c>
      <c r="H21" s="10">
        <v>78.484828483501786</v>
      </c>
      <c r="I21" s="10">
        <v>83.956709676464868</v>
      </c>
      <c r="J21" s="10">
        <v>88.109866421751576</v>
      </c>
      <c r="K21" s="10">
        <v>88.758392692627268</v>
      </c>
      <c r="L21" s="10">
        <v>88.707884038296882</v>
      </c>
      <c r="M21" s="10">
        <v>93.32637261393613</v>
      </c>
      <c r="N21" s="10">
        <v>97.311790740086693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>
        <f t="shared" si="0"/>
        <v>86.756127706737885</v>
      </c>
      <c r="AA21" s="10">
        <f t="shared" si="1"/>
        <v>97.311790740086693</v>
      </c>
      <c r="AB21" s="10">
        <f t="shared" si="2"/>
        <v>73.627425546942845</v>
      </c>
    </row>
    <row r="22" spans="1:28" x14ac:dyDescent="0.25">
      <c r="A22" s="9">
        <v>9</v>
      </c>
      <c r="B22" s="10">
        <v>98.265101285460787</v>
      </c>
      <c r="C22" s="10">
        <v>95.737147113229895</v>
      </c>
      <c r="D22" s="10">
        <v>93.32637261393613</v>
      </c>
      <c r="E22" s="10">
        <v>88.758392692627268</v>
      </c>
      <c r="F22" s="10">
        <v>82.3037605792764</v>
      </c>
      <c r="G22" s="10">
        <v>78.924031421175627</v>
      </c>
      <c r="H22" s="10">
        <v>77.875684825271435</v>
      </c>
      <c r="I22" s="10">
        <v>76.092794436640972</v>
      </c>
      <c r="J22" s="10">
        <v>80.441494769259251</v>
      </c>
      <c r="K22" s="10">
        <v>80.23214442908467</v>
      </c>
      <c r="L22" s="10">
        <v>85.840587858319296</v>
      </c>
      <c r="M22" s="10">
        <v>91.07916412062113</v>
      </c>
      <c r="N22" s="10">
        <v>94.216664132771186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>
        <f t="shared" si="0"/>
        <v>86.391795405974932</v>
      </c>
      <c r="AA22" s="10">
        <f t="shared" si="1"/>
        <v>98.265101285460787</v>
      </c>
      <c r="AB22" s="10">
        <f t="shared" si="2"/>
        <v>76.092794436640972</v>
      </c>
    </row>
    <row r="23" spans="1:28" x14ac:dyDescent="0.25">
      <c r="A23" s="9">
        <v>10</v>
      </c>
      <c r="B23" s="10">
        <v>92.435632136330909</v>
      </c>
      <c r="C23" s="10">
        <v>87.72936180164767</v>
      </c>
      <c r="D23" s="10">
        <v>83.497511678222452</v>
      </c>
      <c r="E23" s="10">
        <v>78.924031421175627</v>
      </c>
      <c r="F23" s="10">
        <v>71.993832990106256</v>
      </c>
      <c r="G23" s="10">
        <v>71.444773931929547</v>
      </c>
      <c r="H23" s="10">
        <v>70.545039613137973</v>
      </c>
      <c r="I23" s="10">
        <v>75.945155926614262</v>
      </c>
      <c r="J23" s="10">
        <v>83.642193622521788</v>
      </c>
      <c r="K23" s="10">
        <v>91.11899870765204</v>
      </c>
      <c r="L23" s="10">
        <v>91.11899870765204</v>
      </c>
      <c r="M23" s="10">
        <v>90.241980925036074</v>
      </c>
      <c r="N23" s="10">
        <v>90.241980925036074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>
        <f t="shared" si="0"/>
        <v>82.990730183620201</v>
      </c>
      <c r="AA23" s="10">
        <f t="shared" si="1"/>
        <v>92.435632136330909</v>
      </c>
      <c r="AB23" s="10">
        <f t="shared" si="2"/>
        <v>70.545039613137973</v>
      </c>
    </row>
    <row r="24" spans="1:28" x14ac:dyDescent="0.25">
      <c r="A24" s="9">
        <v>11</v>
      </c>
      <c r="B24" s="10">
        <v>91.838728868182031</v>
      </c>
      <c r="C24" s="10">
        <v>88.004060294142761</v>
      </c>
      <c r="D24" s="10">
        <v>78.070462482466255</v>
      </c>
      <c r="E24" s="10">
        <v>74.8972604533881</v>
      </c>
      <c r="F24" s="10">
        <v>73.846409065303362</v>
      </c>
      <c r="G24" s="10">
        <v>71.936121520927685</v>
      </c>
      <c r="H24" s="10">
        <v>72.378181491726195</v>
      </c>
      <c r="I24" s="10">
        <v>85.11365227039191</v>
      </c>
      <c r="J24" s="10">
        <v>98.204660424735749</v>
      </c>
      <c r="K24" s="10">
        <v>98.200158154642722</v>
      </c>
      <c r="L24" s="10">
        <v>96.439918195674665</v>
      </c>
      <c r="M24" s="10">
        <v>97.33180010291052</v>
      </c>
      <c r="N24" s="10">
        <v>96.47495174352494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>
        <f t="shared" si="0"/>
        <v>86.364335774462845</v>
      </c>
      <c r="AA24" s="10">
        <f t="shared" si="1"/>
        <v>98.204660424735749</v>
      </c>
      <c r="AB24" s="10">
        <f t="shared" si="2"/>
        <v>71.936121520927685</v>
      </c>
    </row>
    <row r="25" spans="1:28" x14ac:dyDescent="0.25">
      <c r="A25" s="9">
        <v>12</v>
      </c>
      <c r="B25" s="10">
        <v>94.109094387742516</v>
      </c>
      <c r="C25" s="10">
        <v>86.393021309016063</v>
      </c>
      <c r="D25" s="10">
        <v>82.149028733191955</v>
      </c>
      <c r="E25" s="10">
        <v>78.696763824771196</v>
      </c>
      <c r="F25" s="10">
        <v>71.523596986591087</v>
      </c>
      <c r="G25" s="10">
        <v>73.290208372739471</v>
      </c>
      <c r="H25" s="10">
        <v>76.679780168469648</v>
      </c>
      <c r="I25" s="10">
        <v>66.013057754206329</v>
      </c>
      <c r="J25" s="10">
        <v>71.907229173052954</v>
      </c>
      <c r="K25" s="10">
        <v>74.464742122921493</v>
      </c>
      <c r="L25" s="10">
        <v>75.34518411408348</v>
      </c>
      <c r="M25" s="10">
        <v>79.477230089141216</v>
      </c>
      <c r="N25" s="10">
        <v>85.320624331577875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>
        <f t="shared" si="0"/>
        <v>78.105350874423493</v>
      </c>
      <c r="AA25" s="10">
        <f t="shared" si="1"/>
        <v>94.109094387742516</v>
      </c>
      <c r="AB25" s="10">
        <f t="shared" si="2"/>
        <v>66.013057754206329</v>
      </c>
    </row>
    <row r="26" spans="1:28" x14ac:dyDescent="0.25">
      <c r="A26" s="9">
        <v>13</v>
      </c>
      <c r="B26" s="10">
        <v>92.363956809100486</v>
      </c>
      <c r="C26" s="10">
        <v>86.84391758944578</v>
      </c>
      <c r="D26" s="10">
        <v>88.553044028618061</v>
      </c>
      <c r="E26" s="10">
        <v>84.881004323264378</v>
      </c>
      <c r="F26" s="10">
        <v>95.835020597853017</v>
      </c>
      <c r="G26" s="10">
        <v>91.68809926880499</v>
      </c>
      <c r="H26" s="10">
        <v>95.825471410327864</v>
      </c>
      <c r="I26" s="10">
        <v>84.744011969391934</v>
      </c>
      <c r="J26" s="10">
        <v>84.812878594525714</v>
      </c>
      <c r="K26" s="10">
        <v>90.061668333449816</v>
      </c>
      <c r="L26" s="10">
        <v>96.591577461984471</v>
      </c>
      <c r="M26" s="10">
        <v>92.399992081647682</v>
      </c>
      <c r="N26" s="10">
        <v>91.570732721093307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>
        <f t="shared" si="0"/>
        <v>90.474721168423656</v>
      </c>
      <c r="AA26" s="10">
        <f t="shared" si="1"/>
        <v>96.591577461984471</v>
      </c>
      <c r="AB26" s="10">
        <f t="shared" si="2"/>
        <v>84.744011969391934</v>
      </c>
    </row>
    <row r="27" spans="1:28" x14ac:dyDescent="0.25">
      <c r="A27" s="9">
        <v>14</v>
      </c>
      <c r="B27" s="10">
        <v>98.239777411123399</v>
      </c>
      <c r="C27" s="10">
        <v>98.256753770221422</v>
      </c>
      <c r="D27" s="10">
        <v>94.953263781927049</v>
      </c>
      <c r="E27" s="10">
        <v>96.661938647346091</v>
      </c>
      <c r="F27" s="10">
        <v>82.588198229950223</v>
      </c>
      <c r="G27" s="10">
        <v>85.520903747080652</v>
      </c>
      <c r="H27" s="10">
        <v>90.152804386413735</v>
      </c>
      <c r="I27" s="10">
        <v>90.152804386413735</v>
      </c>
      <c r="J27" s="10">
        <v>90.152804386413735</v>
      </c>
      <c r="K27" s="10">
        <v>81.158079831414014</v>
      </c>
      <c r="L27" s="10">
        <v>90.061668333449816</v>
      </c>
      <c r="M27" s="10">
        <v>90.061668333449816</v>
      </c>
      <c r="N27" s="10">
        <v>91.610285518898209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>
        <f t="shared" si="0"/>
        <v>90.736226981854017</v>
      </c>
      <c r="AA27" s="10">
        <f t="shared" si="1"/>
        <v>98.256753770221422</v>
      </c>
      <c r="AB27" s="10">
        <f t="shared" si="2"/>
        <v>81.158079831414014</v>
      </c>
    </row>
    <row r="28" spans="1:28" x14ac:dyDescent="0.25">
      <c r="A28" s="9">
        <v>15</v>
      </c>
      <c r="B28" s="10">
        <v>98.248312933070963</v>
      </c>
      <c r="C28" s="10">
        <v>94.869567323465077</v>
      </c>
      <c r="D28" s="10">
        <v>93.23225285248688</v>
      </c>
      <c r="E28" s="10">
        <v>90.107484814320046</v>
      </c>
      <c r="F28" s="10">
        <v>87.083169493220765</v>
      </c>
      <c r="G28" s="10">
        <v>83.53397272966221</v>
      </c>
      <c r="H28" s="10">
        <v>79.796436443991382</v>
      </c>
      <c r="I28" s="10">
        <v>77.257218949011659</v>
      </c>
      <c r="J28" s="10">
        <v>77.783062752468766</v>
      </c>
      <c r="K28" s="10">
        <v>81.283300306815534</v>
      </c>
      <c r="L28" s="10">
        <v>85.553652914719294</v>
      </c>
      <c r="M28" s="10">
        <v>83.933433506219117</v>
      </c>
      <c r="N28" s="10">
        <v>88.526743618977278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>
        <f t="shared" si="0"/>
        <v>86.246816049109924</v>
      </c>
      <c r="AA28" s="10">
        <f t="shared" si="1"/>
        <v>98.248312933070963</v>
      </c>
      <c r="AB28" s="10">
        <f t="shared" si="2"/>
        <v>77.257218949011659</v>
      </c>
    </row>
    <row r="29" spans="1:28" x14ac:dyDescent="0.25">
      <c r="A29" s="9">
        <v>16</v>
      </c>
      <c r="B29" s="10">
        <v>89.252861175848878</v>
      </c>
      <c r="C29" s="10">
        <v>84.744011969391934</v>
      </c>
      <c r="D29" s="10">
        <v>79.240704313441881</v>
      </c>
      <c r="E29" s="10">
        <v>72.597461681764116</v>
      </c>
      <c r="F29" s="10">
        <v>73.279039458229846</v>
      </c>
      <c r="G29" s="10">
        <v>69.53087395956544</v>
      </c>
      <c r="H29" s="10">
        <v>74.42088280638572</v>
      </c>
      <c r="I29" s="10">
        <v>72.718666055923123</v>
      </c>
      <c r="J29" s="10">
        <v>75.002570485722643</v>
      </c>
      <c r="K29" s="10">
        <v>78.833844278754555</v>
      </c>
      <c r="L29" s="10">
        <v>79.929597624557786</v>
      </c>
      <c r="M29" s="10">
        <v>82.742865676712952</v>
      </c>
      <c r="N29" s="10">
        <v>85.650844615991446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>
        <f t="shared" si="0"/>
        <v>78.30340185402234</v>
      </c>
      <c r="AA29" s="10">
        <f t="shared" si="1"/>
        <v>89.252861175848878</v>
      </c>
      <c r="AB29" s="10">
        <f t="shared" si="2"/>
        <v>69.53087395956544</v>
      </c>
    </row>
    <row r="30" spans="1:28" x14ac:dyDescent="0.25">
      <c r="A30" s="9">
        <v>17</v>
      </c>
      <c r="B30" s="10">
        <v>96.591577461984471</v>
      </c>
      <c r="C30" s="10">
        <v>94.953263781927049</v>
      </c>
      <c r="D30" s="10">
        <v>84.149480987485191</v>
      </c>
      <c r="E30" s="10">
        <v>98.265101285460787</v>
      </c>
      <c r="F30" s="10">
        <v>88.656828294001087</v>
      </c>
      <c r="G30" s="10">
        <v>98.273356819657053</v>
      </c>
      <c r="H30" s="10">
        <v>98.239777411123399</v>
      </c>
      <c r="I30" s="10">
        <v>98.248312933070963</v>
      </c>
      <c r="J30" s="10">
        <v>99.118304162574816</v>
      </c>
      <c r="K30" s="10">
        <v>99.116149794962226</v>
      </c>
      <c r="L30" s="10">
        <v>98.231145819080723</v>
      </c>
      <c r="M30" s="10">
        <v>99.116149794962226</v>
      </c>
      <c r="N30" s="10">
        <v>98.239777411123399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>
        <f>AVERAGE(B30:N30)</f>
        <v>96.246094304416403</v>
      </c>
      <c r="AA30" s="10">
        <f t="shared" si="1"/>
        <v>99.118304162574816</v>
      </c>
      <c r="AB30" s="10">
        <f t="shared" si="2"/>
        <v>84.149480987485191</v>
      </c>
    </row>
    <row r="31" spans="1:28" x14ac:dyDescent="0.25">
      <c r="A31" s="9">
        <v>18</v>
      </c>
      <c r="B31" s="10">
        <v>94.917787706614789</v>
      </c>
      <c r="C31" s="10">
        <v>89.30243579246428</v>
      </c>
      <c r="D31" s="10">
        <v>87.083169493220765</v>
      </c>
      <c r="E31" s="10">
        <v>91.610285518898209</v>
      </c>
      <c r="F31" s="10">
        <v>98.256753770221422</v>
      </c>
      <c r="G31" s="10">
        <v>97.396110838953163</v>
      </c>
      <c r="H31" s="10">
        <v>98.265101285460787</v>
      </c>
      <c r="I31" s="10">
        <v>98.256753770221422</v>
      </c>
      <c r="J31" s="10">
        <v>86.964847685921953</v>
      </c>
      <c r="K31" s="10">
        <v>88.446975599750772</v>
      </c>
      <c r="L31" s="10">
        <v>90.061668333449816</v>
      </c>
      <c r="M31" s="10">
        <v>91.649405643001401</v>
      </c>
      <c r="N31" s="10">
        <v>94.905832015442712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>
        <f t="shared" si="0"/>
        <v>92.85516365027857</v>
      </c>
      <c r="AA31" s="10">
        <f t="shared" si="1"/>
        <v>98.265101285460787</v>
      </c>
      <c r="AB31" s="10">
        <f t="shared" si="2"/>
        <v>86.964847685921953</v>
      </c>
    </row>
    <row r="32" spans="1:28" x14ac:dyDescent="0.25">
      <c r="A32" s="9">
        <v>19</v>
      </c>
      <c r="B32" s="10">
        <v>93.167757326285368</v>
      </c>
      <c r="C32" s="10">
        <v>85.454869935021705</v>
      </c>
      <c r="D32" s="10">
        <v>77.007783360974742</v>
      </c>
      <c r="E32" s="10">
        <v>74.8972604533881</v>
      </c>
      <c r="F32" s="10">
        <v>71.327459226856419</v>
      </c>
      <c r="G32" s="10">
        <v>75.693926157315659</v>
      </c>
      <c r="H32" s="10">
        <v>95.045080078480566</v>
      </c>
      <c r="I32" s="10">
        <v>98.321030833076378</v>
      </c>
      <c r="J32" s="10">
        <v>97.474557013095691</v>
      </c>
      <c r="K32" s="10">
        <v>99.147242505458635</v>
      </c>
      <c r="L32" s="10">
        <v>100</v>
      </c>
      <c r="M32" s="10">
        <v>99.14524866596264</v>
      </c>
      <c r="N32" s="10">
        <v>100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>
        <f t="shared" si="0"/>
        <v>89.744785811993538</v>
      </c>
      <c r="AA32" s="10">
        <f t="shared" si="1"/>
        <v>100</v>
      </c>
      <c r="AB32" s="10">
        <f t="shared" si="2"/>
        <v>71.327459226856419</v>
      </c>
    </row>
    <row r="33" spans="1:28" x14ac:dyDescent="0.25">
      <c r="A33" s="9">
        <v>20</v>
      </c>
      <c r="B33" s="10">
        <v>92.435632136330909</v>
      </c>
      <c r="C33" s="10">
        <v>93.341761138885474</v>
      </c>
      <c r="D33" s="10">
        <v>88.808361977229509</v>
      </c>
      <c r="E33" s="10">
        <v>80.274456380418869</v>
      </c>
      <c r="F33" s="10">
        <v>79.057545778462185</v>
      </c>
      <c r="G33" s="10">
        <v>86.024359156205279</v>
      </c>
      <c r="H33" s="10">
        <v>80.23214442908467</v>
      </c>
      <c r="I33" s="10">
        <v>88.707884038296882</v>
      </c>
      <c r="J33" s="10">
        <v>91.801681435810139</v>
      </c>
      <c r="K33" s="10">
        <v>93.295342494094442</v>
      </c>
      <c r="L33" s="10">
        <v>94.929677919351548</v>
      </c>
      <c r="M33" s="10">
        <v>94.929677919351548</v>
      </c>
      <c r="N33" s="10">
        <v>94.905832015442712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>
        <f t="shared" si="0"/>
        <v>89.134181293766474</v>
      </c>
      <c r="AA33" s="10">
        <f t="shared" si="1"/>
        <v>94.929677919351548</v>
      </c>
      <c r="AB33" s="10">
        <f t="shared" si="2"/>
        <v>79.057545778462185</v>
      </c>
    </row>
    <row r="34" spans="1:28" x14ac:dyDescent="0.25">
      <c r="A34" s="9">
        <v>21</v>
      </c>
      <c r="B34" s="10">
        <v>94.109094387742516</v>
      </c>
      <c r="C34" s="10">
        <v>91.76423123386563</v>
      </c>
      <c r="D34" s="10">
        <v>84.981826594222483</v>
      </c>
      <c r="E34" s="10">
        <v>82.968737558370691</v>
      </c>
      <c r="F34" s="10">
        <v>78.484828483501786</v>
      </c>
      <c r="G34" s="10">
        <v>87.841028577988951</v>
      </c>
      <c r="H34" s="10">
        <v>90.061668333449816</v>
      </c>
      <c r="I34" s="10">
        <v>90.107484814320046</v>
      </c>
      <c r="J34" s="10">
        <v>88.500299434478777</v>
      </c>
      <c r="K34" s="10">
        <v>88.393064158060469</v>
      </c>
      <c r="L34" s="10">
        <v>95.737147113229895</v>
      </c>
      <c r="M34" s="10">
        <v>93.938616044991065</v>
      </c>
      <c r="N34" s="10">
        <v>95.654878515675122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>
        <f t="shared" si="0"/>
        <v>89.426377326915173</v>
      </c>
      <c r="AA34" s="10">
        <f t="shared" si="1"/>
        <v>95.737147113229895</v>
      </c>
      <c r="AB34" s="10">
        <f t="shared" si="2"/>
        <v>78.484828483501786</v>
      </c>
    </row>
    <row r="35" spans="1:28" x14ac:dyDescent="0.25">
      <c r="A35" s="9">
        <v>22</v>
      </c>
      <c r="B35" s="10">
        <v>88.114390354589261</v>
      </c>
      <c r="C35" s="10">
        <v>83.672295453860002</v>
      </c>
      <c r="D35" s="10">
        <v>75.562705752333045</v>
      </c>
      <c r="E35" s="10">
        <v>70.659857015026191</v>
      </c>
      <c r="F35" s="10">
        <v>66.291787562703647</v>
      </c>
      <c r="G35" s="10">
        <v>66.20199092413057</v>
      </c>
      <c r="H35" s="10">
        <v>62.073462486390426</v>
      </c>
      <c r="I35" s="10">
        <v>58.847216035034663</v>
      </c>
      <c r="J35" s="10">
        <v>65.362314527849009</v>
      </c>
      <c r="K35" s="10">
        <v>70.063602699831179</v>
      </c>
      <c r="L35" s="10">
        <v>78.210768764976834</v>
      </c>
      <c r="M35" s="10">
        <v>81.487578849068441</v>
      </c>
      <c r="N35" s="10">
        <v>87.284176110421342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0">
        <f t="shared" si="0"/>
        <v>73.371703579708807</v>
      </c>
      <c r="AA35" s="10">
        <f t="shared" si="1"/>
        <v>88.114390354589261</v>
      </c>
      <c r="AB35" s="10">
        <f t="shared" si="2"/>
        <v>58.847216035034663</v>
      </c>
    </row>
    <row r="36" spans="1:28" x14ac:dyDescent="0.25">
      <c r="A36" s="9">
        <v>23</v>
      </c>
      <c r="B36" s="10">
        <v>82.627178119246338</v>
      </c>
      <c r="C36" s="10">
        <v>74.954312989357916</v>
      </c>
      <c r="D36" s="10">
        <v>72.262295922601993</v>
      </c>
      <c r="E36" s="10">
        <v>73.279039458229846</v>
      </c>
      <c r="F36" s="10">
        <v>68.357244841267971</v>
      </c>
      <c r="G36" s="10">
        <v>67.399650108779625</v>
      </c>
      <c r="H36" s="10">
        <v>64.677254102705362</v>
      </c>
      <c r="I36" s="10">
        <v>70.542172192683722</v>
      </c>
      <c r="J36" s="10">
        <v>76.486153106181604</v>
      </c>
      <c r="K36" s="10">
        <v>80.917037782840225</v>
      </c>
      <c r="L36" s="10">
        <v>84.324261141767138</v>
      </c>
      <c r="M36" s="10">
        <v>85.650844615991446</v>
      </c>
      <c r="N36" s="10">
        <v>85.586225280384298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>
        <f t="shared" si="0"/>
        <v>75.927974589387503</v>
      </c>
      <c r="AA36" s="10">
        <f t="shared" si="1"/>
        <v>85.650844615991446</v>
      </c>
      <c r="AB36" s="10">
        <f t="shared" si="2"/>
        <v>64.677254102705362</v>
      </c>
    </row>
    <row r="37" spans="1:28" x14ac:dyDescent="0.25">
      <c r="A37" s="9">
        <v>24</v>
      </c>
      <c r="B37" s="10">
        <v>82.309340905119228</v>
      </c>
      <c r="C37" s="10">
        <v>78.272129214173759</v>
      </c>
      <c r="D37" s="10">
        <v>81.406521414660631</v>
      </c>
      <c r="E37" s="10">
        <v>80.189608416928536</v>
      </c>
      <c r="F37" s="10">
        <v>65.296272058668848</v>
      </c>
      <c r="G37" s="10">
        <v>65.366269632056245</v>
      </c>
      <c r="H37" s="10">
        <v>72.606349963958579</v>
      </c>
      <c r="I37" s="10">
        <v>81.788537470934102</v>
      </c>
      <c r="J37" s="10">
        <v>85.454869935021705</v>
      </c>
      <c r="K37" s="10">
        <v>90.76624954346957</v>
      </c>
      <c r="L37" s="10">
        <v>91.610285518898209</v>
      </c>
      <c r="M37" s="10">
        <v>91.49030389721446</v>
      </c>
      <c r="N37" s="10">
        <v>93.101814744269959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0">
        <f t="shared" si="0"/>
        <v>81.51219636272107</v>
      </c>
      <c r="AA37" s="10">
        <f t="shared" si="1"/>
        <v>93.101814744269959</v>
      </c>
      <c r="AB37" s="10">
        <f t="shared" si="2"/>
        <v>65.296272058668848</v>
      </c>
    </row>
    <row r="38" spans="1:28" x14ac:dyDescent="0.25">
      <c r="A38" s="9">
        <v>25</v>
      </c>
      <c r="B38" s="10">
        <v>91.530740973431563</v>
      </c>
      <c r="C38" s="10">
        <v>74.353712606600766</v>
      </c>
      <c r="D38" s="10">
        <v>73.403801579739962</v>
      </c>
      <c r="E38" s="10">
        <v>69.689179495833699</v>
      </c>
      <c r="F38" s="10">
        <v>63.336511123135587</v>
      </c>
      <c r="G38" s="10">
        <v>86.543747123845904</v>
      </c>
      <c r="H38" s="10">
        <v>67.712139675672887</v>
      </c>
      <c r="I38" s="10">
        <v>74.574595333638541</v>
      </c>
      <c r="J38" s="10">
        <v>91.726372472715113</v>
      </c>
      <c r="K38" s="10">
        <v>94.929677919351548</v>
      </c>
      <c r="L38" s="10">
        <v>96.591577461984471</v>
      </c>
      <c r="M38" s="10">
        <v>96.575465562829351</v>
      </c>
      <c r="N38" s="10">
        <v>94.857344951335847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0">
        <f t="shared" si="0"/>
        <v>82.755758944624247</v>
      </c>
      <c r="AA38" s="10">
        <f t="shared" si="1"/>
        <v>96.591577461984471</v>
      </c>
      <c r="AB38" s="10">
        <f t="shared" si="2"/>
        <v>63.336511123135587</v>
      </c>
    </row>
    <row r="39" spans="1:28" x14ac:dyDescent="0.25">
      <c r="A39" s="9">
        <v>26</v>
      </c>
      <c r="B39" s="10">
        <v>96.44875088658668</v>
      </c>
      <c r="C39" s="10">
        <v>96.47495174352494</v>
      </c>
      <c r="D39" s="10">
        <v>94.820268572023863</v>
      </c>
      <c r="E39" s="10">
        <v>88.365885432947593</v>
      </c>
      <c r="F39" s="10">
        <v>85.252391550562905</v>
      </c>
      <c r="G39" s="10">
        <v>77.007783360974742</v>
      </c>
      <c r="H39" s="10">
        <v>78.557482738561959</v>
      </c>
      <c r="I39" s="10">
        <v>77.207862783481787</v>
      </c>
      <c r="J39" s="10">
        <v>79.661111093631618</v>
      </c>
      <c r="K39" s="10">
        <v>86.904713358166006</v>
      </c>
      <c r="L39" s="10">
        <v>89.968515836458096</v>
      </c>
      <c r="M39" s="10">
        <v>89.921165122015651</v>
      </c>
      <c r="N39" s="10">
        <v>84.826766598581614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0">
        <f t="shared" si="0"/>
        <v>86.570588390578251</v>
      </c>
      <c r="AA39" s="10">
        <f t="shared" si="1"/>
        <v>96.47495174352494</v>
      </c>
      <c r="AB39" s="10">
        <f t="shared" si="2"/>
        <v>77.007783360974742</v>
      </c>
    </row>
    <row r="40" spans="1:28" x14ac:dyDescent="0.25">
      <c r="A40" s="9">
        <v>27</v>
      </c>
      <c r="B40" s="10">
        <v>87.379289115623919</v>
      </c>
      <c r="C40" s="10">
        <v>83.672295453860002</v>
      </c>
      <c r="D40" s="10">
        <v>77.007783360974742</v>
      </c>
      <c r="E40" s="10">
        <v>75.669724273595236</v>
      </c>
      <c r="F40" s="10">
        <v>69.786703339069575</v>
      </c>
      <c r="G40" s="10">
        <v>71.907229173052954</v>
      </c>
      <c r="H40" s="10">
        <v>69.432938262154266</v>
      </c>
      <c r="I40" s="10">
        <v>70.407325925271124</v>
      </c>
      <c r="J40" s="10">
        <v>72.703746635612319</v>
      </c>
      <c r="K40" s="10">
        <v>73.661877482589802</v>
      </c>
      <c r="L40" s="10">
        <v>77.621128608494089</v>
      </c>
      <c r="M40" s="10">
        <v>81.93474538130927</v>
      </c>
      <c r="N40" s="10">
        <v>85.815224088656251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0">
        <f t="shared" si="0"/>
        <v>76.692308546174118</v>
      </c>
      <c r="AA40" s="10">
        <f t="shared" si="1"/>
        <v>87.379289115623919</v>
      </c>
      <c r="AB40" s="10">
        <f t="shared" si="2"/>
        <v>69.432938262154266</v>
      </c>
    </row>
    <row r="41" spans="1:28" x14ac:dyDescent="0.25">
      <c r="A41" s="9">
        <v>28</v>
      </c>
      <c r="B41" s="10">
        <v>81.057506476797627</v>
      </c>
      <c r="C41" s="10">
        <v>75.52504900822511</v>
      </c>
      <c r="D41" s="10">
        <v>68.630725562523594</v>
      </c>
      <c r="E41" s="10">
        <v>71.540676129620792</v>
      </c>
      <c r="F41" s="10">
        <v>68.903870032636945</v>
      </c>
      <c r="G41" s="10">
        <v>65.87148937682656</v>
      </c>
      <c r="H41" s="10">
        <v>62.493028914122952</v>
      </c>
      <c r="I41" s="10">
        <v>62.727926243305035</v>
      </c>
      <c r="J41" s="10">
        <v>63.971677768027945</v>
      </c>
      <c r="K41" s="10">
        <v>66.419840386170321</v>
      </c>
      <c r="L41" s="10">
        <v>70.503191787934739</v>
      </c>
      <c r="M41" s="10">
        <v>73.73499032145908</v>
      </c>
      <c r="N41" s="10">
        <v>77.196766805300115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0">
        <f t="shared" si="0"/>
        <v>69.890518370226999</v>
      </c>
      <c r="AA41" s="10">
        <f t="shared" si="1"/>
        <v>81.057506476797627</v>
      </c>
      <c r="AB41" s="10">
        <f t="shared" si="2"/>
        <v>62.493028914122952</v>
      </c>
    </row>
    <row r="42" spans="1:28" x14ac:dyDescent="0.25">
      <c r="A42" s="9">
        <v>29</v>
      </c>
      <c r="B42" s="10">
        <v>81.102432856752245</v>
      </c>
      <c r="C42" s="10">
        <v>77.876992695799103</v>
      </c>
      <c r="D42" s="10">
        <v>78.272129214173759</v>
      </c>
      <c r="E42" s="10">
        <v>68.903870032636945</v>
      </c>
      <c r="F42" s="10">
        <v>74.464742122921493</v>
      </c>
      <c r="G42" s="10">
        <v>73.290208372739471</v>
      </c>
      <c r="H42" s="10">
        <v>84.184813194407482</v>
      </c>
      <c r="I42" s="10">
        <v>77.283028775778263</v>
      </c>
      <c r="J42" s="10">
        <v>75.581196613774651</v>
      </c>
      <c r="K42" s="10">
        <v>81.495764390557596</v>
      </c>
      <c r="L42" s="10">
        <v>80.454646061472772</v>
      </c>
      <c r="M42" s="10">
        <v>80.362285695814478</v>
      </c>
      <c r="N42" s="10">
        <v>84.089058176274321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0">
        <f t="shared" si="0"/>
        <v>78.258551400238645</v>
      </c>
      <c r="AA42" s="10">
        <f t="shared" si="1"/>
        <v>84.184813194407482</v>
      </c>
      <c r="AB42" s="10">
        <f t="shared" si="2"/>
        <v>68.903870032636945</v>
      </c>
    </row>
    <row r="43" spans="1:28" x14ac:dyDescent="0.25">
      <c r="A43" s="9">
        <v>30</v>
      </c>
      <c r="B43" s="10">
        <v>83.321396443091601</v>
      </c>
      <c r="C43" s="10">
        <v>80.454646061472772</v>
      </c>
      <c r="D43" s="10">
        <v>77.022649503457004</v>
      </c>
      <c r="E43" s="10">
        <v>73.542130193208394</v>
      </c>
      <c r="F43" s="10">
        <v>74.722052279707739</v>
      </c>
      <c r="G43" s="10">
        <v>71.360051831898687</v>
      </c>
      <c r="H43" s="10">
        <v>70.455719431004141</v>
      </c>
      <c r="I43" s="10">
        <v>72.084809010718615</v>
      </c>
      <c r="J43" s="10">
        <v>73.421065027056869</v>
      </c>
      <c r="K43" s="10">
        <v>73.298662978911182</v>
      </c>
      <c r="L43" s="10">
        <v>74.663519274574512</v>
      </c>
      <c r="M43" s="10">
        <v>76.05189199023188</v>
      </c>
      <c r="N43" s="10">
        <v>81.93474538130927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0">
        <f t="shared" si="0"/>
        <v>75.564103031280197</v>
      </c>
      <c r="AA43" s="10">
        <f t="shared" si="1"/>
        <v>83.321396443091601</v>
      </c>
      <c r="AB43" s="10">
        <f t="shared" si="2"/>
        <v>70.455719431004141</v>
      </c>
    </row>
    <row r="44" spans="1:28" x14ac:dyDescent="0.25">
      <c r="A44" s="12">
        <v>31</v>
      </c>
      <c r="B44" s="13">
        <v>78.382016382933443</v>
      </c>
      <c r="C44" s="13">
        <v>75.23464770141122</v>
      </c>
      <c r="D44" s="13">
        <v>70.01827129653023</v>
      </c>
      <c r="E44" s="13">
        <v>67.285514859801623</v>
      </c>
      <c r="F44" s="13">
        <v>68.958047938255689</v>
      </c>
      <c r="G44" s="13">
        <v>64.037006586816375</v>
      </c>
      <c r="H44" s="13">
        <v>64.181859698380748</v>
      </c>
      <c r="I44" s="13">
        <v>65.012624330656905</v>
      </c>
      <c r="J44" s="13">
        <v>66.900192873680993</v>
      </c>
      <c r="K44" s="13">
        <v>68.903870032636945</v>
      </c>
      <c r="L44" s="13">
        <v>72.460198729062924</v>
      </c>
      <c r="M44" s="13">
        <v>76.488327844307364</v>
      </c>
      <c r="N44" s="13">
        <v>82.186531997321282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31">
        <f t="shared" si="0"/>
        <v>70.773008482445817</v>
      </c>
      <c r="AA44" s="31">
        <f t="shared" si="1"/>
        <v>82.186531997321282</v>
      </c>
      <c r="AB44" s="31">
        <f t="shared" si="2"/>
        <v>64.037006586816375</v>
      </c>
    </row>
    <row r="45" spans="1:28" x14ac:dyDescent="0.25">
      <c r="A45" s="35" t="s">
        <v>27</v>
      </c>
      <c r="B45" s="36">
        <f t="shared" ref="B45:N45" si="3">MAX(B14:B44)</f>
        <v>98.265101285460787</v>
      </c>
      <c r="C45" s="36">
        <f t="shared" si="3"/>
        <v>98.256753770221422</v>
      </c>
      <c r="D45" s="36">
        <f t="shared" si="3"/>
        <v>94.953263781927049</v>
      </c>
      <c r="E45" s="36">
        <f t="shared" si="3"/>
        <v>98.265101285460787</v>
      </c>
      <c r="F45" s="36">
        <f t="shared" si="3"/>
        <v>98.256753770221422</v>
      </c>
      <c r="G45" s="36">
        <f t="shared" si="3"/>
        <v>98.273356819657053</v>
      </c>
      <c r="H45" s="36">
        <f t="shared" si="3"/>
        <v>98.281521692045985</v>
      </c>
      <c r="I45" s="36">
        <f t="shared" si="3"/>
        <v>98.321030833076378</v>
      </c>
      <c r="J45" s="36">
        <f t="shared" si="3"/>
        <v>99.118304162574816</v>
      </c>
      <c r="K45" s="36">
        <f t="shared" si="3"/>
        <v>99.147242505458635</v>
      </c>
      <c r="L45" s="36">
        <f t="shared" si="3"/>
        <v>100</v>
      </c>
      <c r="M45" s="36">
        <f t="shared" si="3"/>
        <v>99.14524866596264</v>
      </c>
      <c r="N45" s="36">
        <f t="shared" si="3"/>
        <v>100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36">
        <f>MAX(Z14:Z44)</f>
        <v>96.246094304416403</v>
      </c>
      <c r="AA45" s="36">
        <f t="shared" ref="AA45" si="4">MAX(AA14:AA44)</f>
        <v>100</v>
      </c>
      <c r="AB45" s="36">
        <f>MAX(AB14:AB44)</f>
        <v>86.964847685921953</v>
      </c>
    </row>
    <row r="46" spans="1:28" x14ac:dyDescent="0.25">
      <c r="A46" s="35" t="s">
        <v>28</v>
      </c>
      <c r="B46" s="36">
        <f t="shared" ref="B46:N46" si="5">MIN(B14:B44)</f>
        <v>78.382016382933443</v>
      </c>
      <c r="C46" s="36">
        <f t="shared" si="5"/>
        <v>74.353712606600766</v>
      </c>
      <c r="D46" s="36">
        <f t="shared" si="5"/>
        <v>68.630725562523594</v>
      </c>
      <c r="E46" s="36">
        <f t="shared" si="5"/>
        <v>67.285514859801623</v>
      </c>
      <c r="F46" s="36">
        <f t="shared" si="5"/>
        <v>63.336511123135587</v>
      </c>
      <c r="G46" s="36">
        <f t="shared" si="5"/>
        <v>64.037006586816375</v>
      </c>
      <c r="H46" s="36">
        <f t="shared" si="5"/>
        <v>62.073462486390426</v>
      </c>
      <c r="I46" s="36">
        <f t="shared" si="5"/>
        <v>58.847216035034663</v>
      </c>
      <c r="J46" s="36">
        <f t="shared" si="5"/>
        <v>63.971677768027945</v>
      </c>
      <c r="K46" s="36">
        <f t="shared" si="5"/>
        <v>62.170825285467082</v>
      </c>
      <c r="L46" s="36">
        <f t="shared" si="5"/>
        <v>70.503191787934739</v>
      </c>
      <c r="M46" s="36">
        <f t="shared" si="5"/>
        <v>73.73499032145908</v>
      </c>
      <c r="N46" s="36">
        <f t="shared" si="5"/>
        <v>77.196766805300115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36">
        <f t="shared" ref="Z46:AA46" si="6">MIN(Z14:Z44)</f>
        <v>69.890518370226999</v>
      </c>
      <c r="AA46" s="36">
        <f t="shared" si="6"/>
        <v>81.057506476797627</v>
      </c>
      <c r="AB46" s="36">
        <f>MIN(AB14:AB44)</f>
        <v>58.847216035034663</v>
      </c>
    </row>
    <row r="47" spans="1:28" x14ac:dyDescent="0.25">
      <c r="A47" s="35" t="s">
        <v>35</v>
      </c>
      <c r="B47" s="36">
        <f t="shared" ref="B47:M47" si="7">AVERAGE(B14:B44)</f>
        <v>91.469781166093668</v>
      </c>
      <c r="C47" s="36">
        <f t="shared" si="7"/>
        <v>87.302741379569426</v>
      </c>
      <c r="D47" s="36">
        <f t="shared" si="7"/>
        <v>82.510525146168433</v>
      </c>
      <c r="E47" s="36">
        <f t="shared" si="7"/>
        <v>79.122730016551486</v>
      </c>
      <c r="F47" s="36">
        <f t="shared" si="7"/>
        <v>75.950137709551583</v>
      </c>
      <c r="G47" s="36">
        <f t="shared" si="7"/>
        <v>76.079146620438237</v>
      </c>
      <c r="H47" s="36">
        <f t="shared" si="7"/>
        <v>77.613773682955852</v>
      </c>
      <c r="I47" s="36">
        <f t="shared" si="7"/>
        <v>78.127756653558563</v>
      </c>
      <c r="J47" s="36">
        <f t="shared" si="7"/>
        <v>80.494626437394643</v>
      </c>
      <c r="K47" s="36">
        <f t="shared" si="7"/>
        <v>83.234018754407927</v>
      </c>
      <c r="L47" s="36">
        <f t="shared" si="7"/>
        <v>87.141471188586834</v>
      </c>
      <c r="M47" s="36">
        <f t="shared" si="7"/>
        <v>88.70082271943096</v>
      </c>
      <c r="N47" s="36">
        <f>AVERAGE(N14:N44)</f>
        <v>90.703047438379244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36">
        <f t="shared" ref="Z47:AA47" si="8">AVERAGE(Z14:Z44)</f>
        <v>82.957736839468197</v>
      </c>
      <c r="AA47" s="36">
        <f t="shared" si="8"/>
        <v>93.591452535948051</v>
      </c>
      <c r="AB47" s="36">
        <f>AVERAGE(AB14:AB44)</f>
        <v>71.465133283124757</v>
      </c>
    </row>
    <row r="48" spans="1:28" x14ac:dyDescent="0.25">
      <c r="A48" s="15"/>
    </row>
    <row r="49" spans="1:27" x14ac:dyDescent="0.25">
      <c r="A49" s="19"/>
      <c r="B49" s="19"/>
      <c r="C49" s="16"/>
      <c r="D49" s="16"/>
      <c r="E49" s="16"/>
      <c r="F49" s="19"/>
      <c r="G49" s="57"/>
      <c r="H49" s="57"/>
      <c r="I49" s="57"/>
      <c r="J49" s="57"/>
      <c r="K49" s="57"/>
      <c r="L49" s="57"/>
      <c r="M49" s="20"/>
      <c r="N49" s="20"/>
      <c r="O49" s="20"/>
      <c r="P49" s="20"/>
      <c r="Q49" s="20"/>
      <c r="R49" s="21"/>
      <c r="S49" s="22"/>
      <c r="T49" s="57"/>
      <c r="U49" s="57"/>
      <c r="V49" s="57"/>
      <c r="W49" s="57"/>
      <c r="X49" s="57"/>
      <c r="Y49" s="57"/>
      <c r="Z49" s="57"/>
    </row>
    <row r="50" spans="1:27" x14ac:dyDescent="0.25">
      <c r="A50" s="15" t="s">
        <v>30</v>
      </c>
      <c r="AA50" s="16"/>
    </row>
    <row r="51" spans="1:27" x14ac:dyDescent="0.25">
      <c r="A51" s="17"/>
      <c r="B51" s="18" t="s">
        <v>31</v>
      </c>
      <c r="C51" s="16"/>
      <c r="D51" s="16"/>
      <c r="E51" s="16"/>
      <c r="F51" s="19"/>
      <c r="G51" s="57"/>
      <c r="H51" s="57"/>
      <c r="I51" s="57"/>
      <c r="J51" s="57"/>
      <c r="K51" s="57"/>
      <c r="L51" s="57"/>
      <c r="M51" s="20"/>
      <c r="N51" s="20"/>
      <c r="O51" s="20"/>
      <c r="P51" s="20"/>
      <c r="Q51" s="20"/>
      <c r="R51" s="21"/>
      <c r="S51" s="22"/>
      <c r="X51" s="21" t="s">
        <v>66</v>
      </c>
      <c r="Y51" s="21"/>
      <c r="Z51" s="21"/>
      <c r="AA51" s="16"/>
    </row>
    <row r="52" spans="1:27" x14ac:dyDescent="0.25">
      <c r="A52" s="19"/>
      <c r="B52" s="19"/>
      <c r="C52" s="16"/>
      <c r="D52" s="16"/>
      <c r="E52" s="16"/>
      <c r="F52" s="19"/>
      <c r="G52" s="57"/>
      <c r="H52" s="57"/>
      <c r="I52" s="57"/>
      <c r="J52" s="57"/>
      <c r="K52" s="57"/>
      <c r="L52" s="57"/>
      <c r="M52" s="20"/>
      <c r="N52" s="20"/>
      <c r="O52" s="20"/>
      <c r="P52" s="20"/>
      <c r="Q52" s="20"/>
      <c r="R52" s="21"/>
      <c r="S52" s="22"/>
      <c r="X52" s="21"/>
      <c r="Y52" s="21"/>
      <c r="Z52" s="21"/>
      <c r="AA52" s="16"/>
    </row>
    <row r="53" spans="1:27" x14ac:dyDescent="0.25">
      <c r="A53" s="19"/>
      <c r="B53" s="19"/>
      <c r="C53" s="16"/>
      <c r="D53" s="16"/>
      <c r="E53" s="16"/>
      <c r="F53" s="19"/>
      <c r="G53" s="57"/>
      <c r="H53" s="57"/>
      <c r="I53" s="57"/>
      <c r="J53" s="57"/>
      <c r="K53" s="57"/>
      <c r="L53" s="57"/>
      <c r="M53" s="20"/>
      <c r="N53" s="20"/>
      <c r="O53" s="20"/>
      <c r="P53" s="20"/>
      <c r="Q53" s="20"/>
      <c r="R53" s="21"/>
      <c r="S53" s="22"/>
      <c r="V53" s="57" t="s">
        <v>58</v>
      </c>
      <c r="W53" s="57"/>
      <c r="X53" s="57"/>
      <c r="Y53" s="57"/>
      <c r="Z53" s="57"/>
      <c r="AA53" s="57"/>
    </row>
    <row r="54" spans="1:27" x14ac:dyDescent="0.25">
      <c r="A54" s="19"/>
      <c r="B54" s="19"/>
      <c r="C54" s="16"/>
      <c r="D54" s="16"/>
      <c r="E54" s="16"/>
      <c r="F54" s="19"/>
      <c r="G54" s="57"/>
      <c r="H54" s="57"/>
      <c r="I54" s="57"/>
      <c r="J54" s="57"/>
      <c r="K54" s="57"/>
      <c r="L54" s="57"/>
      <c r="M54" s="20"/>
      <c r="N54" s="20"/>
      <c r="O54" s="20"/>
      <c r="P54" s="20"/>
      <c r="Q54" s="20"/>
      <c r="R54" s="21"/>
      <c r="S54" s="22"/>
      <c r="Y54" s="21"/>
      <c r="Z54" s="21"/>
      <c r="AA54" s="21"/>
    </row>
    <row r="55" spans="1:27" x14ac:dyDescent="0.25">
      <c r="A55" s="19"/>
      <c r="B55" s="19"/>
      <c r="C55" s="16"/>
      <c r="D55" s="16"/>
      <c r="E55" s="16"/>
      <c r="F55" s="19"/>
      <c r="G55" s="21"/>
      <c r="H55" s="21"/>
      <c r="I55" s="21"/>
      <c r="J55" s="21"/>
      <c r="K55" s="21"/>
      <c r="L55" s="21"/>
      <c r="M55" s="20"/>
      <c r="N55" s="20"/>
      <c r="O55" s="20"/>
      <c r="P55" s="20"/>
      <c r="Q55" s="20"/>
      <c r="R55" s="21"/>
      <c r="S55" s="22"/>
      <c r="Y55" s="21"/>
      <c r="Z55" s="21"/>
      <c r="AA55" s="21"/>
    </row>
    <row r="56" spans="1:27" x14ac:dyDescent="0.25">
      <c r="A56" s="19"/>
      <c r="B56" s="19"/>
      <c r="C56" s="16"/>
      <c r="D56" s="16"/>
      <c r="E56" s="16"/>
      <c r="F56" s="19"/>
      <c r="G56" s="21"/>
      <c r="H56" s="21"/>
      <c r="I56" s="21"/>
      <c r="J56" s="20"/>
      <c r="K56" s="20"/>
      <c r="L56" s="20"/>
      <c r="M56" s="20"/>
      <c r="N56" s="20"/>
      <c r="O56" s="22"/>
      <c r="P56" s="23"/>
      <c r="Q56" s="23"/>
      <c r="R56" s="21"/>
      <c r="S56" s="22"/>
      <c r="Y56" s="22"/>
      <c r="Z56" s="21"/>
      <c r="AA56" s="21"/>
    </row>
    <row r="57" spans="1:27" x14ac:dyDescent="0.25">
      <c r="A57" s="19"/>
      <c r="B57" s="19"/>
      <c r="C57" s="16"/>
      <c r="D57" s="16"/>
      <c r="E57" s="16"/>
      <c r="F57" s="19"/>
      <c r="G57" s="58"/>
      <c r="H57" s="58"/>
      <c r="I57" s="58"/>
      <c r="J57" s="58"/>
      <c r="K57" s="58"/>
      <c r="L57" s="58"/>
      <c r="M57" s="24"/>
      <c r="N57" s="24"/>
      <c r="O57" s="24"/>
      <c r="P57" s="24"/>
      <c r="Q57" s="24"/>
      <c r="R57" s="21"/>
      <c r="S57" s="22"/>
      <c r="Y57" s="22"/>
      <c r="Z57" s="21"/>
      <c r="AA57" s="21"/>
    </row>
    <row r="58" spans="1:27" x14ac:dyDescent="0.25">
      <c r="A58" s="19"/>
      <c r="B58" s="19"/>
      <c r="C58" s="16"/>
      <c r="D58" s="16"/>
      <c r="E58" s="16"/>
      <c r="F58" s="19"/>
      <c r="G58" s="57"/>
      <c r="H58" s="57"/>
      <c r="I58" s="57"/>
      <c r="J58" s="57"/>
      <c r="K58" s="57"/>
      <c r="L58" s="57"/>
      <c r="M58" s="25"/>
      <c r="N58" s="25"/>
      <c r="O58" s="25"/>
      <c r="P58" s="25"/>
      <c r="Q58" s="25"/>
      <c r="R58" s="21"/>
      <c r="S58" s="22"/>
      <c r="Y58" s="22"/>
      <c r="Z58" s="21"/>
      <c r="AA58" s="21"/>
    </row>
    <row r="59" spans="1:27" x14ac:dyDescent="0.25">
      <c r="Y59" s="26"/>
      <c r="Z59" s="26"/>
      <c r="AA59" s="26"/>
    </row>
    <row r="60" spans="1:27" x14ac:dyDescent="0.25">
      <c r="Y60" s="21"/>
      <c r="Z60" s="21"/>
      <c r="AA60" s="21"/>
    </row>
  </sheetData>
  <mergeCells count="16">
    <mergeCell ref="A7:AB7"/>
    <mergeCell ref="Z11:AA11"/>
    <mergeCell ref="A1:AB1"/>
    <mergeCell ref="A2:AB2"/>
    <mergeCell ref="A3:AB3"/>
    <mergeCell ref="A4:AB4"/>
    <mergeCell ref="A6:AB6"/>
    <mergeCell ref="G49:L49"/>
    <mergeCell ref="T49:Z49"/>
    <mergeCell ref="G51:L51"/>
    <mergeCell ref="G58:L58"/>
    <mergeCell ref="G53:L53"/>
    <mergeCell ref="G57:L57"/>
    <mergeCell ref="G54:L54"/>
    <mergeCell ref="G52:L52"/>
    <mergeCell ref="V53:AA5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AB58"/>
  <sheetViews>
    <sheetView topLeftCell="A25" workbookViewId="0">
      <selection activeCell="V52" sqref="V52:AA52"/>
    </sheetView>
  </sheetViews>
  <sheetFormatPr defaultRowHeight="15" x14ac:dyDescent="0.25"/>
  <cols>
    <col min="1" max="28" width="5.28515625" customWidth="1"/>
  </cols>
  <sheetData>
    <row r="1" spans="1:28" ht="15.75" x14ac:dyDescent="0.25">
      <c r="A1" s="61" t="s">
        <v>43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</row>
    <row r="2" spans="1:28" ht="15.75" x14ac:dyDescent="0.25">
      <c r="A2" s="61" t="s">
        <v>44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</row>
    <row r="3" spans="1:28" x14ac:dyDescent="0.25">
      <c r="A3" s="62" t="s">
        <v>45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</row>
    <row r="4" spans="1:28" ht="15.75" thickBot="1" x14ac:dyDescent="0.3">
      <c r="A4" s="63" t="s">
        <v>46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</row>
    <row r="5" spans="1:28" ht="9" customHeight="1" x14ac:dyDescent="0.25">
      <c r="A5" s="27"/>
      <c r="B5" s="27"/>
      <c r="C5" s="27"/>
      <c r="D5" s="27"/>
      <c r="E5" s="27"/>
      <c r="F5" s="27"/>
    </row>
    <row r="6" spans="1:28" x14ac:dyDescent="0.25">
      <c r="A6" s="64" t="s">
        <v>56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</row>
    <row r="7" spans="1:28" ht="14.25" customHeight="1" x14ac:dyDescent="0.25">
      <c r="A7" s="65" t="s">
        <v>62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</row>
    <row r="8" spans="1:28" ht="7.5" customHeight="1" x14ac:dyDescent="0.25"/>
    <row r="9" spans="1:28" x14ac:dyDescent="0.25">
      <c r="A9" s="42" t="s">
        <v>47</v>
      </c>
      <c r="B9" s="42"/>
      <c r="C9" s="43" t="s">
        <v>48</v>
      </c>
    </row>
    <row r="10" spans="1:28" x14ac:dyDescent="0.25">
      <c r="A10" t="s">
        <v>49</v>
      </c>
      <c r="B10" s="42"/>
      <c r="C10" t="s">
        <v>50</v>
      </c>
    </row>
    <row r="11" spans="1:28" x14ac:dyDescent="0.25">
      <c r="A11" t="s">
        <v>51</v>
      </c>
      <c r="C11" t="s">
        <v>52</v>
      </c>
      <c r="Y11" s="44" t="s">
        <v>53</v>
      </c>
      <c r="Z11" s="60" t="s">
        <v>54</v>
      </c>
      <c r="AA11" s="60"/>
    </row>
    <row r="12" spans="1:28" ht="8.25" customHeight="1" x14ac:dyDescent="0.25"/>
    <row r="13" spans="1:28" x14ac:dyDescent="0.25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  <c r="H13" s="3" t="s">
        <v>9</v>
      </c>
      <c r="I13" s="3" t="s">
        <v>10</v>
      </c>
      <c r="J13" s="3" t="s">
        <v>11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  <c r="P13" s="3" t="s">
        <v>17</v>
      </c>
      <c r="Q13" s="3" t="s">
        <v>18</v>
      </c>
      <c r="R13" s="3" t="s">
        <v>19</v>
      </c>
      <c r="S13" s="3" t="s">
        <v>20</v>
      </c>
      <c r="T13" s="3" t="s">
        <v>21</v>
      </c>
      <c r="U13" s="3" t="s">
        <v>22</v>
      </c>
      <c r="V13" s="3" t="s">
        <v>23</v>
      </c>
      <c r="W13" s="3" t="s">
        <v>24</v>
      </c>
      <c r="X13" s="3" t="s">
        <v>25</v>
      </c>
      <c r="Y13" s="3" t="s">
        <v>26</v>
      </c>
      <c r="Z13" s="4" t="s">
        <v>32</v>
      </c>
      <c r="AA13" s="4" t="s">
        <v>27</v>
      </c>
      <c r="AB13" s="4" t="s">
        <v>28</v>
      </c>
    </row>
    <row r="14" spans="1:28" x14ac:dyDescent="0.25">
      <c r="A14" s="5" t="s">
        <v>29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5">
        <v>26</v>
      </c>
      <c r="AB14" s="5">
        <v>27</v>
      </c>
    </row>
    <row r="15" spans="1:28" x14ac:dyDescent="0.25">
      <c r="A15" s="6">
        <v>1</v>
      </c>
      <c r="B15" s="7">
        <v>87.409356870923617</v>
      </c>
      <c r="C15" s="7">
        <v>82.268628724785273</v>
      </c>
      <c r="D15" s="7">
        <v>85.454869935021705</v>
      </c>
      <c r="E15" s="7">
        <v>78.272129214173759</v>
      </c>
      <c r="F15" s="7">
        <v>72.597461681764116</v>
      </c>
      <c r="G15" s="7">
        <v>89.375791190256564</v>
      </c>
      <c r="H15" s="7">
        <v>93.295342494094442</v>
      </c>
      <c r="I15" s="7">
        <v>92.5057490985333</v>
      </c>
      <c r="J15" s="7">
        <v>93.263970887488853</v>
      </c>
      <c r="K15" s="7">
        <v>93.23225285248688</v>
      </c>
      <c r="L15" s="7">
        <v>93.167757326285368</v>
      </c>
      <c r="M15" s="7">
        <v>92.272101638943951</v>
      </c>
      <c r="N15" s="7">
        <v>94.757080363989871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7">
        <f>AVERAGE(B15:N15)</f>
        <v>88.297884021442144</v>
      </c>
      <c r="AA15" s="7">
        <f>MAX(B15:N15)</f>
        <v>94.757080363989871</v>
      </c>
      <c r="AB15" s="7">
        <f>MIN(B15:Y15)</f>
        <v>72.597461681764116</v>
      </c>
    </row>
    <row r="16" spans="1:28" x14ac:dyDescent="0.25">
      <c r="A16" s="9">
        <v>2</v>
      </c>
      <c r="B16" s="10">
        <v>94.905832015442712</v>
      </c>
      <c r="C16" s="10">
        <v>87.813339035386591</v>
      </c>
      <c r="D16" s="10">
        <v>77.207862783481787</v>
      </c>
      <c r="E16" s="10">
        <v>74.096055414975098</v>
      </c>
      <c r="F16" s="10">
        <v>72.492860597196724</v>
      </c>
      <c r="G16" s="10">
        <v>71.993832990106256</v>
      </c>
      <c r="H16" s="10">
        <v>67.136126805895387</v>
      </c>
      <c r="I16" s="10">
        <v>67.202518044255072</v>
      </c>
      <c r="J16" s="10">
        <v>68.228128647776614</v>
      </c>
      <c r="K16" s="10">
        <v>72.145186899335471</v>
      </c>
      <c r="L16" s="10">
        <v>87.198956473953885</v>
      </c>
      <c r="M16" s="10">
        <v>91.801681435810139</v>
      </c>
      <c r="N16" s="10">
        <v>91.820255139964601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>
        <f t="shared" ref="Z16:Z44" si="0">AVERAGE(B16:N16)</f>
        <v>78.772510483352335</v>
      </c>
      <c r="AA16" s="10">
        <f t="shared" ref="AA16:AA44" si="1">MAX(B16:N16)</f>
        <v>94.905832015442712</v>
      </c>
      <c r="AB16" s="10">
        <f t="shared" ref="AB16:AB44" si="2">MIN(B16:Y16)</f>
        <v>67.136126805895387</v>
      </c>
    </row>
    <row r="17" spans="1:28" x14ac:dyDescent="0.25">
      <c r="A17" s="9">
        <v>3</v>
      </c>
      <c r="B17" s="10">
        <v>90.285851672166032</v>
      </c>
      <c r="C17" s="10">
        <v>81.647132592884702</v>
      </c>
      <c r="D17" s="10">
        <v>78.348875512470201</v>
      </c>
      <c r="E17" s="10">
        <v>74.060879939786574</v>
      </c>
      <c r="F17" s="10">
        <v>73.496914603973977</v>
      </c>
      <c r="G17" s="10">
        <v>67.158816216759121</v>
      </c>
      <c r="H17" s="10">
        <v>67.539979891535864</v>
      </c>
      <c r="I17" s="10">
        <v>84.9164786910125</v>
      </c>
      <c r="J17" s="10">
        <v>89.097268070322102</v>
      </c>
      <c r="K17" s="10">
        <v>85.963750093840446</v>
      </c>
      <c r="L17" s="10">
        <v>85.994134681205409</v>
      </c>
      <c r="M17" s="10">
        <v>91.875379228323595</v>
      </c>
      <c r="N17" s="10">
        <v>95.100483857463473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>
        <f t="shared" si="0"/>
        <v>81.960457311672613</v>
      </c>
      <c r="AA17" s="10">
        <f t="shared" si="1"/>
        <v>95.100483857463473</v>
      </c>
      <c r="AB17" s="10">
        <f t="shared" si="2"/>
        <v>67.158816216759121</v>
      </c>
    </row>
    <row r="18" spans="1:28" x14ac:dyDescent="0.25">
      <c r="A18" s="9">
        <v>4</v>
      </c>
      <c r="B18" s="10">
        <v>93.982304522171901</v>
      </c>
      <c r="C18" s="10">
        <v>90.061668333449816</v>
      </c>
      <c r="D18" s="10">
        <v>79.195157514781243</v>
      </c>
      <c r="E18" s="10">
        <v>76.035417744881727</v>
      </c>
      <c r="F18" s="10">
        <v>71.444773931929547</v>
      </c>
      <c r="G18" s="10">
        <v>73.954200751397892</v>
      </c>
      <c r="H18" s="10">
        <v>75.693926157315659</v>
      </c>
      <c r="I18" s="10">
        <v>78.484828483501786</v>
      </c>
      <c r="J18" s="10">
        <v>85.274774733116004</v>
      </c>
      <c r="K18" s="10">
        <v>88.906712707344283</v>
      </c>
      <c r="L18" s="10">
        <v>91.11899870765204</v>
      </c>
      <c r="M18" s="10">
        <v>90.285851672166032</v>
      </c>
      <c r="N18" s="10">
        <v>92.591270923575053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>
        <f t="shared" si="0"/>
        <v>83.617683552560237</v>
      </c>
      <c r="AA18" s="10">
        <f t="shared" si="1"/>
        <v>93.982304522171901</v>
      </c>
      <c r="AB18" s="10">
        <f t="shared" si="2"/>
        <v>71.444773931929547</v>
      </c>
    </row>
    <row r="19" spans="1:28" x14ac:dyDescent="0.25">
      <c r="A19" s="9">
        <v>5</v>
      </c>
      <c r="B19" s="10">
        <v>82.509603433418292</v>
      </c>
      <c r="C19" s="10">
        <v>81.567778571788381</v>
      </c>
      <c r="D19" s="10">
        <v>80.441494769259251</v>
      </c>
      <c r="E19" s="10">
        <v>76.679780168469648</v>
      </c>
      <c r="F19" s="10">
        <v>73.156518063568825</v>
      </c>
      <c r="G19" s="10">
        <v>70.778443254701287</v>
      </c>
      <c r="H19" s="10">
        <v>69.736488041473535</v>
      </c>
      <c r="I19" s="10">
        <v>73.710343196284427</v>
      </c>
      <c r="J19" s="10">
        <v>88.238995075160318</v>
      </c>
      <c r="K19" s="10">
        <v>89.542388598685221</v>
      </c>
      <c r="L19" s="10">
        <v>89.327020835807261</v>
      </c>
      <c r="M19" s="10">
        <v>91.76423123386563</v>
      </c>
      <c r="N19" s="10">
        <v>94.203472108210065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>
        <f t="shared" si="0"/>
        <v>81.665889026976316</v>
      </c>
      <c r="AA19" s="10">
        <f t="shared" si="1"/>
        <v>94.203472108210065</v>
      </c>
      <c r="AB19" s="10">
        <f t="shared" si="2"/>
        <v>69.736488041473535</v>
      </c>
    </row>
    <row r="20" spans="1:28" x14ac:dyDescent="0.25">
      <c r="A20" s="9">
        <v>6</v>
      </c>
      <c r="B20" s="10">
        <v>90.95705306620107</v>
      </c>
      <c r="C20" s="10">
        <v>87.89595980409338</v>
      </c>
      <c r="D20" s="10">
        <v>85.081040006975215</v>
      </c>
      <c r="E20" s="10">
        <v>78.25704645822394</v>
      </c>
      <c r="F20" s="10">
        <v>75.054813341072119</v>
      </c>
      <c r="G20" s="10">
        <v>78.529675277568018</v>
      </c>
      <c r="H20" s="10">
        <v>81.841894817733817</v>
      </c>
      <c r="I20" s="10">
        <v>91.68809926880499</v>
      </c>
      <c r="J20" s="10">
        <v>90.107484814320046</v>
      </c>
      <c r="K20" s="10">
        <v>90.107484814320046</v>
      </c>
      <c r="L20" s="10">
        <v>96.55917508812108</v>
      </c>
      <c r="M20" s="10">
        <v>96.542703442597727</v>
      </c>
      <c r="N20" s="10">
        <v>96.509206044790147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>
        <f t="shared" si="0"/>
        <v>87.625510480370878</v>
      </c>
      <c r="AA20" s="10">
        <f t="shared" si="1"/>
        <v>96.55917508812108</v>
      </c>
      <c r="AB20" s="10">
        <f t="shared" si="2"/>
        <v>75.054813341072119</v>
      </c>
    </row>
    <row r="21" spans="1:28" x14ac:dyDescent="0.25">
      <c r="A21" s="9">
        <v>7</v>
      </c>
      <c r="B21" s="10">
        <v>88.338556606876153</v>
      </c>
      <c r="C21" s="10">
        <v>85.520903747080652</v>
      </c>
      <c r="D21" s="10">
        <v>79.973511654213979</v>
      </c>
      <c r="E21" s="10">
        <v>78.164246687997618</v>
      </c>
      <c r="F21" s="10">
        <v>74.737205514564437</v>
      </c>
      <c r="G21" s="10">
        <v>73.00025131200691</v>
      </c>
      <c r="H21" s="10">
        <v>69.625624251436989</v>
      </c>
      <c r="I21" s="10">
        <v>86.362386718915005</v>
      </c>
      <c r="J21" s="10">
        <v>87.198956473953885</v>
      </c>
      <c r="K21" s="10">
        <v>89.495429193271875</v>
      </c>
      <c r="L21" s="10">
        <v>93.000094220527174</v>
      </c>
      <c r="M21" s="10">
        <v>94.731305151605497</v>
      </c>
      <c r="N21" s="10">
        <v>96.47495174352494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>
        <f t="shared" si="0"/>
        <v>84.355647944305787</v>
      </c>
      <c r="AA21" s="10">
        <f t="shared" si="1"/>
        <v>96.47495174352494</v>
      </c>
      <c r="AB21" s="10">
        <f t="shared" si="2"/>
        <v>69.625624251436989</v>
      </c>
    </row>
    <row r="22" spans="1:28" x14ac:dyDescent="0.25">
      <c r="A22" s="9">
        <v>8</v>
      </c>
      <c r="B22" s="10">
        <v>96.509206044790147</v>
      </c>
      <c r="C22" s="10">
        <v>87.024329978942021</v>
      </c>
      <c r="D22" s="10">
        <v>82.742865676712952</v>
      </c>
      <c r="E22" s="10">
        <v>76.387818684939546</v>
      </c>
      <c r="F22" s="10">
        <v>70.723724571512406</v>
      </c>
      <c r="G22" s="10">
        <v>63.991607469914271</v>
      </c>
      <c r="H22" s="10">
        <v>63.991607469914271</v>
      </c>
      <c r="I22" s="10">
        <v>89.126519184016857</v>
      </c>
      <c r="J22" s="10">
        <v>95.568853405937361</v>
      </c>
      <c r="K22" s="10">
        <v>96.47495174352494</v>
      </c>
      <c r="L22" s="10">
        <v>95.654878515675122</v>
      </c>
      <c r="M22" s="10">
        <v>97.364405663260328</v>
      </c>
      <c r="N22" s="10">
        <v>96.500714289497807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>
        <f t="shared" si="0"/>
        <v>85.543190976818309</v>
      </c>
      <c r="AA22" s="10">
        <f t="shared" si="1"/>
        <v>97.364405663260328</v>
      </c>
      <c r="AB22" s="10">
        <f t="shared" si="2"/>
        <v>63.991607469914271</v>
      </c>
    </row>
    <row r="23" spans="1:28" x14ac:dyDescent="0.25">
      <c r="A23" s="9">
        <v>9</v>
      </c>
      <c r="B23" s="10">
        <v>94.081459885738553</v>
      </c>
      <c r="C23" s="10">
        <v>87.841028577988951</v>
      </c>
      <c r="D23" s="10">
        <v>80.189608416928536</v>
      </c>
      <c r="E23" s="10">
        <v>69.592880395118712</v>
      </c>
      <c r="F23" s="10">
        <v>69.004717151586277</v>
      </c>
      <c r="G23" s="10">
        <v>68.814612271726659</v>
      </c>
      <c r="H23" s="10">
        <v>80.274456380418869</v>
      </c>
      <c r="I23" s="10">
        <v>96.575465562829351</v>
      </c>
      <c r="J23" s="10">
        <v>93.996705935796825</v>
      </c>
      <c r="K23" s="10">
        <v>92.435632136330909</v>
      </c>
      <c r="L23" s="10">
        <v>91.590563594086007</v>
      </c>
      <c r="M23" s="10">
        <v>94.081459885738553</v>
      </c>
      <c r="N23" s="10">
        <v>95.747177220507481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>
        <f t="shared" si="0"/>
        <v>85.709674416522745</v>
      </c>
      <c r="AA23" s="10">
        <f t="shared" si="1"/>
        <v>96.575465562829351</v>
      </c>
      <c r="AB23" s="10">
        <f t="shared" si="2"/>
        <v>68.814612271726659</v>
      </c>
    </row>
    <row r="24" spans="1:28" x14ac:dyDescent="0.25">
      <c r="A24" s="9">
        <v>10</v>
      </c>
      <c r="B24" s="10">
        <v>91.610285518898209</v>
      </c>
      <c r="C24" s="10">
        <v>81.950911104908641</v>
      </c>
      <c r="D24" s="10">
        <v>74.683288699912481</v>
      </c>
      <c r="E24" s="10">
        <v>70.663521711631745</v>
      </c>
      <c r="F24" s="10">
        <v>68.162933559853499</v>
      </c>
      <c r="G24" s="10">
        <v>65.020417112259793</v>
      </c>
      <c r="H24" s="10">
        <v>69.497529564433663</v>
      </c>
      <c r="I24" s="10">
        <v>65.505185186216536</v>
      </c>
      <c r="J24" s="10">
        <v>74.737205514564437</v>
      </c>
      <c r="K24" s="10">
        <v>80.017191943947921</v>
      </c>
      <c r="L24" s="10">
        <v>81.66442898841882</v>
      </c>
      <c r="M24" s="10">
        <v>83.969930982786138</v>
      </c>
      <c r="N24" s="10">
        <v>90.061668333449816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>
        <f t="shared" si="0"/>
        <v>76.734192170867814</v>
      </c>
      <c r="AA24" s="10">
        <f t="shared" si="1"/>
        <v>91.610285518898209</v>
      </c>
      <c r="AB24" s="10">
        <f t="shared" si="2"/>
        <v>65.020417112259793</v>
      </c>
    </row>
    <row r="25" spans="1:28" x14ac:dyDescent="0.25">
      <c r="A25" s="9">
        <v>11</v>
      </c>
      <c r="B25" s="10">
        <v>91.707288047541041</v>
      </c>
      <c r="C25" s="10">
        <v>82.109828168016591</v>
      </c>
      <c r="D25" s="10">
        <v>84.778538554989979</v>
      </c>
      <c r="E25" s="10">
        <v>80.875868976253244</v>
      </c>
      <c r="F25" s="10">
        <v>74.150906799894273</v>
      </c>
      <c r="G25" s="10">
        <v>72.051245643447302</v>
      </c>
      <c r="H25" s="10">
        <v>76.592037551566889</v>
      </c>
      <c r="I25" s="10">
        <v>72.262295922601993</v>
      </c>
      <c r="J25" s="10">
        <v>78.463382904995044</v>
      </c>
      <c r="K25" s="10">
        <v>81.241784404159844</v>
      </c>
      <c r="L25" s="10">
        <v>84.042334277741404</v>
      </c>
      <c r="M25" s="10">
        <v>83.896736925091147</v>
      </c>
      <c r="N25" s="10">
        <v>88.500299434478777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>
        <f t="shared" si="0"/>
        <v>80.820965200829036</v>
      </c>
      <c r="AA25" s="10">
        <f t="shared" si="1"/>
        <v>91.707288047541041</v>
      </c>
      <c r="AB25" s="10">
        <f t="shared" si="2"/>
        <v>72.051245643447302</v>
      </c>
    </row>
    <row r="26" spans="1:28" x14ac:dyDescent="0.25">
      <c r="A26" s="9">
        <v>12</v>
      </c>
      <c r="B26" s="10">
        <v>87.643998693152966</v>
      </c>
      <c r="C26" s="10">
        <v>77.007783360974742</v>
      </c>
      <c r="D26" s="10">
        <v>68.761017127446038</v>
      </c>
      <c r="E26" s="10">
        <v>65.580549592024212</v>
      </c>
      <c r="F26" s="10">
        <v>65.296272058668848</v>
      </c>
      <c r="G26" s="10">
        <v>64.948522456820541</v>
      </c>
      <c r="H26" s="10">
        <v>63.377902771134032</v>
      </c>
      <c r="I26" s="10">
        <v>74.166461988785088</v>
      </c>
      <c r="J26" s="10">
        <v>73.627425546942845</v>
      </c>
      <c r="K26" s="10">
        <v>98.248312933070963</v>
      </c>
      <c r="L26" s="10">
        <v>98.231145819080723</v>
      </c>
      <c r="M26" s="10">
        <v>98.222416748831193</v>
      </c>
      <c r="N26" s="10">
        <v>98.222416748831193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>
        <f t="shared" si="0"/>
        <v>79.487248141981794</v>
      </c>
      <c r="AA26" s="10">
        <f t="shared" si="1"/>
        <v>98.248312933070963</v>
      </c>
      <c r="AB26" s="10">
        <f t="shared" si="2"/>
        <v>63.377902771134032</v>
      </c>
    </row>
    <row r="27" spans="1:28" x14ac:dyDescent="0.25">
      <c r="A27" s="9">
        <v>13</v>
      </c>
      <c r="B27" s="10">
        <v>93.357066109442584</v>
      </c>
      <c r="C27" s="10">
        <v>83.386946886828312</v>
      </c>
      <c r="D27" s="10">
        <v>79.973511654213979</v>
      </c>
      <c r="E27" s="10">
        <v>90.329253075595716</v>
      </c>
      <c r="F27" s="10">
        <v>90.26397538441725</v>
      </c>
      <c r="G27" s="10">
        <v>89.565679958987744</v>
      </c>
      <c r="H27" s="10">
        <v>90.329253075595716</v>
      </c>
      <c r="I27" s="10">
        <v>93.357066109442584</v>
      </c>
      <c r="J27" s="10">
        <v>94.203472108210065</v>
      </c>
      <c r="K27" s="10">
        <v>92.62483586619102</v>
      </c>
      <c r="L27" s="10">
        <v>89.327020835807261</v>
      </c>
      <c r="M27" s="10">
        <v>92.5057490985333</v>
      </c>
      <c r="N27" s="10">
        <v>94.095315042785458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>
        <f t="shared" si="0"/>
        <v>90.255318862003918</v>
      </c>
      <c r="AA27" s="10">
        <f t="shared" si="1"/>
        <v>94.203472108210065</v>
      </c>
      <c r="AB27" s="10">
        <f t="shared" si="2"/>
        <v>79.973511654213979</v>
      </c>
    </row>
    <row r="28" spans="1:28" x14ac:dyDescent="0.25">
      <c r="A28" s="9">
        <v>14</v>
      </c>
      <c r="B28" s="10">
        <v>89.327020835807261</v>
      </c>
      <c r="C28" s="10">
        <v>82.968737558370691</v>
      </c>
      <c r="D28" s="10">
        <v>76.93930176037442</v>
      </c>
      <c r="E28" s="10">
        <v>74.579514685396234</v>
      </c>
      <c r="F28" s="10">
        <v>72.051245643447302</v>
      </c>
      <c r="G28" s="10">
        <v>96.638867036747584</v>
      </c>
      <c r="H28" s="10">
        <v>89.471759355748219</v>
      </c>
      <c r="I28" s="10">
        <v>83.748699613055521</v>
      </c>
      <c r="J28" s="10">
        <v>97.491882315973015</v>
      </c>
      <c r="K28" s="10">
        <v>99.116149794962226</v>
      </c>
      <c r="L28" s="10">
        <v>99.118304162574816</v>
      </c>
      <c r="M28" s="10">
        <v>98.239777411123399</v>
      </c>
      <c r="N28" s="10">
        <v>98.244057093748026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>
        <f t="shared" si="0"/>
        <v>89.071947482102217</v>
      </c>
      <c r="AA28" s="10">
        <f t="shared" si="1"/>
        <v>99.118304162574816</v>
      </c>
      <c r="AB28" s="10">
        <f t="shared" si="2"/>
        <v>72.051245643447302</v>
      </c>
    </row>
    <row r="29" spans="1:28" x14ac:dyDescent="0.25">
      <c r="A29" s="9">
        <v>15</v>
      </c>
      <c r="B29" s="10">
        <v>91.649405643001401</v>
      </c>
      <c r="C29" s="10">
        <v>88.553044028618061</v>
      </c>
      <c r="D29" s="10">
        <v>80.189608416928536</v>
      </c>
      <c r="E29" s="10">
        <v>77.783258701669766</v>
      </c>
      <c r="F29" s="10">
        <v>71.502977059275636</v>
      </c>
      <c r="G29" s="10">
        <v>73.846409065303362</v>
      </c>
      <c r="H29" s="10">
        <v>68.226021224053525</v>
      </c>
      <c r="I29" s="10">
        <v>64.948522456820541</v>
      </c>
      <c r="J29" s="10">
        <v>69.004717151586277</v>
      </c>
      <c r="K29" s="10">
        <v>83.713385926701918</v>
      </c>
      <c r="L29" s="10">
        <v>85.90249604768772</v>
      </c>
      <c r="M29" s="10">
        <v>85.714771674595454</v>
      </c>
      <c r="N29" s="10">
        <v>90.285851672166032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>
        <f t="shared" si="0"/>
        <v>79.332343774492955</v>
      </c>
      <c r="AA29" s="10">
        <f t="shared" si="1"/>
        <v>91.649405643001401</v>
      </c>
      <c r="AB29" s="10">
        <f t="shared" si="2"/>
        <v>64.948522456820541</v>
      </c>
    </row>
    <row r="30" spans="1:28" x14ac:dyDescent="0.25">
      <c r="A30" s="9">
        <v>16</v>
      </c>
      <c r="B30" s="10">
        <v>93.295342494094442</v>
      </c>
      <c r="C30" s="10">
        <v>87.923203605538163</v>
      </c>
      <c r="D30" s="10">
        <v>81.487578849068441</v>
      </c>
      <c r="E30" s="10">
        <v>75.642889014168333</v>
      </c>
      <c r="F30" s="10">
        <v>71.268343418547644</v>
      </c>
      <c r="G30" s="10">
        <v>70.545039613137973</v>
      </c>
      <c r="H30" s="10">
        <v>74.270962017708015</v>
      </c>
      <c r="I30" s="10">
        <v>93.167757326285368</v>
      </c>
      <c r="J30" s="10">
        <v>94.881722302512387</v>
      </c>
      <c r="K30" s="10">
        <v>94.881722302512387</v>
      </c>
      <c r="L30" s="10">
        <v>94.832696070056826</v>
      </c>
      <c r="M30" s="10">
        <v>94.857344951335847</v>
      </c>
      <c r="N30" s="10">
        <v>97.402346673399194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>
        <f t="shared" si="0"/>
        <v>86.496688356797307</v>
      </c>
      <c r="AA30" s="10">
        <f t="shared" si="1"/>
        <v>97.402346673399194</v>
      </c>
      <c r="AB30" s="10">
        <f t="shared" si="2"/>
        <v>70.545039613137973</v>
      </c>
    </row>
    <row r="31" spans="1:28" x14ac:dyDescent="0.25">
      <c r="A31" s="9">
        <v>17</v>
      </c>
      <c r="B31" s="10">
        <v>93.32637261393613</v>
      </c>
      <c r="C31" s="10">
        <v>84.392875079781277</v>
      </c>
      <c r="D31" s="10">
        <v>76.387818684939546</v>
      </c>
      <c r="E31" s="10">
        <v>74.060879939786574</v>
      </c>
      <c r="F31" s="10">
        <v>69.253651821422508</v>
      </c>
      <c r="G31" s="10">
        <v>69.83772939572259</v>
      </c>
      <c r="H31" s="10">
        <v>77.967155135018501</v>
      </c>
      <c r="I31" s="10">
        <v>94.869567323465077</v>
      </c>
      <c r="J31" s="10">
        <v>96.550962075566588</v>
      </c>
      <c r="K31" s="10">
        <v>95.706722906100097</v>
      </c>
      <c r="L31" s="10">
        <v>95.706722906100097</v>
      </c>
      <c r="M31" s="10">
        <v>95.706722906100097</v>
      </c>
      <c r="N31" s="10">
        <v>96.55917508812108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>
        <f>AVERAGE(B31:N31)</f>
        <v>86.178950452004628</v>
      </c>
      <c r="AA31" s="10">
        <f t="shared" si="1"/>
        <v>96.55917508812108</v>
      </c>
      <c r="AB31" s="10">
        <f t="shared" si="2"/>
        <v>69.253651821422508</v>
      </c>
    </row>
    <row r="32" spans="1:28" x14ac:dyDescent="0.25">
      <c r="A32" s="9">
        <v>18</v>
      </c>
      <c r="B32" s="10">
        <v>91.49030389721446</v>
      </c>
      <c r="C32" s="10">
        <v>82.742865676712952</v>
      </c>
      <c r="D32" s="10">
        <v>77.403724295248693</v>
      </c>
      <c r="E32" s="10">
        <v>75.994623458710635</v>
      </c>
      <c r="F32" s="10">
        <v>64.807736437096622</v>
      </c>
      <c r="G32" s="10">
        <v>65.018373925888184</v>
      </c>
      <c r="H32" s="10">
        <v>64.133116922887794</v>
      </c>
      <c r="I32" s="10">
        <v>68.09952255247191</v>
      </c>
      <c r="J32" s="10">
        <v>69.129825374936743</v>
      </c>
      <c r="K32" s="10">
        <v>73.846409065303362</v>
      </c>
      <c r="L32" s="10">
        <v>81.567778571788381</v>
      </c>
      <c r="M32" s="10">
        <v>90.329253075595716</v>
      </c>
      <c r="N32" s="10">
        <v>91.875379228323595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>
        <f t="shared" si="0"/>
        <v>76.649147114013786</v>
      </c>
      <c r="AA32" s="10">
        <f t="shared" si="1"/>
        <v>91.875379228323595</v>
      </c>
      <c r="AB32" s="10">
        <f t="shared" si="2"/>
        <v>64.133116922887794</v>
      </c>
    </row>
    <row r="33" spans="1:28" x14ac:dyDescent="0.25">
      <c r="A33" s="9">
        <v>19</v>
      </c>
      <c r="B33" s="10">
        <v>92.894872254471636</v>
      </c>
      <c r="C33" s="10">
        <v>91.28120792245312</v>
      </c>
      <c r="D33" s="10">
        <v>82.103527989271626</v>
      </c>
      <c r="E33" s="10">
        <v>79.477230089141216</v>
      </c>
      <c r="F33" s="10">
        <v>70.534262536178971</v>
      </c>
      <c r="G33" s="10">
        <v>62.63528567782356</v>
      </c>
      <c r="H33" s="10">
        <v>62.786899188970658</v>
      </c>
      <c r="I33" s="10">
        <v>66.428989569440731</v>
      </c>
      <c r="J33" s="10">
        <v>68.621521496128793</v>
      </c>
      <c r="K33" s="10">
        <v>71.268343418547644</v>
      </c>
      <c r="L33" s="10">
        <v>71.02877367431519</v>
      </c>
      <c r="M33" s="10">
        <v>72.942100457355679</v>
      </c>
      <c r="N33" s="10">
        <v>77.734262078862642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>
        <f t="shared" si="0"/>
        <v>74.595175104073959</v>
      </c>
      <c r="AA33" s="10">
        <f t="shared" si="1"/>
        <v>92.894872254471636</v>
      </c>
      <c r="AB33" s="10">
        <f t="shared" si="2"/>
        <v>62.63528567782356</v>
      </c>
    </row>
    <row r="34" spans="1:28" x14ac:dyDescent="0.25">
      <c r="A34" s="9">
        <v>20</v>
      </c>
      <c r="B34" s="10">
        <v>94.89381037297683</v>
      </c>
      <c r="C34" s="10">
        <v>90.152804386413735</v>
      </c>
      <c r="D34" s="10">
        <v>80.624211215301727</v>
      </c>
      <c r="E34" s="10">
        <v>78.924031421175627</v>
      </c>
      <c r="F34" s="10">
        <v>74.060879939786574</v>
      </c>
      <c r="G34" s="10">
        <v>75.362619533105203</v>
      </c>
      <c r="H34" s="10">
        <v>79.552833071479668</v>
      </c>
      <c r="I34" s="10">
        <v>76.98787409945092</v>
      </c>
      <c r="J34" s="10">
        <v>75.171263301276241</v>
      </c>
      <c r="K34" s="10">
        <v>80.017191943947921</v>
      </c>
      <c r="L34" s="10">
        <v>81.283300306815534</v>
      </c>
      <c r="M34" s="10">
        <v>84.042334277741404</v>
      </c>
      <c r="N34" s="10">
        <v>85.388113599959198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>
        <f t="shared" si="0"/>
        <v>81.266251343802352</v>
      </c>
      <c r="AA34" s="10">
        <f t="shared" si="1"/>
        <v>94.89381037297683</v>
      </c>
      <c r="AB34" s="10">
        <f t="shared" si="2"/>
        <v>74.060879939786574</v>
      </c>
    </row>
    <row r="35" spans="1:28" x14ac:dyDescent="0.25">
      <c r="A35" s="9">
        <v>21</v>
      </c>
      <c r="B35" s="10">
        <v>89.921165122015651</v>
      </c>
      <c r="C35" s="10">
        <v>91.68809926880499</v>
      </c>
      <c r="D35" s="10">
        <v>91.570732721093307</v>
      </c>
      <c r="E35" s="10">
        <v>82.509603433418292</v>
      </c>
      <c r="F35" s="10">
        <v>74.519814731536059</v>
      </c>
      <c r="G35" s="10">
        <v>74.205470123873312</v>
      </c>
      <c r="H35" s="10">
        <v>80.103857872245882</v>
      </c>
      <c r="I35" s="10">
        <v>74.313740619690805</v>
      </c>
      <c r="J35" s="10">
        <v>74.844189413582313</v>
      </c>
      <c r="K35" s="10">
        <v>77.879884789248322</v>
      </c>
      <c r="L35" s="10">
        <v>79.841061697965984</v>
      </c>
      <c r="M35" s="10">
        <v>85.553652914719294</v>
      </c>
      <c r="N35" s="10">
        <v>89.424034875829051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0">
        <f t="shared" si="0"/>
        <v>82.028869814155627</v>
      </c>
      <c r="AA35" s="10">
        <f t="shared" si="1"/>
        <v>91.68809926880499</v>
      </c>
      <c r="AB35" s="10">
        <f t="shared" si="2"/>
        <v>74.205470123873312</v>
      </c>
    </row>
    <row r="36" spans="1:28" x14ac:dyDescent="0.25">
      <c r="A36" s="9">
        <v>22</v>
      </c>
      <c r="B36" s="10">
        <v>87.701062891106361</v>
      </c>
      <c r="C36" s="10">
        <v>81.324594065900854</v>
      </c>
      <c r="D36" s="10">
        <v>90.285851672166032</v>
      </c>
      <c r="E36" s="10">
        <v>78.164246687997618</v>
      </c>
      <c r="F36" s="10">
        <v>76.387818684939546</v>
      </c>
      <c r="G36" s="10">
        <v>71.268343418547644</v>
      </c>
      <c r="H36" s="10">
        <v>73.056592470332177</v>
      </c>
      <c r="I36" s="10">
        <v>79.149366366637707</v>
      </c>
      <c r="J36" s="10">
        <v>86.206701945338793</v>
      </c>
      <c r="K36" s="10">
        <v>86.269483009271397</v>
      </c>
      <c r="L36" s="10">
        <v>86.143233317917876</v>
      </c>
      <c r="M36" s="10">
        <v>92.234637268432095</v>
      </c>
      <c r="N36" s="10">
        <v>93.034382575167328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>
        <f t="shared" si="0"/>
        <v>83.171254951827322</v>
      </c>
      <c r="AA36" s="10">
        <f t="shared" si="1"/>
        <v>93.034382575167328</v>
      </c>
      <c r="AB36" s="10">
        <f t="shared" si="2"/>
        <v>71.268343418547644</v>
      </c>
    </row>
    <row r="37" spans="1:28" x14ac:dyDescent="0.25">
      <c r="A37" s="9">
        <v>23</v>
      </c>
      <c r="B37" s="10">
        <v>87.498564958124902</v>
      </c>
      <c r="C37" s="10">
        <v>80.231217829385642</v>
      </c>
      <c r="D37" s="10">
        <v>70.907219865452802</v>
      </c>
      <c r="E37" s="10">
        <v>69.302773600807882</v>
      </c>
      <c r="F37" s="10">
        <v>64.575896105923405</v>
      </c>
      <c r="G37" s="10">
        <v>65.012624330656905</v>
      </c>
      <c r="H37" s="10">
        <v>64.736796866099183</v>
      </c>
      <c r="I37" s="10">
        <v>65.846291311698906</v>
      </c>
      <c r="J37" s="10">
        <v>68.421303550004168</v>
      </c>
      <c r="K37" s="10">
        <v>74.313740619690805</v>
      </c>
      <c r="L37" s="10">
        <v>79.331071737183549</v>
      </c>
      <c r="M37" s="10">
        <v>84.254910681262245</v>
      </c>
      <c r="N37" s="10">
        <v>87.255921724445045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0">
        <f t="shared" si="0"/>
        <v>73.976025629287349</v>
      </c>
      <c r="AA37" s="10">
        <f t="shared" si="1"/>
        <v>87.498564958124902</v>
      </c>
      <c r="AB37" s="10">
        <f t="shared" si="2"/>
        <v>64.575896105923405</v>
      </c>
    </row>
    <row r="38" spans="1:28" x14ac:dyDescent="0.25">
      <c r="A38" s="9">
        <v>24</v>
      </c>
      <c r="B38" s="10">
        <v>94.857344951335847</v>
      </c>
      <c r="C38" s="10">
        <v>88.500299434478777</v>
      </c>
      <c r="D38" s="10">
        <v>79.841061697965984</v>
      </c>
      <c r="E38" s="10">
        <v>79.929597624557786</v>
      </c>
      <c r="F38" s="10">
        <v>75.383644632398301</v>
      </c>
      <c r="G38" s="10">
        <v>73.846409065303362</v>
      </c>
      <c r="H38" s="10">
        <v>75.002570485722643</v>
      </c>
      <c r="I38" s="10">
        <v>76.035417744881727</v>
      </c>
      <c r="J38" s="10">
        <v>75.436041013344564</v>
      </c>
      <c r="K38" s="10">
        <v>77.306313366446432</v>
      </c>
      <c r="L38" s="10">
        <v>90.241980925036074</v>
      </c>
      <c r="M38" s="10">
        <v>93.357066109442584</v>
      </c>
      <c r="N38" s="10">
        <v>93.357066109442584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0">
        <f t="shared" si="0"/>
        <v>82.545754858488962</v>
      </c>
      <c r="AA38" s="10">
        <f t="shared" si="1"/>
        <v>94.857344951335847</v>
      </c>
      <c r="AB38" s="10">
        <f t="shared" si="2"/>
        <v>73.846409065303362</v>
      </c>
    </row>
    <row r="39" spans="1:28" x14ac:dyDescent="0.25">
      <c r="A39" s="9">
        <v>25</v>
      </c>
      <c r="B39" s="10">
        <v>83.005162124349127</v>
      </c>
      <c r="C39" s="10">
        <v>81.990960597676377</v>
      </c>
      <c r="D39" s="10">
        <v>79.464832863555642</v>
      </c>
      <c r="E39" s="10">
        <v>72.435670800938681</v>
      </c>
      <c r="F39" s="10">
        <v>72.492860597196724</v>
      </c>
      <c r="G39" s="10">
        <v>76.387818684939546</v>
      </c>
      <c r="H39" s="10">
        <v>83.312238237624911</v>
      </c>
      <c r="I39" s="10">
        <v>85.586225280384298</v>
      </c>
      <c r="J39" s="10">
        <v>88.553044028618061</v>
      </c>
      <c r="K39" s="10">
        <v>91.68809926880499</v>
      </c>
      <c r="L39" s="10">
        <v>91.570732721093307</v>
      </c>
      <c r="M39" s="10">
        <v>93.167757326285368</v>
      </c>
      <c r="N39" s="10">
        <v>94.832696070056826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0">
        <f t="shared" si="0"/>
        <v>84.191392200117221</v>
      </c>
      <c r="AA39" s="10">
        <f t="shared" si="1"/>
        <v>94.832696070056826</v>
      </c>
      <c r="AB39" s="10">
        <f t="shared" si="2"/>
        <v>72.435670800938681</v>
      </c>
    </row>
    <row r="40" spans="1:28" x14ac:dyDescent="0.25">
      <c r="A40" s="9">
        <v>26</v>
      </c>
      <c r="B40" s="10">
        <v>93.200183366846844</v>
      </c>
      <c r="C40" s="10">
        <v>91.62989927685922</v>
      </c>
      <c r="D40" s="10">
        <v>90.061668333449816</v>
      </c>
      <c r="E40" s="10">
        <v>89.252861175848878</v>
      </c>
      <c r="F40" s="10">
        <v>85.520903747080652</v>
      </c>
      <c r="G40" s="10">
        <v>81.487578849068441</v>
      </c>
      <c r="H40" s="10">
        <v>85.586225280384298</v>
      </c>
      <c r="I40" s="10">
        <v>82.070417619923234</v>
      </c>
      <c r="J40" s="10">
        <v>78.272129214173759</v>
      </c>
      <c r="K40" s="10">
        <v>81.788537470934102</v>
      </c>
      <c r="L40" s="10">
        <v>85.520903747080652</v>
      </c>
      <c r="M40" s="10">
        <v>88.579201688311741</v>
      </c>
      <c r="N40" s="10">
        <v>91.726372472715113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0">
        <f t="shared" si="0"/>
        <v>86.515144787898208</v>
      </c>
      <c r="AA40" s="10">
        <f t="shared" si="1"/>
        <v>93.200183366846844</v>
      </c>
      <c r="AB40" s="10">
        <f t="shared" si="2"/>
        <v>78.272129214173759</v>
      </c>
    </row>
    <row r="41" spans="1:28" x14ac:dyDescent="0.25">
      <c r="A41" s="9">
        <v>27</v>
      </c>
      <c r="B41" s="10">
        <v>85.915533984432969</v>
      </c>
      <c r="C41" s="10">
        <v>77.334257902600257</v>
      </c>
      <c r="D41" s="10">
        <v>71.995439180976788</v>
      </c>
      <c r="E41" s="10">
        <v>76.288451319675147</v>
      </c>
      <c r="F41" s="10">
        <v>65.14977561226506</v>
      </c>
      <c r="G41" s="10">
        <v>60.526977728920741</v>
      </c>
      <c r="H41" s="10">
        <v>59.701173591438291</v>
      </c>
      <c r="I41" s="10">
        <v>64.276991063448449</v>
      </c>
      <c r="J41" s="10">
        <v>64.276991063448449</v>
      </c>
      <c r="K41" s="10">
        <v>81.241784404159844</v>
      </c>
      <c r="L41" s="10">
        <v>83.896736925091147</v>
      </c>
      <c r="M41" s="10">
        <v>83.281311873707111</v>
      </c>
      <c r="N41" s="10">
        <v>91.510578504116353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0">
        <f t="shared" si="0"/>
        <v>74.261231011867736</v>
      </c>
      <c r="AA41" s="10">
        <f t="shared" si="1"/>
        <v>91.510578504116353</v>
      </c>
      <c r="AB41" s="10">
        <f t="shared" si="2"/>
        <v>59.701173591438291</v>
      </c>
    </row>
    <row r="42" spans="1:28" x14ac:dyDescent="0.25">
      <c r="A42" s="9">
        <v>28</v>
      </c>
      <c r="B42" s="10">
        <v>89.277716228241317</v>
      </c>
      <c r="C42" s="10">
        <v>79.057044064372406</v>
      </c>
      <c r="D42" s="10">
        <v>75.383644632398301</v>
      </c>
      <c r="E42" s="10">
        <v>78.696763824771196</v>
      </c>
      <c r="F42" s="10">
        <v>80.103857872245882</v>
      </c>
      <c r="G42" s="10">
        <v>82.665948335567847</v>
      </c>
      <c r="H42" s="10">
        <v>82.665948335567847</v>
      </c>
      <c r="I42" s="10">
        <v>84.042334277741404</v>
      </c>
      <c r="J42" s="10">
        <v>84.812878594525714</v>
      </c>
      <c r="K42" s="10">
        <v>83.933433506219117</v>
      </c>
      <c r="L42" s="10">
        <v>86.143233317917876</v>
      </c>
      <c r="M42" s="10">
        <v>87.672608893545984</v>
      </c>
      <c r="N42" s="10">
        <v>89.227869660164401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0">
        <f t="shared" si="0"/>
        <v>83.360252426406092</v>
      </c>
      <c r="AA42" s="10">
        <f t="shared" si="1"/>
        <v>89.277716228241317</v>
      </c>
      <c r="AB42" s="10">
        <f t="shared" si="2"/>
        <v>75.383644632398301</v>
      </c>
    </row>
    <row r="43" spans="1:28" x14ac:dyDescent="0.25">
      <c r="A43" s="9">
        <v>29</v>
      </c>
      <c r="B43" s="10">
        <v>86.688971248121661</v>
      </c>
      <c r="C43" s="10">
        <v>77.536418360475921</v>
      </c>
      <c r="D43" s="10">
        <v>72.597461681764116</v>
      </c>
      <c r="E43" s="10">
        <v>80.917037782840225</v>
      </c>
      <c r="F43" s="10">
        <v>72.145186899335471</v>
      </c>
      <c r="G43" s="10">
        <v>76.692570230570951</v>
      </c>
      <c r="H43" s="10">
        <v>77.257218949011659</v>
      </c>
      <c r="I43" s="10">
        <v>81.241784404159844</v>
      </c>
      <c r="J43" s="10">
        <v>77.435885422416945</v>
      </c>
      <c r="K43" s="10">
        <v>78.821838961493469</v>
      </c>
      <c r="L43" s="10">
        <v>87.053829510721272</v>
      </c>
      <c r="M43" s="10">
        <v>84.568533736907781</v>
      </c>
      <c r="N43" s="10">
        <v>89.177473298849577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0">
        <f t="shared" si="0"/>
        <v>80.164170037436051</v>
      </c>
      <c r="AA43" s="10">
        <f t="shared" si="1"/>
        <v>89.177473298849577</v>
      </c>
      <c r="AB43" s="10">
        <f t="shared" si="2"/>
        <v>72.145186899335471</v>
      </c>
    </row>
    <row r="44" spans="1:28" ht="15.75" thickBot="1" x14ac:dyDescent="0.3">
      <c r="A44" s="9">
        <v>30</v>
      </c>
      <c r="B44" s="10">
        <v>96.47495174352494</v>
      </c>
      <c r="C44" s="10">
        <v>96.509206044790147</v>
      </c>
      <c r="D44" s="10">
        <v>89.126519184016857</v>
      </c>
      <c r="E44" s="10">
        <v>81.324594065900854</v>
      </c>
      <c r="F44" s="10">
        <v>82.030795597571043</v>
      </c>
      <c r="G44" s="10">
        <v>83.896736925091147</v>
      </c>
      <c r="H44" s="10">
        <v>94.067528369454564</v>
      </c>
      <c r="I44" s="10">
        <v>93.23225285248688</v>
      </c>
      <c r="J44" s="10">
        <v>93.23225285248688</v>
      </c>
      <c r="K44" s="10">
        <v>96.55917508812108</v>
      </c>
      <c r="L44" s="10">
        <v>96.542703442597727</v>
      </c>
      <c r="M44" s="10">
        <v>94.807771703071936</v>
      </c>
      <c r="N44" s="10">
        <v>96.509206044790147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0">
        <f t="shared" si="0"/>
        <v>91.870284147223387</v>
      </c>
      <c r="AA44" s="10">
        <f t="shared" si="1"/>
        <v>96.55917508812108</v>
      </c>
      <c r="AB44" s="10">
        <f t="shared" si="2"/>
        <v>81.324594065900854</v>
      </c>
    </row>
    <row r="45" spans="1:28" ht="16.5" thickTop="1" thickBot="1" x14ac:dyDescent="0.3">
      <c r="A45" s="35" t="s">
        <v>27</v>
      </c>
      <c r="B45" s="36">
        <f t="shared" ref="B45:N45" si="3">MAX(B15:B44)</f>
        <v>96.509206044790147</v>
      </c>
      <c r="C45" s="36">
        <f t="shared" si="3"/>
        <v>96.509206044790147</v>
      </c>
      <c r="D45" s="36">
        <f t="shared" si="3"/>
        <v>91.570732721093307</v>
      </c>
      <c r="E45" s="36">
        <f t="shared" si="3"/>
        <v>90.329253075595716</v>
      </c>
      <c r="F45" s="36">
        <f t="shared" si="3"/>
        <v>90.26397538441725</v>
      </c>
      <c r="G45" s="36">
        <f t="shared" si="3"/>
        <v>96.638867036747584</v>
      </c>
      <c r="H45" s="36">
        <f t="shared" si="3"/>
        <v>94.067528369454564</v>
      </c>
      <c r="I45" s="36">
        <f t="shared" si="3"/>
        <v>96.575465562829351</v>
      </c>
      <c r="J45" s="36">
        <f t="shared" si="3"/>
        <v>97.491882315973015</v>
      </c>
      <c r="K45" s="36">
        <f t="shared" si="3"/>
        <v>99.116149794962226</v>
      </c>
      <c r="L45" s="36">
        <f t="shared" si="3"/>
        <v>99.118304162574816</v>
      </c>
      <c r="M45" s="36">
        <f t="shared" si="3"/>
        <v>98.239777411123399</v>
      </c>
      <c r="N45" s="36">
        <f t="shared" si="3"/>
        <v>98.244057093748026</v>
      </c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8">
        <f>MAX(Z15:Z44)</f>
        <v>91.870284147223387</v>
      </c>
      <c r="AA45" s="38">
        <f>MAX(AA15:AA44)</f>
        <v>99.118304162574816</v>
      </c>
      <c r="AB45" s="38">
        <f>MAX(AB15:AB44)</f>
        <v>81.324594065900854</v>
      </c>
    </row>
    <row r="46" spans="1:28" ht="16.5" thickTop="1" thickBot="1" x14ac:dyDescent="0.3">
      <c r="A46" s="35" t="s">
        <v>28</v>
      </c>
      <c r="B46" s="36">
        <f t="shared" ref="B46:N46" si="4">MIN(B15:B44)</f>
        <v>82.509603433418292</v>
      </c>
      <c r="C46" s="36">
        <f t="shared" si="4"/>
        <v>77.007783360974742</v>
      </c>
      <c r="D46" s="36">
        <f t="shared" si="4"/>
        <v>68.761017127446038</v>
      </c>
      <c r="E46" s="36">
        <f t="shared" si="4"/>
        <v>65.580549592024212</v>
      </c>
      <c r="F46" s="36">
        <f t="shared" si="4"/>
        <v>64.575896105923405</v>
      </c>
      <c r="G46" s="36">
        <f t="shared" si="4"/>
        <v>60.526977728920741</v>
      </c>
      <c r="H46" s="36">
        <f t="shared" si="4"/>
        <v>59.701173591438291</v>
      </c>
      <c r="I46" s="36">
        <f t="shared" si="4"/>
        <v>64.276991063448449</v>
      </c>
      <c r="J46" s="36">
        <f t="shared" si="4"/>
        <v>64.276991063448449</v>
      </c>
      <c r="K46" s="36">
        <f t="shared" si="4"/>
        <v>71.268343418547644</v>
      </c>
      <c r="L46" s="36">
        <f t="shared" si="4"/>
        <v>71.02877367431519</v>
      </c>
      <c r="M46" s="36">
        <f t="shared" si="4"/>
        <v>72.942100457355679</v>
      </c>
      <c r="N46" s="36">
        <f t="shared" si="4"/>
        <v>77.734262078862642</v>
      </c>
      <c r="O46" s="37"/>
      <c r="P46" s="37"/>
      <c r="Q46" s="37"/>
      <c r="R46" s="33"/>
      <c r="S46" s="34"/>
      <c r="T46" s="33"/>
      <c r="U46" s="33"/>
      <c r="V46" s="33"/>
      <c r="W46" s="33"/>
      <c r="X46" s="33"/>
      <c r="Y46" s="33"/>
      <c r="Z46" s="38">
        <f>MIN(Z16:Z45)</f>
        <v>73.976025629287349</v>
      </c>
      <c r="AA46" s="38">
        <f>MIN(AA16:AA45)</f>
        <v>87.498564958124902</v>
      </c>
      <c r="AB46" s="38">
        <f>MIN(AB16:AB45)</f>
        <v>59.701173591438291</v>
      </c>
    </row>
    <row r="47" spans="1:28" ht="15.75" thickTop="1" x14ac:dyDescent="0.25">
      <c r="A47" s="35" t="s">
        <v>35</v>
      </c>
      <c r="B47" s="36">
        <f t="shared" ref="B47:N47" si="5">AVERAGE(B15:B44)</f>
        <v>90.823854907212166</v>
      </c>
      <c r="C47" s="36">
        <f t="shared" si="5"/>
        <v>84.997099133012028</v>
      </c>
      <c r="D47" s="36">
        <f t="shared" si="5"/>
        <v>80.106728178346032</v>
      </c>
      <c r="E47" s="36">
        <f t="shared" si="5"/>
        <v>77.142649189695874</v>
      </c>
      <c r="F47" s="36">
        <f t="shared" si="5"/>
        <v>73.079090953208336</v>
      </c>
      <c r="G47" s="36">
        <f t="shared" si="5"/>
        <v>73.6352632615407</v>
      </c>
      <c r="H47" s="36">
        <f t="shared" si="5"/>
        <v>75.361035554876551</v>
      </c>
      <c r="I47" s="36">
        <f t="shared" si="5"/>
        <v>79.996971731241416</v>
      </c>
      <c r="J47" s="36">
        <f t="shared" si="5"/>
        <v>82.478331174483444</v>
      </c>
      <c r="K47" s="36">
        <f t="shared" si="5"/>
        <v>85.959604334299172</v>
      </c>
      <c r="L47" s="36">
        <f t="shared" si="5"/>
        <v>88.420068948210201</v>
      </c>
      <c r="M47" s="36">
        <f t="shared" si="5"/>
        <v>90.287457001902936</v>
      </c>
      <c r="N47" s="36">
        <f t="shared" si="5"/>
        <v>92.604303267374178</v>
      </c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8">
        <f>AVERAGE(Z17:Z46)</f>
        <v>82.643232378447166</v>
      </c>
      <c r="AA47" s="38">
        <f t="shared" ref="AA47:AB47" si="6">AVERAGE(AA17:AA46)</f>
        <v>93.95586646688453</v>
      </c>
      <c r="AB47" s="38">
        <f t="shared" si="6"/>
        <v>70.26872801186218</v>
      </c>
    </row>
    <row r="48" spans="1:28" x14ac:dyDescent="0.25">
      <c r="A48" s="15"/>
      <c r="R48" s="21"/>
      <c r="S48" s="22"/>
      <c r="AA48" s="16"/>
    </row>
    <row r="49" spans="1:27" x14ac:dyDescent="0.25">
      <c r="A49" s="19"/>
      <c r="B49" s="19"/>
      <c r="C49" s="16"/>
      <c r="D49" s="16"/>
      <c r="E49" s="16"/>
      <c r="F49" s="19"/>
      <c r="G49" s="57"/>
      <c r="H49" s="57"/>
      <c r="I49" s="57"/>
      <c r="J49" s="57"/>
      <c r="K49" s="57"/>
      <c r="L49" s="57"/>
      <c r="M49" s="20"/>
      <c r="N49" s="20"/>
      <c r="O49" s="20"/>
      <c r="P49" s="20"/>
      <c r="Q49" s="20"/>
      <c r="R49" s="21"/>
      <c r="S49" s="22"/>
      <c r="AA49" s="16"/>
    </row>
    <row r="50" spans="1:27" x14ac:dyDescent="0.25">
      <c r="A50" s="15" t="s">
        <v>30</v>
      </c>
      <c r="R50" s="21"/>
      <c r="S50" s="22"/>
      <c r="X50" s="21" t="s">
        <v>67</v>
      </c>
      <c r="Y50" s="21"/>
      <c r="Z50" s="21"/>
      <c r="AA50" s="16"/>
    </row>
    <row r="51" spans="1:27" x14ac:dyDescent="0.25">
      <c r="A51" s="17"/>
      <c r="B51" s="18" t="s">
        <v>31</v>
      </c>
      <c r="C51" s="16"/>
      <c r="D51" s="16"/>
      <c r="E51" s="16"/>
      <c r="F51" s="19"/>
      <c r="G51" s="57"/>
      <c r="H51" s="57"/>
      <c r="I51" s="57"/>
      <c r="J51" s="57"/>
      <c r="K51" s="57"/>
      <c r="L51" s="57"/>
      <c r="M51" s="20"/>
      <c r="N51" s="20"/>
      <c r="O51" s="20"/>
      <c r="P51" s="20"/>
      <c r="Q51" s="20"/>
      <c r="R51" s="21"/>
      <c r="S51" s="22"/>
      <c r="X51" s="21"/>
      <c r="Y51" s="21"/>
      <c r="Z51" s="21"/>
      <c r="AA51" s="16"/>
    </row>
    <row r="52" spans="1:27" x14ac:dyDescent="0.25">
      <c r="A52" s="19"/>
      <c r="B52" s="19"/>
      <c r="C52" s="16"/>
      <c r="D52" s="16"/>
      <c r="E52" s="16"/>
      <c r="F52" s="19"/>
      <c r="G52" s="57"/>
      <c r="H52" s="57"/>
      <c r="I52" s="57"/>
      <c r="J52" s="57"/>
      <c r="K52" s="57"/>
      <c r="L52" s="57"/>
      <c r="M52" s="20"/>
      <c r="N52" s="20"/>
      <c r="O52" s="20"/>
      <c r="P52" s="20"/>
      <c r="Q52" s="20"/>
      <c r="R52" s="21"/>
      <c r="S52" s="22"/>
      <c r="V52" s="57" t="s">
        <v>58</v>
      </c>
      <c r="W52" s="57"/>
      <c r="X52" s="57"/>
      <c r="Y52" s="57"/>
      <c r="Z52" s="57"/>
      <c r="AA52" s="57"/>
    </row>
    <row r="53" spans="1:27" x14ac:dyDescent="0.25">
      <c r="A53" s="19"/>
      <c r="B53" s="19"/>
      <c r="C53" s="16"/>
      <c r="D53" s="16"/>
      <c r="E53" s="16"/>
      <c r="F53" s="19"/>
      <c r="G53" s="57"/>
      <c r="H53" s="57"/>
      <c r="I53" s="57"/>
      <c r="J53" s="57"/>
      <c r="K53" s="57"/>
      <c r="L53" s="57"/>
      <c r="M53" s="20"/>
      <c r="N53" s="20"/>
      <c r="O53" s="20"/>
      <c r="P53" s="20"/>
      <c r="Q53" s="20"/>
      <c r="R53" s="21"/>
      <c r="S53" s="22"/>
      <c r="Y53" s="21"/>
      <c r="Z53" s="21"/>
      <c r="AA53" s="21"/>
    </row>
    <row r="54" spans="1:27" x14ac:dyDescent="0.25">
      <c r="A54" s="19"/>
      <c r="B54" s="19"/>
      <c r="C54" s="16"/>
      <c r="D54" s="16"/>
      <c r="E54" s="16"/>
      <c r="F54" s="19"/>
      <c r="G54" s="57"/>
      <c r="H54" s="57"/>
      <c r="I54" s="57"/>
      <c r="J54" s="57"/>
      <c r="K54" s="57"/>
      <c r="L54" s="57"/>
      <c r="M54" s="20"/>
      <c r="N54" s="20"/>
      <c r="O54" s="20"/>
      <c r="P54" s="20"/>
      <c r="Q54" s="20"/>
      <c r="R54" s="21"/>
      <c r="S54" s="22"/>
      <c r="Y54" s="22"/>
      <c r="Z54" s="21"/>
      <c r="AA54" s="21"/>
    </row>
    <row r="55" spans="1:27" x14ac:dyDescent="0.25">
      <c r="A55" s="19"/>
      <c r="B55" s="19"/>
      <c r="C55" s="16"/>
      <c r="D55" s="16"/>
      <c r="E55" s="16"/>
      <c r="F55" s="19"/>
      <c r="G55" s="21"/>
      <c r="H55" s="21"/>
      <c r="I55" s="21"/>
      <c r="J55" s="21"/>
      <c r="K55" s="21"/>
      <c r="L55" s="21"/>
      <c r="M55" s="20"/>
      <c r="N55" s="20"/>
      <c r="O55" s="20"/>
      <c r="P55" s="20"/>
      <c r="Q55" s="20"/>
      <c r="R55" s="21"/>
      <c r="S55" s="22"/>
      <c r="Y55" s="22"/>
      <c r="Z55" s="21"/>
      <c r="AA55" s="21"/>
    </row>
    <row r="56" spans="1:27" x14ac:dyDescent="0.25">
      <c r="A56" s="19"/>
      <c r="B56" s="19"/>
      <c r="C56" s="16"/>
      <c r="D56" s="16"/>
      <c r="E56" s="16"/>
      <c r="F56" s="19"/>
      <c r="G56" s="21"/>
      <c r="H56" s="21"/>
      <c r="I56" s="21"/>
      <c r="J56" s="20"/>
      <c r="K56" s="20"/>
      <c r="L56" s="20"/>
      <c r="M56" s="20"/>
      <c r="N56" s="20"/>
      <c r="O56" s="22"/>
      <c r="P56" s="23"/>
      <c r="Q56" s="23"/>
      <c r="Y56" s="26"/>
      <c r="Z56" s="26"/>
      <c r="AA56" s="26"/>
    </row>
    <row r="57" spans="1:27" x14ac:dyDescent="0.25">
      <c r="A57" s="19"/>
      <c r="B57" s="19"/>
      <c r="C57" s="16"/>
      <c r="D57" s="16"/>
      <c r="E57" s="16"/>
      <c r="F57" s="19"/>
      <c r="G57" s="58"/>
      <c r="H57" s="58"/>
      <c r="I57" s="58"/>
      <c r="J57" s="58"/>
      <c r="K57" s="58"/>
      <c r="L57" s="58"/>
      <c r="M57" s="24"/>
      <c r="N57" s="24"/>
      <c r="O57" s="24"/>
      <c r="P57" s="24"/>
      <c r="Q57" s="24"/>
      <c r="Y57" s="21"/>
      <c r="Z57" s="21"/>
      <c r="AA57" s="21"/>
    </row>
    <row r="58" spans="1:27" x14ac:dyDescent="0.25">
      <c r="A58" s="19"/>
      <c r="B58" s="19"/>
      <c r="C58" s="16"/>
      <c r="D58" s="16"/>
      <c r="E58" s="16"/>
      <c r="F58" s="19"/>
      <c r="G58" s="57"/>
      <c r="H58" s="57"/>
      <c r="I58" s="57"/>
      <c r="J58" s="57"/>
      <c r="K58" s="57"/>
      <c r="L58" s="57"/>
      <c r="M58" s="25"/>
      <c r="N58" s="25"/>
      <c r="O58" s="25"/>
      <c r="P58" s="25"/>
      <c r="Q58" s="25"/>
    </row>
  </sheetData>
  <mergeCells count="15">
    <mergeCell ref="V52:AA52"/>
    <mergeCell ref="A7:AB7"/>
    <mergeCell ref="Z11:AA11"/>
    <mergeCell ref="A1:AB1"/>
    <mergeCell ref="A2:AB2"/>
    <mergeCell ref="A3:AB3"/>
    <mergeCell ref="A4:AB4"/>
    <mergeCell ref="A6:AB6"/>
    <mergeCell ref="G54:L54"/>
    <mergeCell ref="G57:L57"/>
    <mergeCell ref="G58:L58"/>
    <mergeCell ref="G49:L49"/>
    <mergeCell ref="G51:L51"/>
    <mergeCell ref="G52:L52"/>
    <mergeCell ref="G53:L5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AB59"/>
  <sheetViews>
    <sheetView tabSelected="1" topLeftCell="A25" workbookViewId="0">
      <selection activeCell="AF48" sqref="AF48"/>
    </sheetView>
  </sheetViews>
  <sheetFormatPr defaultRowHeight="15" x14ac:dyDescent="0.25"/>
  <cols>
    <col min="1" max="28" width="5.28515625" customWidth="1"/>
  </cols>
  <sheetData>
    <row r="1" spans="1:28" ht="15.75" x14ac:dyDescent="0.25">
      <c r="A1" s="61" t="s">
        <v>43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</row>
    <row r="2" spans="1:28" ht="15.75" x14ac:dyDescent="0.25">
      <c r="A2" s="61" t="s">
        <v>44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</row>
    <row r="3" spans="1:28" x14ac:dyDescent="0.25">
      <c r="A3" s="62" t="s">
        <v>45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</row>
    <row r="4" spans="1:28" ht="15.75" thickBot="1" x14ac:dyDescent="0.3">
      <c r="A4" s="63" t="s">
        <v>46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</row>
    <row r="5" spans="1:28" ht="9" customHeight="1" x14ac:dyDescent="0.25">
      <c r="A5" s="27"/>
      <c r="B5" s="27"/>
      <c r="C5" s="27"/>
      <c r="D5" s="27"/>
      <c r="E5" s="27"/>
      <c r="F5" s="27"/>
    </row>
    <row r="6" spans="1:28" x14ac:dyDescent="0.25">
      <c r="A6" s="64" t="s">
        <v>56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</row>
    <row r="7" spans="1:28" ht="14.25" customHeight="1" x14ac:dyDescent="0.25">
      <c r="A7" s="65" t="s">
        <v>61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</row>
    <row r="8" spans="1:28" ht="7.5" customHeight="1" x14ac:dyDescent="0.25"/>
    <row r="9" spans="1:28" x14ac:dyDescent="0.25">
      <c r="A9" s="42" t="s">
        <v>47</v>
      </c>
      <c r="B9" s="42"/>
      <c r="C9" s="43" t="s">
        <v>48</v>
      </c>
    </row>
    <row r="10" spans="1:28" x14ac:dyDescent="0.25">
      <c r="A10" t="s">
        <v>49</v>
      </c>
      <c r="B10" s="42"/>
      <c r="C10" t="s">
        <v>50</v>
      </c>
    </row>
    <row r="11" spans="1:28" x14ac:dyDescent="0.25">
      <c r="A11" t="s">
        <v>51</v>
      </c>
      <c r="C11" t="s">
        <v>52</v>
      </c>
      <c r="Y11" s="44" t="s">
        <v>53</v>
      </c>
      <c r="Z11" s="60" t="s">
        <v>54</v>
      </c>
      <c r="AA11" s="60"/>
    </row>
    <row r="13" spans="1:28" x14ac:dyDescent="0.25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  <c r="H13" s="3" t="s">
        <v>9</v>
      </c>
      <c r="I13" s="3" t="s">
        <v>10</v>
      </c>
      <c r="J13" s="3" t="s">
        <v>11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  <c r="P13" s="3" t="s">
        <v>17</v>
      </c>
      <c r="Q13" s="3" t="s">
        <v>18</v>
      </c>
      <c r="R13" s="3" t="s">
        <v>19</v>
      </c>
      <c r="S13" s="3" t="s">
        <v>20</v>
      </c>
      <c r="T13" s="3" t="s">
        <v>21</v>
      </c>
      <c r="U13" s="3" t="s">
        <v>22</v>
      </c>
      <c r="V13" s="3" t="s">
        <v>23</v>
      </c>
      <c r="W13" s="3" t="s">
        <v>24</v>
      </c>
      <c r="X13" s="3" t="s">
        <v>25</v>
      </c>
      <c r="Y13" s="3" t="s">
        <v>26</v>
      </c>
      <c r="Z13" s="4" t="s">
        <v>32</v>
      </c>
      <c r="AA13" s="4" t="s">
        <v>27</v>
      </c>
      <c r="AB13" s="4" t="s">
        <v>28</v>
      </c>
    </row>
    <row r="14" spans="1:28" x14ac:dyDescent="0.25">
      <c r="A14" s="5" t="s">
        <v>29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5">
        <v>26</v>
      </c>
      <c r="AB14" s="5">
        <v>27</v>
      </c>
    </row>
    <row r="15" spans="1:28" x14ac:dyDescent="0.25">
      <c r="A15" s="6">
        <v>1</v>
      </c>
      <c r="B15" s="7">
        <v>84.460921108132155</v>
      </c>
      <c r="C15" s="7">
        <v>78.869389948198474</v>
      </c>
      <c r="D15" s="7">
        <v>71.786345119566221</v>
      </c>
      <c r="E15" s="7">
        <v>72.597461681764116</v>
      </c>
      <c r="F15" s="7">
        <v>74.8972604533881</v>
      </c>
      <c r="G15" s="7">
        <v>70.481021129204805</v>
      </c>
      <c r="H15" s="7">
        <v>71.208919124870533</v>
      </c>
      <c r="I15" s="7">
        <v>66.153150333807702</v>
      </c>
      <c r="J15" s="7">
        <v>66.153150333807702</v>
      </c>
      <c r="K15" s="7">
        <v>66.153150333807702</v>
      </c>
      <c r="L15" s="7">
        <v>74.683288699912481</v>
      </c>
      <c r="M15" s="7">
        <v>81.241784404159844</v>
      </c>
      <c r="N15" s="7">
        <v>83.896736925091147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7">
        <f>AVERAGE(B15:N15)</f>
        <v>74.044813815054695</v>
      </c>
      <c r="AA15" s="7">
        <f>MAX(B15:N15)</f>
        <v>84.460921108132155</v>
      </c>
      <c r="AB15" s="7">
        <f>MIN(B15:Y15)</f>
        <v>66.153150333807702</v>
      </c>
    </row>
    <row r="16" spans="1:28" x14ac:dyDescent="0.25">
      <c r="A16" s="9">
        <v>2</v>
      </c>
      <c r="B16" s="10">
        <v>85.286601548039613</v>
      </c>
      <c r="C16" s="10">
        <v>74.67650010902392</v>
      </c>
      <c r="D16" s="10">
        <v>74.241490060044853</v>
      </c>
      <c r="E16" s="10">
        <v>70.534262536178971</v>
      </c>
      <c r="F16" s="10">
        <v>68.163066517159137</v>
      </c>
      <c r="G16" s="10">
        <v>63.890643783239518</v>
      </c>
      <c r="H16" s="10">
        <v>67.447127204143726</v>
      </c>
      <c r="I16" s="10">
        <v>65.509690792051828</v>
      </c>
      <c r="J16" s="10">
        <v>68.226128580990107</v>
      </c>
      <c r="K16" s="10">
        <v>73.00089443828621</v>
      </c>
      <c r="L16" s="10">
        <v>77.734262078862642</v>
      </c>
      <c r="M16" s="10">
        <v>80.40823900208828</v>
      </c>
      <c r="N16" s="10">
        <v>84.006230771501066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>
        <f t="shared" ref="Z16:Z45" si="0">AVERAGE(B16:N16)</f>
        <v>73.317318263200761</v>
      </c>
      <c r="AA16" s="10">
        <f t="shared" ref="AA16:AA45" si="1">MAX(B16:N16)</f>
        <v>85.286601548039613</v>
      </c>
      <c r="AB16" s="10">
        <f t="shared" ref="AB16:AB45" si="2">MIN(B16:Y16)</f>
        <v>63.890643783239518</v>
      </c>
    </row>
    <row r="17" spans="1:28" x14ac:dyDescent="0.25">
      <c r="A17" s="9">
        <v>3</v>
      </c>
      <c r="B17" s="10">
        <v>82.509603433418292</v>
      </c>
      <c r="C17" s="10">
        <v>78.368269882760842</v>
      </c>
      <c r="D17" s="10">
        <v>72.42021932786939</v>
      </c>
      <c r="E17" s="10">
        <v>68.491104410455307</v>
      </c>
      <c r="F17" s="10">
        <v>79.751570735784398</v>
      </c>
      <c r="G17" s="10">
        <v>70.534262536178971</v>
      </c>
      <c r="H17" s="10">
        <v>68.621521496128793</v>
      </c>
      <c r="I17" s="10">
        <v>69.689179495833699</v>
      </c>
      <c r="J17" s="10">
        <v>74.790838423941608</v>
      </c>
      <c r="K17" s="10">
        <v>81.406521414660631</v>
      </c>
      <c r="L17" s="10">
        <v>80.666714991687755</v>
      </c>
      <c r="M17" s="10">
        <v>80.666714991687755</v>
      </c>
      <c r="N17" s="10">
        <v>83.386946886828312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>
        <f t="shared" si="0"/>
        <v>76.254112925171981</v>
      </c>
      <c r="AA17" s="10">
        <f t="shared" si="1"/>
        <v>83.386946886828312</v>
      </c>
      <c r="AB17" s="10">
        <f t="shared" si="2"/>
        <v>68.491104410455307</v>
      </c>
    </row>
    <row r="18" spans="1:28" x14ac:dyDescent="0.25">
      <c r="A18" s="9">
        <v>4</v>
      </c>
      <c r="B18" s="10">
        <v>88.605217614752689</v>
      </c>
      <c r="C18" s="10">
        <v>79.841061697965984</v>
      </c>
      <c r="D18" s="10">
        <v>75.22478195265451</v>
      </c>
      <c r="E18" s="10">
        <v>71.761173265107743</v>
      </c>
      <c r="F18" s="10">
        <v>67.777538382204497</v>
      </c>
      <c r="G18" s="10">
        <v>69.592880395118712</v>
      </c>
      <c r="H18" s="10">
        <v>73.333931893494324</v>
      </c>
      <c r="I18" s="10">
        <v>91.610285518898209</v>
      </c>
      <c r="J18" s="10">
        <v>92.658040732021689</v>
      </c>
      <c r="K18" s="10">
        <v>94.17687277490738</v>
      </c>
      <c r="L18" s="10">
        <v>94.9996701525737</v>
      </c>
      <c r="M18" s="10">
        <v>94.190208493236014</v>
      </c>
      <c r="N18" s="10">
        <v>94.9996701525737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>
        <f t="shared" si="0"/>
        <v>83.751641001962241</v>
      </c>
      <c r="AA18" s="10">
        <f t="shared" si="1"/>
        <v>94.9996701525737</v>
      </c>
      <c r="AB18" s="10">
        <f t="shared" si="2"/>
        <v>67.777538382204497</v>
      </c>
    </row>
    <row r="19" spans="1:28" x14ac:dyDescent="0.25">
      <c r="A19" s="9">
        <v>5</v>
      </c>
      <c r="B19" s="10">
        <v>88.446975599750772</v>
      </c>
      <c r="C19" s="10">
        <v>83.386946886828312</v>
      </c>
      <c r="D19" s="10">
        <v>76.841388548609814</v>
      </c>
      <c r="E19" s="10">
        <v>73.737489280068019</v>
      </c>
      <c r="F19" s="10">
        <v>73.168395429676977</v>
      </c>
      <c r="G19" s="10">
        <v>85.781414500612456</v>
      </c>
      <c r="H19" s="10">
        <v>91.68809926880499</v>
      </c>
      <c r="I19" s="10">
        <v>94.216664132771186</v>
      </c>
      <c r="J19" s="10">
        <v>91.76423123386563</v>
      </c>
      <c r="K19" s="10">
        <v>94.929677919351548</v>
      </c>
      <c r="L19" s="10">
        <v>94.881722302512387</v>
      </c>
      <c r="M19" s="10">
        <v>97.364405663260328</v>
      </c>
      <c r="N19" s="10">
        <v>96.492174886425602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>
        <f t="shared" si="0"/>
        <v>87.899968127118299</v>
      </c>
      <c r="AA19" s="10">
        <f t="shared" si="1"/>
        <v>97.364405663260328</v>
      </c>
      <c r="AB19" s="10">
        <f t="shared" si="2"/>
        <v>73.168395429676977</v>
      </c>
    </row>
    <row r="20" spans="1:28" x14ac:dyDescent="0.25">
      <c r="A20" s="9">
        <v>6</v>
      </c>
      <c r="B20" s="10">
        <v>90.061668333449816</v>
      </c>
      <c r="C20" s="10">
        <v>79.841061697965984</v>
      </c>
      <c r="D20" s="10">
        <v>77.500110101760797</v>
      </c>
      <c r="E20" s="10">
        <v>71.327459226856419</v>
      </c>
      <c r="F20" s="10">
        <v>74.128057490557737</v>
      </c>
      <c r="G20" s="10">
        <v>68.491104410455307</v>
      </c>
      <c r="H20" s="10">
        <v>74.563259642952502</v>
      </c>
      <c r="I20" s="10">
        <v>80.901467602170015</v>
      </c>
      <c r="J20" s="10">
        <v>91.62989927685922</v>
      </c>
      <c r="K20" s="10">
        <v>96.575465562829351</v>
      </c>
      <c r="L20" s="10">
        <v>94.025270126761001</v>
      </c>
      <c r="M20" s="10">
        <v>95.686157817243497</v>
      </c>
      <c r="N20" s="10">
        <v>94.881722302512387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>
        <f t="shared" si="0"/>
        <v>83.816361814798</v>
      </c>
      <c r="AA20" s="10">
        <f t="shared" si="1"/>
        <v>96.575465562829351</v>
      </c>
      <c r="AB20" s="10">
        <f t="shared" si="2"/>
        <v>68.491104410455307</v>
      </c>
    </row>
    <row r="21" spans="1:28" x14ac:dyDescent="0.25">
      <c r="A21" s="9">
        <v>7</v>
      </c>
      <c r="B21" s="10">
        <v>94.039434048310284</v>
      </c>
      <c r="C21" s="10">
        <v>87.112351060393294</v>
      </c>
      <c r="D21" s="10">
        <v>76.642437179068139</v>
      </c>
      <c r="E21" s="10">
        <v>71.386268690121071</v>
      </c>
      <c r="F21" s="10">
        <v>66.832180876790332</v>
      </c>
      <c r="G21" s="10">
        <v>71.02010642452916</v>
      </c>
      <c r="H21" s="10">
        <v>84.914792630039202</v>
      </c>
      <c r="I21" s="10">
        <v>84.078242895652139</v>
      </c>
      <c r="J21" s="10">
        <v>85.388113599959198</v>
      </c>
      <c r="K21" s="10">
        <v>91.68809926880499</v>
      </c>
      <c r="L21" s="10">
        <v>91.68809926880499</v>
      </c>
      <c r="M21" s="10">
        <v>90.061668333449816</v>
      </c>
      <c r="N21" s="10">
        <v>93.263970887488853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>
        <f t="shared" si="0"/>
        <v>83.701212704877804</v>
      </c>
      <c r="AA21" s="10">
        <f t="shared" si="1"/>
        <v>94.039434048310284</v>
      </c>
      <c r="AB21" s="10">
        <f t="shared" si="2"/>
        <v>66.832180876790332</v>
      </c>
    </row>
    <row r="22" spans="1:28" x14ac:dyDescent="0.25">
      <c r="A22" s="9">
        <v>8</v>
      </c>
      <c r="B22" s="10">
        <v>93.263970887488853</v>
      </c>
      <c r="C22" s="10">
        <v>92.523040045494852</v>
      </c>
      <c r="D22" s="10">
        <v>90.197634108095627</v>
      </c>
      <c r="E22" s="10">
        <v>85.081040006975215</v>
      </c>
      <c r="F22" s="10">
        <v>80.23214442908467</v>
      </c>
      <c r="G22" s="10">
        <v>73.168395429676977</v>
      </c>
      <c r="H22" s="10">
        <v>71.618485316430721</v>
      </c>
      <c r="I22" s="10">
        <v>69.06743259698743</v>
      </c>
      <c r="J22" s="10">
        <v>75.642889014168333</v>
      </c>
      <c r="K22" s="10">
        <v>74.096055414975098</v>
      </c>
      <c r="L22" s="10">
        <v>75.171263301276241</v>
      </c>
      <c r="M22" s="10">
        <v>82.070417619923234</v>
      </c>
      <c r="N22" s="10">
        <v>85.682894066063625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>
        <f t="shared" si="0"/>
        <v>80.6012047874339</v>
      </c>
      <c r="AA22" s="10">
        <f t="shared" si="1"/>
        <v>93.263970887488853</v>
      </c>
      <c r="AB22" s="10">
        <f t="shared" si="2"/>
        <v>69.06743259698743</v>
      </c>
    </row>
    <row r="23" spans="1:28" x14ac:dyDescent="0.25">
      <c r="A23" s="9">
        <v>9</v>
      </c>
      <c r="B23" s="10">
        <v>86.964847685921953</v>
      </c>
      <c r="C23" s="10">
        <v>80.666714991687755</v>
      </c>
      <c r="D23" s="10">
        <v>70.357755252555023</v>
      </c>
      <c r="E23" s="10">
        <v>68.878309260549415</v>
      </c>
      <c r="F23" s="10">
        <v>66.428989569440731</v>
      </c>
      <c r="G23" s="10">
        <v>66.428989569440731</v>
      </c>
      <c r="H23" s="10">
        <v>69.83772939572259</v>
      </c>
      <c r="I23" s="10">
        <v>67.784935533682031</v>
      </c>
      <c r="J23" s="10">
        <v>81.324594065900854</v>
      </c>
      <c r="K23" s="10">
        <v>82.818961990568795</v>
      </c>
      <c r="L23" s="10">
        <v>76.841388548609814</v>
      </c>
      <c r="M23" s="10">
        <v>75.669724273595236</v>
      </c>
      <c r="N23" s="10">
        <v>81.622607519973627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>
        <f t="shared" si="0"/>
        <v>75.04811905058834</v>
      </c>
      <c r="AA23" s="10">
        <f t="shared" si="1"/>
        <v>86.964847685921953</v>
      </c>
      <c r="AB23" s="10">
        <f t="shared" si="2"/>
        <v>66.428989569440731</v>
      </c>
    </row>
    <row r="24" spans="1:28" x14ac:dyDescent="0.25">
      <c r="A24" s="9">
        <v>10</v>
      </c>
      <c r="B24" s="10">
        <v>91.68809926880499</v>
      </c>
      <c r="C24" s="10">
        <v>82.509603433418292</v>
      </c>
      <c r="D24" s="10">
        <v>78.604157165009099</v>
      </c>
      <c r="E24" s="10">
        <v>77.500110101760797</v>
      </c>
      <c r="F24" s="10">
        <v>71.02877367431519</v>
      </c>
      <c r="G24" s="10">
        <v>70.663521711631745</v>
      </c>
      <c r="H24" s="10">
        <v>66.153150333807702</v>
      </c>
      <c r="I24" s="10">
        <v>65.296272058668848</v>
      </c>
      <c r="J24" s="10">
        <v>67.842600044991912</v>
      </c>
      <c r="K24" s="10">
        <v>67.712139675672887</v>
      </c>
      <c r="L24" s="10">
        <v>73.516201765591887</v>
      </c>
      <c r="M24" s="10">
        <v>81.283300306815534</v>
      </c>
      <c r="N24" s="10">
        <v>84.042334277741404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>
        <f t="shared" si="0"/>
        <v>75.218481832171562</v>
      </c>
      <c r="AA24" s="10">
        <f t="shared" si="1"/>
        <v>91.68809926880499</v>
      </c>
      <c r="AB24" s="10">
        <f t="shared" si="2"/>
        <v>65.296272058668848</v>
      </c>
    </row>
    <row r="25" spans="1:28" x14ac:dyDescent="0.25">
      <c r="A25" s="9">
        <v>11</v>
      </c>
      <c r="B25" s="10">
        <v>86.904713358166006</v>
      </c>
      <c r="C25" s="10">
        <v>81.158079831414014</v>
      </c>
      <c r="D25" s="10">
        <v>79.841061697965984</v>
      </c>
      <c r="E25" s="10">
        <v>71.149184188620822</v>
      </c>
      <c r="F25" s="10">
        <v>70.185833175268371</v>
      </c>
      <c r="G25" s="10">
        <v>67.842600044991912</v>
      </c>
      <c r="H25" s="10">
        <v>69.129825374936743</v>
      </c>
      <c r="I25" s="10">
        <v>71.618485316430721</v>
      </c>
      <c r="J25" s="10">
        <v>72.718666055923123</v>
      </c>
      <c r="K25" s="10">
        <v>77.547923062771758</v>
      </c>
      <c r="L25" s="10">
        <v>88.114390354589261</v>
      </c>
      <c r="M25" s="10">
        <v>95.601567019713727</v>
      </c>
      <c r="N25" s="10">
        <v>94.705237970555231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>
        <f t="shared" si="0"/>
        <v>78.962889803949807</v>
      </c>
      <c r="AA25" s="10">
        <f t="shared" si="1"/>
        <v>95.601567019713727</v>
      </c>
      <c r="AB25" s="10">
        <f t="shared" si="2"/>
        <v>67.842600044991912</v>
      </c>
    </row>
    <row r="26" spans="1:28" x14ac:dyDescent="0.25">
      <c r="A26" s="9">
        <v>12</v>
      </c>
      <c r="B26" s="10">
        <v>92.435632136330909</v>
      </c>
      <c r="C26" s="10">
        <v>85.454869935021705</v>
      </c>
      <c r="D26" s="10">
        <v>75.008985998114724</v>
      </c>
      <c r="E26" s="10">
        <v>74.313740619690805</v>
      </c>
      <c r="F26" s="10">
        <v>70.063602699831179</v>
      </c>
      <c r="G26" s="10">
        <v>68.674262492865481</v>
      </c>
      <c r="H26" s="10">
        <v>71.845967355719452</v>
      </c>
      <c r="I26" s="10">
        <v>67.842600044991912</v>
      </c>
      <c r="J26" s="10">
        <v>72.606349963958579</v>
      </c>
      <c r="K26" s="10">
        <v>75.002570485722643</v>
      </c>
      <c r="L26" s="10">
        <v>80.189608416928536</v>
      </c>
      <c r="M26" s="10">
        <v>84.392875079781277</v>
      </c>
      <c r="N26" s="10">
        <v>87.312279769242565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>
        <f t="shared" si="0"/>
        <v>77.318718846015358</v>
      </c>
      <c r="AA26" s="10">
        <f t="shared" si="1"/>
        <v>92.435632136330909</v>
      </c>
      <c r="AB26" s="10">
        <f t="shared" si="2"/>
        <v>67.842600044991912</v>
      </c>
    </row>
    <row r="27" spans="1:28" x14ac:dyDescent="0.25">
      <c r="A27" s="9">
        <v>13</v>
      </c>
      <c r="B27" s="10">
        <v>95.757152345113511</v>
      </c>
      <c r="C27" s="10">
        <v>81.241784404159844</v>
      </c>
      <c r="D27" s="10">
        <v>78.557482738561959</v>
      </c>
      <c r="E27" s="10">
        <v>73.737489280068019</v>
      </c>
      <c r="F27" s="10">
        <v>68.09952255247191</v>
      </c>
      <c r="G27" s="10">
        <v>69.376214104399224</v>
      </c>
      <c r="H27" s="10">
        <v>69.617615273896874</v>
      </c>
      <c r="I27" s="10">
        <v>73.156518063568825</v>
      </c>
      <c r="J27" s="10">
        <v>71.936121520927685</v>
      </c>
      <c r="K27" s="10">
        <v>85.320624331577875</v>
      </c>
      <c r="L27" s="10">
        <v>86.0467194673015</v>
      </c>
      <c r="M27" s="10">
        <v>85.320624331577875</v>
      </c>
      <c r="N27" s="10">
        <v>90.107484814320046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>
        <f t="shared" si="0"/>
        <v>79.098104094457312</v>
      </c>
      <c r="AA27" s="10">
        <f t="shared" si="1"/>
        <v>95.757152345113511</v>
      </c>
      <c r="AB27" s="10">
        <f t="shared" si="2"/>
        <v>68.09952255247191</v>
      </c>
    </row>
    <row r="28" spans="1:28" x14ac:dyDescent="0.25">
      <c r="A28" s="9">
        <v>14</v>
      </c>
      <c r="B28" s="10">
        <v>91.62989927685922</v>
      </c>
      <c r="C28" s="10">
        <v>88.656828294001087</v>
      </c>
      <c r="D28" s="10">
        <v>77.355147873973394</v>
      </c>
      <c r="E28" s="10">
        <v>70.063602699831179</v>
      </c>
      <c r="F28" s="10">
        <v>63.631422711503951</v>
      </c>
      <c r="G28" s="10">
        <v>69.315089893224837</v>
      </c>
      <c r="H28" s="10">
        <v>71.560880162700172</v>
      </c>
      <c r="I28" s="10">
        <v>79.445777878107052</v>
      </c>
      <c r="J28" s="10">
        <v>80.274456380418869</v>
      </c>
      <c r="K28" s="10">
        <v>91.530740973431563</v>
      </c>
      <c r="L28" s="10">
        <v>93.167757326285368</v>
      </c>
      <c r="M28" s="10">
        <v>94.857344951335847</v>
      </c>
      <c r="N28" s="10">
        <v>95.706722906100097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>
        <f t="shared" si="0"/>
        <v>82.091974717520984</v>
      </c>
      <c r="AA28" s="10">
        <f t="shared" si="1"/>
        <v>95.706722906100097</v>
      </c>
      <c r="AB28" s="10">
        <f t="shared" si="2"/>
        <v>63.631422711503951</v>
      </c>
    </row>
    <row r="29" spans="1:28" x14ac:dyDescent="0.25">
      <c r="A29" s="9">
        <v>15</v>
      </c>
      <c r="B29" s="10">
        <v>93.295342494094442</v>
      </c>
      <c r="C29" s="10">
        <v>89.68028854656967</v>
      </c>
      <c r="D29" s="10">
        <v>90.518926294960025</v>
      </c>
      <c r="E29" s="10">
        <v>85.101861227734432</v>
      </c>
      <c r="F29" s="10">
        <v>89.324515097828751</v>
      </c>
      <c r="G29" s="10">
        <v>84.605030912154007</v>
      </c>
      <c r="H29" s="10">
        <v>85.935317702868574</v>
      </c>
      <c r="I29" s="10">
        <v>85.222321589810605</v>
      </c>
      <c r="J29" s="10">
        <v>80.765281927078647</v>
      </c>
      <c r="K29" s="10">
        <v>80.274456380418869</v>
      </c>
      <c r="L29" s="10">
        <v>94.807771703071936</v>
      </c>
      <c r="M29" s="10">
        <v>94.807771703071936</v>
      </c>
      <c r="N29" s="10">
        <v>94.807771703071936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>
        <f t="shared" si="0"/>
        <v>88.395896714056434</v>
      </c>
      <c r="AA29" s="10">
        <f t="shared" si="1"/>
        <v>94.807771703071936</v>
      </c>
      <c r="AB29" s="10">
        <f t="shared" si="2"/>
        <v>80.274456380418869</v>
      </c>
    </row>
    <row r="30" spans="1:28" x14ac:dyDescent="0.25">
      <c r="A30" s="9">
        <v>16</v>
      </c>
      <c r="B30" s="10">
        <v>94.953263781927049</v>
      </c>
      <c r="C30" s="10">
        <v>88.526743618977278</v>
      </c>
      <c r="D30" s="10">
        <v>83.349693389860491</v>
      </c>
      <c r="E30" s="10">
        <v>82.149028733191955</v>
      </c>
      <c r="F30" s="10">
        <v>89.212366266837194</v>
      </c>
      <c r="G30" s="10">
        <v>88.583025442285489</v>
      </c>
      <c r="H30" s="10">
        <v>95.891245943840559</v>
      </c>
      <c r="I30" s="10">
        <v>79.445777878107052</v>
      </c>
      <c r="J30" s="10">
        <v>77.783258701669766</v>
      </c>
      <c r="K30" s="10">
        <v>86.805131624976525</v>
      </c>
      <c r="L30" s="10">
        <v>90.498296070254241</v>
      </c>
      <c r="M30" s="10">
        <v>85.840587858319296</v>
      </c>
      <c r="N30" s="10">
        <v>85.714771674595454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>
        <f t="shared" si="0"/>
        <v>86.827168537295549</v>
      </c>
      <c r="AA30" s="10">
        <f t="shared" si="1"/>
        <v>95.891245943840559</v>
      </c>
      <c r="AB30" s="10">
        <f t="shared" si="2"/>
        <v>77.783258701669766</v>
      </c>
    </row>
    <row r="31" spans="1:28" x14ac:dyDescent="0.25">
      <c r="A31" s="9">
        <v>17</v>
      </c>
      <c r="B31" s="10">
        <v>87.024329978942021</v>
      </c>
      <c r="C31" s="10">
        <v>79.552833071479668</v>
      </c>
      <c r="D31" s="10">
        <v>79.361063160738951</v>
      </c>
      <c r="E31" s="10">
        <v>83.234339446933987</v>
      </c>
      <c r="F31" s="10">
        <v>82.606909779835931</v>
      </c>
      <c r="G31" s="10">
        <v>75.28818477215043</v>
      </c>
      <c r="H31" s="10">
        <v>74.17492272393234</v>
      </c>
      <c r="I31" s="10">
        <v>71.810739576210864</v>
      </c>
      <c r="J31" s="10">
        <v>66.336216408985308</v>
      </c>
      <c r="K31" s="10">
        <v>67.777538382204497</v>
      </c>
      <c r="L31" s="10">
        <v>75.311981910915833</v>
      </c>
      <c r="M31" s="10">
        <v>86.889536168106773</v>
      </c>
      <c r="N31" s="10">
        <v>90.45670689176886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>
        <f>AVERAGE(B31:N31)</f>
        <v>78.448100174785026</v>
      </c>
      <c r="AA31" s="10">
        <f t="shared" si="1"/>
        <v>90.45670689176886</v>
      </c>
      <c r="AB31" s="10">
        <f t="shared" si="2"/>
        <v>66.336216408985308</v>
      </c>
    </row>
    <row r="32" spans="1:28" x14ac:dyDescent="0.25">
      <c r="A32" s="9">
        <v>18</v>
      </c>
      <c r="B32" s="10">
        <v>86.143233317917876</v>
      </c>
      <c r="C32" s="10">
        <v>75.984004934121756</v>
      </c>
      <c r="D32" s="10">
        <v>77.084259157347859</v>
      </c>
      <c r="E32" s="10">
        <v>72.16518276949283</v>
      </c>
      <c r="F32" s="10">
        <v>73.368814024818136</v>
      </c>
      <c r="G32" s="10">
        <v>74.022413388547008</v>
      </c>
      <c r="H32" s="10">
        <v>69.795474753758086</v>
      </c>
      <c r="I32" s="10">
        <v>71.450960503793738</v>
      </c>
      <c r="J32" s="10">
        <v>70.254317420125275</v>
      </c>
      <c r="K32" s="10">
        <v>70.662337040729099</v>
      </c>
      <c r="L32" s="10">
        <v>80.184258794497993</v>
      </c>
      <c r="M32" s="10">
        <v>75.984004934121756</v>
      </c>
      <c r="N32" s="10">
        <v>79.796436443991382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>
        <f t="shared" si="0"/>
        <v>75.145822883327924</v>
      </c>
      <c r="AA32" s="10">
        <f t="shared" si="1"/>
        <v>86.143233317917876</v>
      </c>
      <c r="AB32" s="10">
        <f t="shared" si="2"/>
        <v>69.795474753758086</v>
      </c>
    </row>
    <row r="33" spans="1:28" x14ac:dyDescent="0.25">
      <c r="A33" s="9">
        <v>19</v>
      </c>
      <c r="B33" s="10">
        <v>85.520903747080652</v>
      </c>
      <c r="C33" s="10">
        <v>83.115365273761171</v>
      </c>
      <c r="D33" s="10">
        <v>69.8152939061154</v>
      </c>
      <c r="E33" s="10">
        <v>61.854702278070761</v>
      </c>
      <c r="F33" s="10">
        <v>75.562705752333045</v>
      </c>
      <c r="G33" s="10">
        <v>75.454531204146974</v>
      </c>
      <c r="H33" s="10">
        <v>69.940095578184994</v>
      </c>
      <c r="I33" s="10">
        <v>67.965835729306434</v>
      </c>
      <c r="J33" s="10">
        <v>61.855178230145093</v>
      </c>
      <c r="K33" s="10">
        <v>60.579675158075041</v>
      </c>
      <c r="L33" s="10">
        <v>62.979556869656371</v>
      </c>
      <c r="M33" s="10">
        <v>68.768032325576684</v>
      </c>
      <c r="N33" s="10">
        <v>78.272129214173759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>
        <f t="shared" si="0"/>
        <v>70.89876963589434</v>
      </c>
      <c r="AA33" s="10">
        <f t="shared" si="1"/>
        <v>85.520903747080652</v>
      </c>
      <c r="AB33" s="10">
        <f t="shared" si="2"/>
        <v>60.579675158075041</v>
      </c>
    </row>
    <row r="34" spans="1:28" x14ac:dyDescent="0.25">
      <c r="A34" s="9">
        <v>20</v>
      </c>
      <c r="B34" s="10">
        <v>83.896736925091147</v>
      </c>
      <c r="C34" s="10">
        <v>75.775603021681007</v>
      </c>
      <c r="D34" s="10">
        <v>65.87148937682656</v>
      </c>
      <c r="E34" s="10">
        <v>59.742484089310175</v>
      </c>
      <c r="F34" s="10">
        <v>59.034247815842718</v>
      </c>
      <c r="G34" s="10">
        <v>56.868629131746154</v>
      </c>
      <c r="H34" s="10">
        <v>59.350053134906275</v>
      </c>
      <c r="I34" s="10">
        <v>62.231882166094877</v>
      </c>
      <c r="J34" s="10">
        <v>67.777538382204497</v>
      </c>
      <c r="K34" s="10">
        <v>69.53087395956544</v>
      </c>
      <c r="L34" s="10">
        <v>69.004717151586277</v>
      </c>
      <c r="M34" s="10">
        <v>75.383644632398301</v>
      </c>
      <c r="N34" s="10">
        <v>80.792874044966894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>
        <f t="shared" si="0"/>
        <v>68.096982602478491</v>
      </c>
      <c r="AA34" s="10">
        <f t="shared" si="1"/>
        <v>83.896736925091147</v>
      </c>
      <c r="AB34" s="10">
        <f t="shared" si="2"/>
        <v>56.868629131746154</v>
      </c>
    </row>
    <row r="35" spans="1:28" x14ac:dyDescent="0.25">
      <c r="A35" s="9">
        <v>21</v>
      </c>
      <c r="B35" s="10">
        <v>82.309340905119228</v>
      </c>
      <c r="C35" s="10">
        <v>75.171263301276241</v>
      </c>
      <c r="D35" s="10">
        <v>64.723001126635779</v>
      </c>
      <c r="E35" s="10">
        <v>62.543899557637658</v>
      </c>
      <c r="F35" s="10">
        <v>60.010937252017058</v>
      </c>
      <c r="G35" s="10">
        <v>61.257342401938509</v>
      </c>
      <c r="H35" s="10">
        <v>60.807081096736212</v>
      </c>
      <c r="I35" s="10">
        <v>59.77937428773582</v>
      </c>
      <c r="J35" s="10">
        <v>61.099310160599352</v>
      </c>
      <c r="K35" s="10">
        <v>60.789978564915728</v>
      </c>
      <c r="L35" s="10">
        <v>72.262295922601993</v>
      </c>
      <c r="M35" s="10">
        <v>76.086559339912753</v>
      </c>
      <c r="N35" s="10">
        <v>82.894248828323143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0">
        <f t="shared" si="0"/>
        <v>67.671894826573038</v>
      </c>
      <c r="AA35" s="10">
        <f t="shared" si="1"/>
        <v>82.894248828323143</v>
      </c>
      <c r="AB35" s="10">
        <f t="shared" si="2"/>
        <v>59.77937428773582</v>
      </c>
    </row>
    <row r="36" spans="1:28" x14ac:dyDescent="0.25">
      <c r="A36" s="9">
        <v>22</v>
      </c>
      <c r="B36" s="10">
        <v>93.295342494094442</v>
      </c>
      <c r="C36" s="10">
        <v>87.14137533712541</v>
      </c>
      <c r="D36" s="10">
        <v>81.52778516928538</v>
      </c>
      <c r="E36" s="10">
        <v>74.737205514564437</v>
      </c>
      <c r="F36" s="10">
        <v>71.878109148829168</v>
      </c>
      <c r="G36" s="10">
        <v>73.954200751397892</v>
      </c>
      <c r="H36" s="10">
        <v>74.36745176745147</v>
      </c>
      <c r="I36" s="10">
        <v>71.732809990983498</v>
      </c>
      <c r="J36" s="10">
        <v>75.795203739428104</v>
      </c>
      <c r="K36" s="10">
        <v>90.998197516228188</v>
      </c>
      <c r="L36" s="10">
        <v>95.654878515675122</v>
      </c>
      <c r="M36" s="10">
        <v>93.894188801288109</v>
      </c>
      <c r="N36" s="10">
        <v>93.06828757076309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>
        <f t="shared" si="0"/>
        <v>82.926541255162633</v>
      </c>
      <c r="AA36" s="10">
        <f t="shared" si="1"/>
        <v>95.654878515675122</v>
      </c>
      <c r="AB36" s="10">
        <f t="shared" si="2"/>
        <v>71.732809990983498</v>
      </c>
    </row>
    <row r="37" spans="1:28" x14ac:dyDescent="0.25">
      <c r="A37" s="9">
        <v>23</v>
      </c>
      <c r="B37" s="10">
        <v>91.49030389721446</v>
      </c>
      <c r="C37" s="10">
        <v>83.896736925091147</v>
      </c>
      <c r="D37" s="10">
        <v>75.72280511350607</v>
      </c>
      <c r="E37" s="10">
        <v>75.117459108577037</v>
      </c>
      <c r="F37" s="10">
        <v>73.817406044593596</v>
      </c>
      <c r="G37" s="10">
        <v>70.659857015026191</v>
      </c>
      <c r="H37" s="10">
        <v>72.714065841313086</v>
      </c>
      <c r="I37" s="10">
        <v>71.268343418547644</v>
      </c>
      <c r="J37" s="10">
        <v>72.262295922601993</v>
      </c>
      <c r="K37" s="10">
        <v>77.207862783481787</v>
      </c>
      <c r="L37" s="10">
        <v>98.204660424735749</v>
      </c>
      <c r="M37" s="10">
        <v>98.19563023687806</v>
      </c>
      <c r="N37" s="10">
        <v>94.731305151605497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0">
        <f t="shared" si="0"/>
        <v>81.176056298705561</v>
      </c>
      <c r="AA37" s="10">
        <f t="shared" si="1"/>
        <v>98.204660424735749</v>
      </c>
      <c r="AB37" s="10">
        <f t="shared" si="2"/>
        <v>70.659857015026191</v>
      </c>
    </row>
    <row r="38" spans="1:28" x14ac:dyDescent="0.25">
      <c r="A38" s="9">
        <v>24</v>
      </c>
      <c r="B38" s="10">
        <v>94.705237970555231</v>
      </c>
      <c r="C38" s="10">
        <v>91.408067720620949</v>
      </c>
      <c r="D38" s="10">
        <v>80.050306608566004</v>
      </c>
      <c r="E38" s="10">
        <v>74.954312989357916</v>
      </c>
      <c r="F38" s="10">
        <v>70.233189314697668</v>
      </c>
      <c r="G38" s="10">
        <v>69.432938262154266</v>
      </c>
      <c r="H38" s="10">
        <v>66.592401074816337</v>
      </c>
      <c r="I38" s="10">
        <v>66.428989569440731</v>
      </c>
      <c r="J38" s="10">
        <v>70.907094274853861</v>
      </c>
      <c r="K38" s="10">
        <v>77.306313366446432</v>
      </c>
      <c r="L38" s="10">
        <v>81.406521414660631</v>
      </c>
      <c r="M38" s="10">
        <v>85.714771674595454</v>
      </c>
      <c r="N38" s="10">
        <v>87.14137533712541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0">
        <f t="shared" si="0"/>
        <v>78.175501505991605</v>
      </c>
      <c r="AA38" s="10">
        <f t="shared" si="1"/>
        <v>94.705237970555231</v>
      </c>
      <c r="AB38" s="10">
        <f t="shared" si="2"/>
        <v>66.428989569440731</v>
      </c>
    </row>
    <row r="39" spans="1:28" x14ac:dyDescent="0.25">
      <c r="A39" s="9">
        <v>25</v>
      </c>
      <c r="B39" s="10">
        <v>97.402346673399194</v>
      </c>
      <c r="C39" s="10">
        <v>96.542703442597727</v>
      </c>
      <c r="D39" s="10">
        <v>93.134969543017661</v>
      </c>
      <c r="E39" s="10">
        <v>92.382024204273009</v>
      </c>
      <c r="F39" s="10">
        <v>92.417861155998366</v>
      </c>
      <c r="G39" s="10">
        <v>91.610285518898209</v>
      </c>
      <c r="H39" s="10">
        <v>93.417462289395559</v>
      </c>
      <c r="I39" s="10">
        <v>85.081040006975215</v>
      </c>
      <c r="J39" s="10">
        <v>73.403801579739962</v>
      </c>
      <c r="K39" s="10">
        <v>74.205470123873312</v>
      </c>
      <c r="L39" s="10">
        <v>78.070462482466255</v>
      </c>
      <c r="M39" s="10">
        <v>85.081040006975215</v>
      </c>
      <c r="N39" s="10">
        <v>88.707884038296882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0">
        <f t="shared" si="0"/>
        <v>87.804411620454346</v>
      </c>
      <c r="AA39" s="10">
        <f t="shared" si="1"/>
        <v>97.402346673399194</v>
      </c>
      <c r="AB39" s="10">
        <f t="shared" si="2"/>
        <v>73.403801579739962</v>
      </c>
    </row>
    <row r="40" spans="1:28" x14ac:dyDescent="0.25">
      <c r="A40" s="9">
        <v>26</v>
      </c>
      <c r="B40" s="10">
        <v>91.610285518898209</v>
      </c>
      <c r="C40" s="10">
        <v>84.674393808124719</v>
      </c>
      <c r="D40" s="10">
        <v>82.665948335567847</v>
      </c>
      <c r="E40" s="10">
        <v>82.742865676712952</v>
      </c>
      <c r="F40" s="10">
        <v>77.10835778197287</v>
      </c>
      <c r="G40" s="10">
        <v>75.669724273595236</v>
      </c>
      <c r="H40" s="10">
        <v>75.669724273595236</v>
      </c>
      <c r="I40" s="10">
        <v>88.656828294001087</v>
      </c>
      <c r="J40" s="10">
        <v>94.109094387742516</v>
      </c>
      <c r="K40" s="10">
        <v>95.696468862586542</v>
      </c>
      <c r="L40" s="10">
        <v>94.89381037297683</v>
      </c>
      <c r="M40" s="10">
        <v>98.244057093748026</v>
      </c>
      <c r="N40" s="10">
        <v>98.204660424735749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0">
        <f t="shared" si="0"/>
        <v>87.688170700327518</v>
      </c>
      <c r="AA40" s="10">
        <f t="shared" si="1"/>
        <v>98.244057093748026</v>
      </c>
      <c r="AB40" s="10">
        <f t="shared" si="2"/>
        <v>75.669724273595236</v>
      </c>
    </row>
    <row r="41" spans="1:28" x14ac:dyDescent="0.25">
      <c r="A41" s="9">
        <v>27</v>
      </c>
      <c r="B41" s="10">
        <v>89.849149833324049</v>
      </c>
      <c r="C41" s="10">
        <v>84.604013298737655</v>
      </c>
      <c r="D41" s="10">
        <v>78.320328916904955</v>
      </c>
      <c r="E41" s="10">
        <v>67.145075265913817</v>
      </c>
      <c r="F41" s="10">
        <v>62.979556869656371</v>
      </c>
      <c r="G41" s="10">
        <v>82.390100879297648</v>
      </c>
      <c r="H41" s="10">
        <v>80.320207760691076</v>
      </c>
      <c r="I41" s="10">
        <v>75.454531204146974</v>
      </c>
      <c r="J41" s="10">
        <v>69.432938262154266</v>
      </c>
      <c r="K41" s="10">
        <v>70.279028134765525</v>
      </c>
      <c r="L41" s="10">
        <v>82.509603433418292</v>
      </c>
      <c r="M41" s="10">
        <v>90.107484814320046</v>
      </c>
      <c r="N41" s="10">
        <v>90.015347770751774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0">
        <f t="shared" si="0"/>
        <v>78.723643572621739</v>
      </c>
      <c r="AA41" s="10">
        <f t="shared" si="1"/>
        <v>90.107484814320046</v>
      </c>
      <c r="AB41" s="10">
        <f t="shared" si="2"/>
        <v>62.979556869656371</v>
      </c>
    </row>
    <row r="42" spans="1:28" x14ac:dyDescent="0.25">
      <c r="A42" s="9">
        <v>28</v>
      </c>
      <c r="B42" s="10">
        <v>91.62989927685922</v>
      </c>
      <c r="C42" s="10">
        <v>87.841028577988951</v>
      </c>
      <c r="D42" s="10">
        <v>77.007783360974742</v>
      </c>
      <c r="E42" s="10">
        <v>76.792044068097042</v>
      </c>
      <c r="F42" s="10">
        <v>75.054813341072119</v>
      </c>
      <c r="G42" s="10">
        <v>72.606349963958579</v>
      </c>
      <c r="H42" s="10">
        <v>79.013274311960998</v>
      </c>
      <c r="I42" s="10">
        <v>89.424034875829051</v>
      </c>
      <c r="J42" s="10">
        <v>96.55917508812108</v>
      </c>
      <c r="K42" s="10">
        <v>97.351473325761944</v>
      </c>
      <c r="L42" s="10">
        <v>98.239777411123399</v>
      </c>
      <c r="M42" s="10">
        <v>98.248312933070963</v>
      </c>
      <c r="N42" s="10">
        <v>98.244057093748026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0">
        <f t="shared" si="0"/>
        <v>87.539386432966637</v>
      </c>
      <c r="AA42" s="10">
        <f t="shared" si="1"/>
        <v>98.248312933070963</v>
      </c>
      <c r="AB42" s="10">
        <f t="shared" si="2"/>
        <v>72.606349963958579</v>
      </c>
    </row>
    <row r="43" spans="1:28" x14ac:dyDescent="0.25">
      <c r="A43" s="9">
        <v>29</v>
      </c>
      <c r="B43" s="10">
        <v>91.530740973431563</v>
      </c>
      <c r="C43" s="10">
        <v>79.477230089141216</v>
      </c>
      <c r="D43" s="10">
        <v>72.763816290649274</v>
      </c>
      <c r="E43" s="10">
        <v>76.692570230570951</v>
      </c>
      <c r="F43" s="10">
        <v>73.056592470332177</v>
      </c>
      <c r="G43" s="10">
        <v>69.06743259698743</v>
      </c>
      <c r="H43" s="10">
        <v>65.710896599700163</v>
      </c>
      <c r="I43" s="10">
        <v>74.37439491091294</v>
      </c>
      <c r="J43" s="10">
        <v>82.18802079495012</v>
      </c>
      <c r="K43" s="10">
        <v>87.368039151312885</v>
      </c>
      <c r="L43" s="10">
        <v>90.372191754497294</v>
      </c>
      <c r="M43" s="10">
        <v>91.138756493347984</v>
      </c>
      <c r="N43" s="10">
        <v>93.476568401078168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0">
        <f t="shared" si="0"/>
        <v>80.555173135147101</v>
      </c>
      <c r="AA43" s="10">
        <f t="shared" si="1"/>
        <v>93.476568401078168</v>
      </c>
      <c r="AB43" s="10">
        <f t="shared" si="2"/>
        <v>65.710896599700163</v>
      </c>
    </row>
    <row r="44" spans="1:28" x14ac:dyDescent="0.25">
      <c r="A44" s="9">
        <v>30</v>
      </c>
      <c r="B44" s="10">
        <v>95.757152345113511</v>
      </c>
      <c r="C44" s="10">
        <v>92.5057490985333</v>
      </c>
      <c r="D44" s="10">
        <v>88.605217614752689</v>
      </c>
      <c r="E44" s="10">
        <v>77.007783360974742</v>
      </c>
      <c r="F44" s="10">
        <v>73.817406044593596</v>
      </c>
      <c r="G44" s="10">
        <v>76.841388548609814</v>
      </c>
      <c r="H44" s="10">
        <v>72.262295922601993</v>
      </c>
      <c r="I44" s="10">
        <v>74.790838423941608</v>
      </c>
      <c r="J44" s="10">
        <v>74.790838423941608</v>
      </c>
      <c r="K44" s="10">
        <v>76.086559339912753</v>
      </c>
      <c r="L44" s="10">
        <v>78.742699531414061</v>
      </c>
      <c r="M44" s="10">
        <v>82.818961990568795</v>
      </c>
      <c r="N44" s="10">
        <v>84.254910681262245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0">
        <f t="shared" si="0"/>
        <v>80.637061640478521</v>
      </c>
      <c r="AA44" s="10">
        <f t="shared" si="1"/>
        <v>95.757152345113511</v>
      </c>
      <c r="AB44" s="10">
        <f t="shared" si="2"/>
        <v>72.262295922601993</v>
      </c>
    </row>
    <row r="45" spans="1:28" ht="15.75" thickBot="1" x14ac:dyDescent="0.3">
      <c r="A45" s="30">
        <v>31</v>
      </c>
      <c r="B45" s="31">
        <v>93.134969543017661</v>
      </c>
      <c r="C45" s="31">
        <v>89.074999225570892</v>
      </c>
      <c r="D45" s="31">
        <v>83.083191085074802</v>
      </c>
      <c r="E45" s="31">
        <v>85.454869935021705</v>
      </c>
      <c r="F45" s="31">
        <v>77.685199174361657</v>
      </c>
      <c r="G45" s="31">
        <v>73.059375099659647</v>
      </c>
      <c r="H45" s="31">
        <v>62.327271178886356</v>
      </c>
      <c r="I45" s="31">
        <v>63.742750164539494</v>
      </c>
      <c r="J45" s="31">
        <v>69.561733871083121</v>
      </c>
      <c r="K45" s="31">
        <v>82.818961990568795</v>
      </c>
      <c r="L45" s="31">
        <v>85.714771674595454</v>
      </c>
      <c r="M45" s="31">
        <v>91.76423123386563</v>
      </c>
      <c r="N45" s="31">
        <v>93.32637261393613</v>
      </c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13">
        <f t="shared" si="0"/>
        <v>80.826822830013953</v>
      </c>
      <c r="AA45" s="13">
        <f t="shared" si="1"/>
        <v>93.32637261393613</v>
      </c>
      <c r="AB45" s="13">
        <f t="shared" si="2"/>
        <v>62.327271178886356</v>
      </c>
    </row>
    <row r="46" spans="1:28" ht="16.5" thickTop="1" thickBot="1" x14ac:dyDescent="0.3">
      <c r="A46" s="35" t="s">
        <v>27</v>
      </c>
      <c r="B46" s="36">
        <f t="shared" ref="B46:N46" si="3">MAX(B15:B45)</f>
        <v>97.402346673399194</v>
      </c>
      <c r="C46" s="36">
        <f t="shared" si="3"/>
        <v>96.542703442597727</v>
      </c>
      <c r="D46" s="36">
        <f t="shared" si="3"/>
        <v>93.134969543017661</v>
      </c>
      <c r="E46" s="36">
        <f t="shared" si="3"/>
        <v>92.382024204273009</v>
      </c>
      <c r="F46" s="36">
        <f t="shared" si="3"/>
        <v>92.417861155998366</v>
      </c>
      <c r="G46" s="36">
        <f t="shared" si="3"/>
        <v>91.610285518898209</v>
      </c>
      <c r="H46" s="36">
        <f t="shared" si="3"/>
        <v>95.891245943840559</v>
      </c>
      <c r="I46" s="36">
        <f t="shared" si="3"/>
        <v>94.216664132771186</v>
      </c>
      <c r="J46" s="36">
        <f t="shared" si="3"/>
        <v>96.55917508812108</v>
      </c>
      <c r="K46" s="36">
        <f t="shared" si="3"/>
        <v>97.351473325761944</v>
      </c>
      <c r="L46" s="36">
        <f t="shared" si="3"/>
        <v>98.239777411123399</v>
      </c>
      <c r="M46" s="36">
        <f t="shared" si="3"/>
        <v>98.248312933070963</v>
      </c>
      <c r="N46" s="36">
        <f t="shared" si="3"/>
        <v>98.244057093748026</v>
      </c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8">
        <f>MAX(Z15:Z45)</f>
        <v>88.395896714056434</v>
      </c>
      <c r="AA46" s="38">
        <f t="shared" ref="AA46:AB46" si="4">MAX(AA15:AA45)</f>
        <v>98.248312933070963</v>
      </c>
      <c r="AB46" s="38">
        <f t="shared" si="4"/>
        <v>80.274456380418869</v>
      </c>
    </row>
    <row r="47" spans="1:28" ht="16.5" thickTop="1" thickBot="1" x14ac:dyDescent="0.3">
      <c r="A47" s="35" t="s">
        <v>28</v>
      </c>
      <c r="B47" s="36">
        <f t="shared" ref="B47:N47" si="5">MIN(B15:B45)</f>
        <v>82.309340905119228</v>
      </c>
      <c r="C47" s="36">
        <f t="shared" si="5"/>
        <v>74.67650010902392</v>
      </c>
      <c r="D47" s="36">
        <f t="shared" si="5"/>
        <v>64.723001126635779</v>
      </c>
      <c r="E47" s="36">
        <f t="shared" si="5"/>
        <v>59.742484089310175</v>
      </c>
      <c r="F47" s="36">
        <f t="shared" si="5"/>
        <v>59.034247815842718</v>
      </c>
      <c r="G47" s="36">
        <f t="shared" si="5"/>
        <v>56.868629131746154</v>
      </c>
      <c r="H47" s="36">
        <f t="shared" si="5"/>
        <v>59.350053134906275</v>
      </c>
      <c r="I47" s="36">
        <f t="shared" si="5"/>
        <v>59.77937428773582</v>
      </c>
      <c r="J47" s="36">
        <f t="shared" si="5"/>
        <v>61.099310160599352</v>
      </c>
      <c r="K47" s="36">
        <f t="shared" si="5"/>
        <v>60.579675158075041</v>
      </c>
      <c r="L47" s="36">
        <f t="shared" si="5"/>
        <v>62.979556869656371</v>
      </c>
      <c r="M47" s="36">
        <f t="shared" si="5"/>
        <v>68.768032325576684</v>
      </c>
      <c r="N47" s="36">
        <f t="shared" si="5"/>
        <v>78.272129214173759</v>
      </c>
      <c r="O47" s="37"/>
      <c r="P47" s="37"/>
      <c r="Q47" s="37"/>
      <c r="R47" s="33"/>
      <c r="S47" s="34"/>
      <c r="T47" s="33"/>
      <c r="U47" s="33"/>
      <c r="V47" s="33"/>
      <c r="W47" s="33"/>
      <c r="X47" s="33"/>
      <c r="Y47" s="33"/>
      <c r="Z47" s="38">
        <f>MIN(Z16:Z46)</f>
        <v>67.671894826573038</v>
      </c>
      <c r="AA47" s="38">
        <f t="shared" ref="AA47:AB47" si="6">MIN(AA16:AA46)</f>
        <v>82.894248828323143</v>
      </c>
      <c r="AB47" s="38">
        <f t="shared" si="6"/>
        <v>56.868629131746154</v>
      </c>
    </row>
    <row r="48" spans="1:28" ht="15.75" thickTop="1" x14ac:dyDescent="0.25">
      <c r="A48" s="35" t="s">
        <v>35</v>
      </c>
      <c r="B48" s="36">
        <f t="shared" ref="B48:N48" si="7">AVERAGE(B15:B45)</f>
        <v>90.180752139374803</v>
      </c>
      <c r="C48" s="36">
        <f t="shared" si="7"/>
        <v>83.847706500314004</v>
      </c>
      <c r="D48" s="36">
        <f t="shared" si="7"/>
        <v>78.005963728213985</v>
      </c>
      <c r="E48" s="36">
        <f t="shared" si="7"/>
        <v>74.528271087241407</v>
      </c>
      <c r="F48" s="36">
        <f t="shared" si="7"/>
        <v>73.276043420422496</v>
      </c>
      <c r="G48" s="36">
        <f t="shared" si="7"/>
        <v>72.794558599616877</v>
      </c>
      <c r="H48" s="36">
        <f t="shared" si="7"/>
        <v>73.542920852525427</v>
      </c>
      <c r="I48" s="36">
        <f t="shared" si="7"/>
        <v>74.362327575935467</v>
      </c>
      <c r="J48" s="36">
        <f t="shared" si="7"/>
        <v>76.059270219456764</v>
      </c>
      <c r="K48" s="36">
        <f t="shared" si="7"/>
        <v>79.925743979135248</v>
      </c>
      <c r="L48" s="36">
        <f t="shared" si="7"/>
        <v>84.212406846446612</v>
      </c>
      <c r="M48" s="36">
        <f t="shared" si="7"/>
        <v>87.025245307355917</v>
      </c>
      <c r="N48" s="36">
        <f t="shared" si="7"/>
        <v>89.161700710342316</v>
      </c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8">
        <f>AVERAGE(Z17:Z47)</f>
        <v>80.044128568160474</v>
      </c>
      <c r="AA48" s="38">
        <f t="shared" ref="AA48:AB48" si="8">AVERAGE(AA17:AA47)</f>
        <v>92.698851466690172</v>
      </c>
      <c r="AB48" s="38">
        <f t="shared" si="8"/>
        <v>68.235835044734912</v>
      </c>
    </row>
    <row r="49" spans="1:28" x14ac:dyDescent="0.25">
      <c r="A49" s="15"/>
      <c r="R49" s="21"/>
      <c r="S49" s="22"/>
      <c r="AA49" s="16"/>
    </row>
    <row r="50" spans="1:28" x14ac:dyDescent="0.25">
      <c r="A50" s="19"/>
      <c r="B50" s="19"/>
      <c r="C50" s="16"/>
      <c r="D50" s="16"/>
      <c r="E50" s="16"/>
      <c r="F50" s="19"/>
      <c r="G50" s="57"/>
      <c r="H50" s="57"/>
      <c r="I50" s="57"/>
      <c r="J50" s="57"/>
      <c r="K50" s="57"/>
      <c r="L50" s="57"/>
      <c r="M50" s="20"/>
      <c r="N50" s="20"/>
      <c r="O50" s="20"/>
      <c r="P50" s="20"/>
      <c r="Q50" s="20"/>
      <c r="R50" s="21"/>
      <c r="S50" s="22"/>
    </row>
    <row r="51" spans="1:28" x14ac:dyDescent="0.25">
      <c r="A51" s="15" t="s">
        <v>30</v>
      </c>
      <c r="R51" s="21"/>
      <c r="S51" s="22"/>
      <c r="Y51" s="21" t="s">
        <v>65</v>
      </c>
      <c r="Z51" s="21"/>
      <c r="AA51" s="21"/>
    </row>
    <row r="52" spans="1:28" x14ac:dyDescent="0.25">
      <c r="A52" s="17"/>
      <c r="B52" s="18" t="s">
        <v>31</v>
      </c>
      <c r="C52" s="16"/>
      <c r="D52" s="16"/>
      <c r="E52" s="16"/>
      <c r="F52" s="19"/>
      <c r="G52" s="57"/>
      <c r="H52" s="57"/>
      <c r="I52" s="57"/>
      <c r="J52" s="57"/>
      <c r="K52" s="57"/>
      <c r="L52" s="57"/>
      <c r="M52" s="20"/>
      <c r="N52" s="20"/>
      <c r="O52" s="20"/>
      <c r="P52" s="20"/>
      <c r="Q52" s="20"/>
      <c r="R52" s="21"/>
      <c r="S52" s="22"/>
      <c r="Y52" s="21"/>
      <c r="Z52" s="21"/>
      <c r="AA52" s="21"/>
    </row>
    <row r="53" spans="1:28" x14ac:dyDescent="0.25">
      <c r="A53" s="19"/>
      <c r="B53" s="19"/>
      <c r="C53" s="16"/>
      <c r="D53" s="16"/>
      <c r="E53" s="16"/>
      <c r="F53" s="19"/>
      <c r="G53" s="57"/>
      <c r="H53" s="57"/>
      <c r="I53" s="57"/>
      <c r="J53" s="57"/>
      <c r="K53" s="57"/>
      <c r="L53" s="57"/>
      <c r="M53" s="20"/>
      <c r="N53" s="20"/>
      <c r="O53" s="20"/>
      <c r="P53" s="20"/>
      <c r="Q53" s="20"/>
      <c r="R53" s="21"/>
      <c r="S53" s="22"/>
      <c r="W53" s="57" t="s">
        <v>58</v>
      </c>
      <c r="X53" s="57"/>
      <c r="Y53" s="57"/>
      <c r="Z53" s="57"/>
      <c r="AA53" s="57"/>
      <c r="AB53" s="57"/>
    </row>
    <row r="54" spans="1:28" x14ac:dyDescent="0.25">
      <c r="A54" s="19"/>
      <c r="B54" s="19"/>
      <c r="C54" s="16"/>
      <c r="D54" s="16"/>
      <c r="E54" s="16"/>
      <c r="F54" s="19"/>
      <c r="G54" s="57"/>
      <c r="H54" s="57"/>
      <c r="I54" s="57"/>
      <c r="J54" s="57"/>
      <c r="K54" s="57"/>
      <c r="L54" s="57"/>
      <c r="M54" s="20"/>
      <c r="N54" s="20"/>
      <c r="O54" s="20"/>
      <c r="P54" s="20"/>
      <c r="Q54" s="20"/>
      <c r="R54" s="21"/>
      <c r="S54" s="22"/>
      <c r="Y54" s="22"/>
      <c r="Z54" s="21"/>
      <c r="AA54" s="21"/>
    </row>
    <row r="55" spans="1:28" x14ac:dyDescent="0.25">
      <c r="A55" s="19"/>
      <c r="B55" s="19"/>
      <c r="C55" s="16"/>
      <c r="D55" s="16"/>
      <c r="E55" s="16"/>
      <c r="F55" s="19"/>
      <c r="G55" s="57"/>
      <c r="H55" s="57"/>
      <c r="I55" s="57"/>
      <c r="J55" s="57"/>
      <c r="K55" s="57"/>
      <c r="L55" s="57"/>
      <c r="M55" s="20"/>
      <c r="N55" s="20"/>
      <c r="O55" s="20"/>
      <c r="P55" s="20"/>
      <c r="Q55" s="20"/>
      <c r="R55" s="21"/>
      <c r="S55" s="22"/>
      <c r="Y55" s="22"/>
      <c r="Z55" s="21"/>
      <c r="AA55" s="21"/>
    </row>
    <row r="56" spans="1:28" x14ac:dyDescent="0.25">
      <c r="A56" s="19"/>
      <c r="B56" s="19"/>
      <c r="C56" s="16"/>
      <c r="D56" s="16"/>
      <c r="E56" s="16"/>
      <c r="F56" s="19"/>
      <c r="G56" s="21"/>
      <c r="H56" s="21"/>
      <c r="I56" s="21"/>
      <c r="J56" s="21"/>
      <c r="K56" s="21"/>
      <c r="L56" s="21"/>
      <c r="M56" s="20"/>
      <c r="N56" s="20"/>
      <c r="O56" s="20"/>
      <c r="P56" s="20"/>
      <c r="Q56" s="20"/>
      <c r="R56" s="21"/>
      <c r="S56" s="22"/>
      <c r="Y56" s="22"/>
      <c r="Z56" s="21"/>
      <c r="AA56" s="21"/>
    </row>
    <row r="57" spans="1:28" x14ac:dyDescent="0.25">
      <c r="A57" s="19"/>
      <c r="B57" s="19"/>
      <c r="C57" s="16"/>
      <c r="D57" s="16"/>
      <c r="E57" s="16"/>
      <c r="F57" s="19"/>
      <c r="G57" s="21"/>
      <c r="H57" s="21"/>
      <c r="I57" s="21"/>
      <c r="J57" s="20"/>
      <c r="K57" s="20"/>
      <c r="L57" s="20"/>
      <c r="M57" s="20"/>
      <c r="N57" s="20"/>
      <c r="O57" s="22"/>
      <c r="P57" s="23"/>
      <c r="Q57" s="23"/>
      <c r="Y57" s="26"/>
      <c r="Z57" s="26"/>
      <c r="AA57" s="26"/>
    </row>
    <row r="58" spans="1:28" x14ac:dyDescent="0.25">
      <c r="A58" s="19"/>
      <c r="B58" s="19"/>
      <c r="C58" s="16"/>
      <c r="D58" s="16"/>
      <c r="E58" s="16"/>
      <c r="F58" s="19"/>
      <c r="G58" s="58"/>
      <c r="H58" s="58"/>
      <c r="I58" s="58"/>
      <c r="J58" s="58"/>
      <c r="K58" s="58"/>
      <c r="L58" s="58"/>
      <c r="M58" s="24"/>
      <c r="N58" s="24"/>
      <c r="O58" s="24"/>
      <c r="P58" s="24"/>
      <c r="Q58" s="24"/>
      <c r="Y58" s="21"/>
      <c r="Z58" s="21"/>
      <c r="AA58" s="21"/>
    </row>
    <row r="59" spans="1:28" x14ac:dyDescent="0.25">
      <c r="A59" s="19"/>
      <c r="B59" s="19"/>
      <c r="C59" s="16"/>
      <c r="D59" s="16"/>
      <c r="E59" s="16"/>
      <c r="F59" s="19"/>
      <c r="G59" s="57"/>
      <c r="H59" s="57"/>
      <c r="I59" s="57"/>
      <c r="J59" s="57"/>
      <c r="K59" s="57"/>
      <c r="L59" s="57"/>
      <c r="M59" s="25"/>
      <c r="N59" s="25"/>
      <c r="O59" s="25"/>
      <c r="P59" s="25"/>
      <c r="Q59" s="25"/>
    </row>
  </sheetData>
  <mergeCells count="15">
    <mergeCell ref="W53:AB53"/>
    <mergeCell ref="A7:AB7"/>
    <mergeCell ref="Z11:AA11"/>
    <mergeCell ref="A1:AB1"/>
    <mergeCell ref="A2:AB2"/>
    <mergeCell ref="A3:AB3"/>
    <mergeCell ref="A4:AB4"/>
    <mergeCell ref="A6:AB6"/>
    <mergeCell ref="G58:L58"/>
    <mergeCell ref="G59:L59"/>
    <mergeCell ref="G50:L50"/>
    <mergeCell ref="G52:L52"/>
    <mergeCell ref="G53:L53"/>
    <mergeCell ref="G54:L54"/>
    <mergeCell ref="G55:L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  <vt:lpstr>JANUARI!Print_Area</vt:lpstr>
      <vt:lpstr>MARET!Print_Area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2023-01-04T09:24:16Z</dcterms:modified>
</cp:coreProperties>
</file>