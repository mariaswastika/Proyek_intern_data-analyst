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5EAFF87-C391-4BBF-8280-6CC15B4979CE}" xr6:coauthVersionLast="47" xr6:coauthVersionMax="47" xr10:uidLastSave="{00000000-0000-0000-0000-000000000000}"/>
  <bookViews>
    <workbookView xWindow="-108" yWindow="-108" windowWidth="23256" windowHeight="12456" firstSheet="4" activeTab="12" xr2:uid="{00000000-000D-0000-FFFF-FFFF00000000}"/>
  </bookViews>
  <sheets>
    <sheet name="BASE" sheetId="9" r:id="rId1"/>
    <sheet name="JANUARI 2022" sheetId="1" r:id="rId2"/>
    <sheet name="FEBRUARI 2022" sheetId="2" r:id="rId3"/>
    <sheet name="MARET 2022" sheetId="3" r:id="rId4"/>
    <sheet name="APRIL 2022" sheetId="4" r:id="rId5"/>
    <sheet name="MEI 2022" sheetId="5" r:id="rId6"/>
    <sheet name="JUNI 2022" sheetId="6" r:id="rId7"/>
    <sheet name="JULI 2022" sheetId="7" r:id="rId8"/>
    <sheet name="AGUSTUS 2022" sheetId="8" r:id="rId9"/>
    <sheet name="SEPTEMBER 2022" sheetId="10" r:id="rId10"/>
    <sheet name="OKTOBER" sheetId="11" r:id="rId11"/>
    <sheet name="NOVEMBER" sheetId="12" r:id="rId12"/>
    <sheet name="DESEMBER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aaaa" localSheetId="0">#REF!</definedName>
    <definedName name="aaaa">#REF!</definedName>
    <definedName name="HUJAN" localSheetId="0">#REF!</definedName>
    <definedName name="HUJAN">#REF!</definedName>
    <definedName name="_xlnm.Print_Area" localSheetId="4">'APRIL 2022'!$AM$1:$BC$52</definedName>
    <definedName name="_xlnm.Print_Area" localSheetId="2">'FEBRUARI 2022'!$A$1:$BC$54</definedName>
    <definedName name="_xlnm.Print_Area" localSheetId="1">'JANUARI 2022'!$A$1:$BE$53</definedName>
    <definedName name="_xlnm.Print_Area" localSheetId="5">'MEI 2022'!$A$1:$Q$52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6" i="13" l="1"/>
  <c r="P46" i="13"/>
  <c r="Q46" i="13"/>
  <c r="O47" i="13"/>
  <c r="P47" i="13"/>
  <c r="Q47" i="13"/>
  <c r="O48" i="13"/>
  <c r="P48" i="13"/>
  <c r="Q48" i="13"/>
  <c r="AY50" i="13"/>
  <c r="AF50" i="13"/>
  <c r="BC48" i="11"/>
  <c r="BC45" i="11"/>
  <c r="BB45" i="11"/>
  <c r="BA45" i="11"/>
  <c r="BC44" i="11"/>
  <c r="BB44" i="11"/>
  <c r="BA44" i="11"/>
  <c r="BC43" i="11"/>
  <c r="BB43" i="11"/>
  <c r="BA43" i="11"/>
  <c r="BC42" i="11"/>
  <c r="BB42" i="11"/>
  <c r="BA42" i="11"/>
  <c r="BC41" i="11"/>
  <c r="BB41" i="11"/>
  <c r="BA41" i="11"/>
  <c r="BC40" i="11"/>
  <c r="BB40" i="11"/>
  <c r="BA40" i="11"/>
  <c r="BC39" i="11"/>
  <c r="BB39" i="11"/>
  <c r="BA39" i="11"/>
  <c r="BC38" i="11"/>
  <c r="BB38" i="11"/>
  <c r="BA38" i="11"/>
  <c r="BC37" i="11"/>
  <c r="BB37" i="11"/>
  <c r="BA37" i="11"/>
  <c r="BC36" i="11"/>
  <c r="BB36" i="11"/>
  <c r="BA36" i="11"/>
  <c r="BC35" i="11"/>
  <c r="BB35" i="11"/>
  <c r="BA35" i="11"/>
  <c r="BC34" i="11"/>
  <c r="BB34" i="11"/>
  <c r="BA34" i="11"/>
  <c r="BC33" i="11"/>
  <c r="BB33" i="11"/>
  <c r="BA33" i="11"/>
  <c r="BC32" i="11"/>
  <c r="BB32" i="11"/>
  <c r="BA32" i="11"/>
  <c r="BC31" i="11"/>
  <c r="BB31" i="11"/>
  <c r="BA31" i="11"/>
  <c r="BC30" i="11"/>
  <c r="BB30" i="11"/>
  <c r="BA30" i="11"/>
  <c r="BC29" i="11"/>
  <c r="BB29" i="11"/>
  <c r="BA29" i="11"/>
  <c r="BC28" i="11"/>
  <c r="BB28" i="11"/>
  <c r="BA28" i="11"/>
  <c r="BC27" i="11"/>
  <c r="BB27" i="11"/>
  <c r="BA27" i="11"/>
  <c r="BC26" i="11"/>
  <c r="BB26" i="11"/>
  <c r="BA26" i="11"/>
  <c r="BC25" i="11"/>
  <c r="BB25" i="11"/>
  <c r="BA25" i="11"/>
  <c r="BC24" i="11"/>
  <c r="BB24" i="11"/>
  <c r="BA24" i="11"/>
  <c r="BC23" i="11"/>
  <c r="BB23" i="11"/>
  <c r="BA23" i="11"/>
  <c r="BC22" i="11"/>
  <c r="BB22" i="11"/>
  <c r="BA22" i="11"/>
  <c r="BC21" i="11"/>
  <c r="BB21" i="11"/>
  <c r="BA21" i="11"/>
  <c r="BC20" i="11"/>
  <c r="BB20" i="11"/>
  <c r="BA20" i="11"/>
  <c r="BC19" i="11"/>
  <c r="BB19" i="11"/>
  <c r="BA19" i="11"/>
  <c r="BC18" i="11"/>
  <c r="BB18" i="11"/>
  <c r="BA18" i="11"/>
  <c r="BC17" i="11"/>
  <c r="BB17" i="11"/>
  <c r="BA17" i="11"/>
  <c r="BC16" i="11"/>
  <c r="BB16" i="11"/>
  <c r="BA16" i="11"/>
  <c r="BC15" i="11"/>
  <c r="BB15" i="11"/>
  <c r="BA15" i="11"/>
  <c r="AJ45" i="11"/>
  <c r="AI45" i="11"/>
  <c r="AH45" i="11"/>
  <c r="AJ44" i="11"/>
  <c r="AI44" i="11"/>
  <c r="AH44" i="11"/>
  <c r="AJ43" i="11"/>
  <c r="AI43" i="11"/>
  <c r="AH43" i="11"/>
  <c r="AJ42" i="11"/>
  <c r="AI42" i="11"/>
  <c r="AH42" i="11"/>
  <c r="AJ41" i="11"/>
  <c r="AI41" i="11"/>
  <c r="AH41" i="11"/>
  <c r="AJ40" i="11"/>
  <c r="AI40" i="11"/>
  <c r="AH40" i="11"/>
  <c r="AJ39" i="11"/>
  <c r="AI39" i="11"/>
  <c r="AH39" i="11"/>
  <c r="AJ38" i="11"/>
  <c r="AI38" i="11"/>
  <c r="AH38" i="11"/>
  <c r="AJ37" i="11"/>
  <c r="AI37" i="11"/>
  <c r="AH37" i="11"/>
  <c r="AJ36" i="11"/>
  <c r="AI36" i="11"/>
  <c r="AH36" i="11"/>
  <c r="AJ35" i="11"/>
  <c r="AI35" i="11"/>
  <c r="AH35" i="11"/>
  <c r="AJ34" i="11"/>
  <c r="AI34" i="11"/>
  <c r="AH34" i="11"/>
  <c r="AJ33" i="11"/>
  <c r="AI33" i="11"/>
  <c r="AH33" i="11"/>
  <c r="AJ32" i="11"/>
  <c r="AI32" i="11"/>
  <c r="AH32" i="11"/>
  <c r="AJ31" i="11"/>
  <c r="AI31" i="11"/>
  <c r="AH31" i="11"/>
  <c r="AJ30" i="11"/>
  <c r="AI30" i="11"/>
  <c r="AH30" i="11"/>
  <c r="AJ29" i="11"/>
  <c r="AI29" i="11"/>
  <c r="AH29" i="11"/>
  <c r="AJ28" i="11"/>
  <c r="AI28" i="11"/>
  <c r="AH28" i="11"/>
  <c r="AJ27" i="11"/>
  <c r="AI27" i="11"/>
  <c r="AH27" i="11"/>
  <c r="AJ26" i="11"/>
  <c r="AI26" i="11"/>
  <c r="AH26" i="11"/>
  <c r="AJ25" i="11"/>
  <c r="AI25" i="11"/>
  <c r="AH25" i="11"/>
  <c r="AJ24" i="11"/>
  <c r="AI24" i="11"/>
  <c r="AH24" i="11"/>
  <c r="AJ23" i="11"/>
  <c r="AI23" i="11"/>
  <c r="AH23" i="11"/>
  <c r="AJ22" i="11"/>
  <c r="AI22" i="11"/>
  <c r="AH22" i="11"/>
  <c r="AJ21" i="11"/>
  <c r="AI21" i="11"/>
  <c r="AH21" i="11"/>
  <c r="AJ20" i="11"/>
  <c r="AI20" i="11"/>
  <c r="AH20" i="11"/>
  <c r="AJ19" i="11"/>
  <c r="AI19" i="11"/>
  <c r="AH19" i="11"/>
  <c r="AJ18" i="11"/>
  <c r="AI18" i="11"/>
  <c r="AH18" i="11"/>
  <c r="AJ17" i="11"/>
  <c r="AI17" i="11"/>
  <c r="AH17" i="11"/>
  <c r="AJ16" i="11"/>
  <c r="AI16" i="11"/>
  <c r="AH16" i="11"/>
  <c r="AJ15" i="11"/>
  <c r="AI15" i="11"/>
  <c r="AH15" i="11"/>
  <c r="AY52" i="11"/>
  <c r="AF52" i="11"/>
  <c r="AG58" i="13"/>
  <c r="AZ58" i="13" s="1"/>
  <c r="N58" i="13"/>
  <c r="C58" i="13"/>
  <c r="V58" i="13" s="1"/>
  <c r="AO58" i="13" s="1"/>
  <c r="V57" i="13"/>
  <c r="AO57" i="13" s="1"/>
  <c r="N57" i="13"/>
  <c r="AG57" i="13" s="1"/>
  <c r="AZ57" i="13" s="1"/>
  <c r="C57" i="13"/>
  <c r="V52" i="13"/>
  <c r="AO52" i="13" s="1"/>
  <c r="C52" i="13"/>
  <c r="AZ51" i="13"/>
  <c r="AG51" i="13"/>
  <c r="V51" i="13"/>
  <c r="AO51" i="13" s="1"/>
  <c r="N51" i="13"/>
  <c r="C51" i="13"/>
  <c r="C50" i="13"/>
  <c r="V50" i="13" s="1"/>
  <c r="AO50" i="13" s="1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BC45" i="13"/>
  <c r="BB45" i="13"/>
  <c r="BA45" i="13"/>
  <c r="AJ45" i="13"/>
  <c r="AI45" i="13"/>
  <c r="AH45" i="13"/>
  <c r="Q45" i="13"/>
  <c r="P45" i="13"/>
  <c r="O45" i="13"/>
  <c r="BC44" i="13"/>
  <c r="BB44" i="13"/>
  <c r="BA44" i="13"/>
  <c r="AJ44" i="13"/>
  <c r="AI44" i="13"/>
  <c r="AH44" i="13"/>
  <c r="Q44" i="13"/>
  <c r="P44" i="13"/>
  <c r="O44" i="13"/>
  <c r="BC43" i="13"/>
  <c r="BB43" i="13"/>
  <c r="BA43" i="13"/>
  <c r="AJ43" i="13"/>
  <c r="AI43" i="13"/>
  <c r="AH43" i="13"/>
  <c r="Q43" i="13"/>
  <c r="P43" i="13"/>
  <c r="O43" i="13"/>
  <c r="BC42" i="13"/>
  <c r="BB42" i="13"/>
  <c r="BA42" i="13"/>
  <c r="AJ42" i="13"/>
  <c r="AI42" i="13"/>
  <c r="AH42" i="13"/>
  <c r="Q42" i="13"/>
  <c r="P42" i="13"/>
  <c r="O42" i="13"/>
  <c r="BC41" i="13"/>
  <c r="BB41" i="13"/>
  <c r="BA41" i="13"/>
  <c r="AJ41" i="13"/>
  <c r="AI41" i="13"/>
  <c r="AH41" i="13"/>
  <c r="Q41" i="13"/>
  <c r="P41" i="13"/>
  <c r="O41" i="13"/>
  <c r="BC40" i="13"/>
  <c r="BB40" i="13"/>
  <c r="BA40" i="13"/>
  <c r="AJ40" i="13"/>
  <c r="AI40" i="13"/>
  <c r="AH40" i="13"/>
  <c r="Q40" i="13"/>
  <c r="P40" i="13"/>
  <c r="O40" i="13"/>
  <c r="BC39" i="13"/>
  <c r="BB39" i="13"/>
  <c r="BA39" i="13"/>
  <c r="AJ39" i="13"/>
  <c r="AI39" i="13"/>
  <c r="AH39" i="13"/>
  <c r="Q39" i="13"/>
  <c r="P39" i="13"/>
  <c r="O39" i="13"/>
  <c r="BC38" i="13"/>
  <c r="BB38" i="13"/>
  <c r="BA38" i="13"/>
  <c r="AJ38" i="13"/>
  <c r="AI38" i="13"/>
  <c r="AH38" i="13"/>
  <c r="Q38" i="13"/>
  <c r="P38" i="13"/>
  <c r="O38" i="13"/>
  <c r="BC37" i="13"/>
  <c r="BB37" i="13"/>
  <c r="BA37" i="13"/>
  <c r="AJ37" i="13"/>
  <c r="AI37" i="13"/>
  <c r="AH37" i="13"/>
  <c r="Q37" i="13"/>
  <c r="P37" i="13"/>
  <c r="O37" i="13"/>
  <c r="BC36" i="13"/>
  <c r="BB36" i="13"/>
  <c r="BA36" i="13"/>
  <c r="AJ36" i="13"/>
  <c r="AI36" i="13"/>
  <c r="AH36" i="13"/>
  <c r="Q36" i="13"/>
  <c r="P36" i="13"/>
  <c r="O36" i="13"/>
  <c r="BC35" i="13"/>
  <c r="BB35" i="13"/>
  <c r="BA35" i="13"/>
  <c r="AJ35" i="13"/>
  <c r="AI35" i="13"/>
  <c r="AH35" i="13"/>
  <c r="Q35" i="13"/>
  <c r="P35" i="13"/>
  <c r="O35" i="13"/>
  <c r="BC34" i="13"/>
  <c r="BB34" i="13"/>
  <c r="BA34" i="13"/>
  <c r="AJ34" i="13"/>
  <c r="AI34" i="13"/>
  <c r="AH34" i="13"/>
  <c r="Q34" i="13"/>
  <c r="P34" i="13"/>
  <c r="O34" i="13"/>
  <c r="BC33" i="13"/>
  <c r="BB33" i="13"/>
  <c r="BA33" i="13"/>
  <c r="AJ33" i="13"/>
  <c r="AI33" i="13"/>
  <c r="AH33" i="13"/>
  <c r="Q33" i="13"/>
  <c r="P33" i="13"/>
  <c r="O33" i="13"/>
  <c r="BC32" i="13"/>
  <c r="BB32" i="13"/>
  <c r="BA32" i="13"/>
  <c r="AJ32" i="13"/>
  <c r="AI32" i="13"/>
  <c r="AH32" i="13"/>
  <c r="Q32" i="13"/>
  <c r="P32" i="13"/>
  <c r="O32" i="13"/>
  <c r="BC31" i="13"/>
  <c r="BB31" i="13"/>
  <c r="BA31" i="13"/>
  <c r="AJ31" i="13"/>
  <c r="AI31" i="13"/>
  <c r="AH31" i="13"/>
  <c r="Q31" i="13"/>
  <c r="P31" i="13"/>
  <c r="O31" i="13"/>
  <c r="BC30" i="13"/>
  <c r="BB30" i="13"/>
  <c r="BA30" i="13"/>
  <c r="AJ30" i="13"/>
  <c r="AI30" i="13"/>
  <c r="AH30" i="13"/>
  <c r="Q30" i="13"/>
  <c r="P30" i="13"/>
  <c r="O30" i="13"/>
  <c r="BC29" i="13"/>
  <c r="BB29" i="13"/>
  <c r="BA29" i="13"/>
  <c r="AJ29" i="13"/>
  <c r="AI29" i="13"/>
  <c r="AH29" i="13"/>
  <c r="Q29" i="13"/>
  <c r="P29" i="13"/>
  <c r="O29" i="13"/>
  <c r="BC28" i="13"/>
  <c r="BB28" i="13"/>
  <c r="BA28" i="13"/>
  <c r="AJ28" i="13"/>
  <c r="AI28" i="13"/>
  <c r="AH28" i="13"/>
  <c r="Q28" i="13"/>
  <c r="P28" i="13"/>
  <c r="O28" i="13"/>
  <c r="BC27" i="13"/>
  <c r="BB27" i="13"/>
  <c r="BA27" i="13"/>
  <c r="AJ27" i="13"/>
  <c r="AI27" i="13"/>
  <c r="AH27" i="13"/>
  <c r="Q27" i="13"/>
  <c r="P27" i="13"/>
  <c r="O27" i="13"/>
  <c r="BC26" i="13"/>
  <c r="BB26" i="13"/>
  <c r="BA26" i="13"/>
  <c r="AJ26" i="13"/>
  <c r="AI26" i="13"/>
  <c r="AH26" i="13"/>
  <c r="Q26" i="13"/>
  <c r="P26" i="13"/>
  <c r="O26" i="13"/>
  <c r="BC25" i="13"/>
  <c r="BB25" i="13"/>
  <c r="BA25" i="13"/>
  <c r="AJ25" i="13"/>
  <c r="AI25" i="13"/>
  <c r="AH25" i="13"/>
  <c r="Q25" i="13"/>
  <c r="P25" i="13"/>
  <c r="O25" i="13"/>
  <c r="BC24" i="13"/>
  <c r="BB24" i="13"/>
  <c r="BA24" i="13"/>
  <c r="AJ24" i="13"/>
  <c r="AI24" i="13"/>
  <c r="AH24" i="13"/>
  <c r="Q24" i="13"/>
  <c r="P24" i="13"/>
  <c r="O24" i="13"/>
  <c r="BC23" i="13"/>
  <c r="BB23" i="13"/>
  <c r="BA23" i="13"/>
  <c r="AJ23" i="13"/>
  <c r="AI23" i="13"/>
  <c r="AH23" i="13"/>
  <c r="Q23" i="13"/>
  <c r="P23" i="13"/>
  <c r="O23" i="13"/>
  <c r="BC22" i="13"/>
  <c r="BB22" i="13"/>
  <c r="BA22" i="13"/>
  <c r="AJ22" i="13"/>
  <c r="AI22" i="13"/>
  <c r="AH22" i="13"/>
  <c r="Q22" i="13"/>
  <c r="P22" i="13"/>
  <c r="O22" i="13"/>
  <c r="BC21" i="13"/>
  <c r="BB21" i="13"/>
  <c r="BA21" i="13"/>
  <c r="AJ21" i="13"/>
  <c r="AI21" i="13"/>
  <c r="AH21" i="13"/>
  <c r="Q21" i="13"/>
  <c r="P21" i="13"/>
  <c r="O21" i="13"/>
  <c r="BC20" i="13"/>
  <c r="BB20" i="13"/>
  <c r="BA20" i="13"/>
  <c r="AJ20" i="13"/>
  <c r="AI20" i="13"/>
  <c r="AH20" i="13"/>
  <c r="Q20" i="13"/>
  <c r="P20" i="13"/>
  <c r="O20" i="13"/>
  <c r="BC19" i="13"/>
  <c r="BB19" i="13"/>
  <c r="BA19" i="13"/>
  <c r="AJ19" i="13"/>
  <c r="AI19" i="13"/>
  <c r="AH19" i="13"/>
  <c r="Q19" i="13"/>
  <c r="P19" i="13"/>
  <c r="O19" i="13"/>
  <c r="BC18" i="13"/>
  <c r="BB18" i="13"/>
  <c r="BA18" i="13"/>
  <c r="AJ18" i="13"/>
  <c r="AI18" i="13"/>
  <c r="AH18" i="13"/>
  <c r="Q18" i="13"/>
  <c r="P18" i="13"/>
  <c r="O18" i="13"/>
  <c r="BC17" i="13"/>
  <c r="BB17" i="13"/>
  <c r="BA17" i="13"/>
  <c r="AJ17" i="13"/>
  <c r="AI17" i="13"/>
  <c r="AH17" i="13"/>
  <c r="Q17" i="13"/>
  <c r="P17" i="13"/>
  <c r="O17" i="13"/>
  <c r="BC16" i="13"/>
  <c r="BB16" i="13"/>
  <c r="BA16" i="13"/>
  <c r="AJ16" i="13"/>
  <c r="AI16" i="13"/>
  <c r="AH16" i="13"/>
  <c r="Q16" i="13"/>
  <c r="P16" i="13"/>
  <c r="O16" i="13"/>
  <c r="BC15" i="13"/>
  <c r="BB15" i="13"/>
  <c r="BA15" i="13"/>
  <c r="AJ15" i="13"/>
  <c r="AI15" i="13"/>
  <c r="AH15" i="13"/>
  <c r="Q15" i="13"/>
  <c r="P15" i="13"/>
  <c r="O15" i="13"/>
  <c r="T7" i="13"/>
  <c r="AM7" i="13" s="1"/>
  <c r="AG57" i="12"/>
  <c r="AZ57" i="12" s="1"/>
  <c r="N57" i="12"/>
  <c r="C57" i="12"/>
  <c r="V57" i="12" s="1"/>
  <c r="AO57" i="12" s="1"/>
  <c r="N56" i="12"/>
  <c r="AG56" i="12" s="1"/>
  <c r="AZ56" i="12" s="1"/>
  <c r="C56" i="12"/>
  <c r="V56" i="12" s="1"/>
  <c r="AO56" i="12" s="1"/>
  <c r="C51" i="12"/>
  <c r="V51" i="12" s="1"/>
  <c r="AO51" i="12" s="1"/>
  <c r="N50" i="12"/>
  <c r="AG50" i="12" s="1"/>
  <c r="AZ50" i="12" s="1"/>
  <c r="C50" i="12"/>
  <c r="V50" i="12" s="1"/>
  <c r="AO50" i="12" s="1"/>
  <c r="V49" i="12"/>
  <c r="AO49" i="12" s="1"/>
  <c r="C49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BC44" i="12"/>
  <c r="BB44" i="12"/>
  <c r="BA44" i="12"/>
  <c r="AJ44" i="12"/>
  <c r="AI44" i="12"/>
  <c r="AH44" i="12"/>
  <c r="Q44" i="12"/>
  <c r="P44" i="12"/>
  <c r="O44" i="12"/>
  <c r="BC43" i="12"/>
  <c r="BB43" i="12"/>
  <c r="BA43" i="12"/>
  <c r="AJ43" i="12"/>
  <c r="AI43" i="12"/>
  <c r="AH43" i="12"/>
  <c r="Q43" i="12"/>
  <c r="P43" i="12"/>
  <c r="O43" i="12"/>
  <c r="BC42" i="12"/>
  <c r="BB42" i="12"/>
  <c r="BA42" i="12"/>
  <c r="AJ42" i="12"/>
  <c r="AI42" i="12"/>
  <c r="AH42" i="12"/>
  <c r="Q42" i="12"/>
  <c r="P42" i="12"/>
  <c r="O42" i="12"/>
  <c r="BC41" i="12"/>
  <c r="BB41" i="12"/>
  <c r="BA41" i="12"/>
  <c r="AJ41" i="12"/>
  <c r="AI41" i="12"/>
  <c r="AH41" i="12"/>
  <c r="Q41" i="12"/>
  <c r="P41" i="12"/>
  <c r="O41" i="12"/>
  <c r="BC40" i="12"/>
  <c r="BB40" i="12"/>
  <c r="BA40" i="12"/>
  <c r="AJ40" i="12"/>
  <c r="AI40" i="12"/>
  <c r="AH40" i="12"/>
  <c r="Q40" i="12"/>
  <c r="P40" i="12"/>
  <c r="O40" i="12"/>
  <c r="BC39" i="12"/>
  <c r="BB39" i="12"/>
  <c r="BA39" i="12"/>
  <c r="AJ39" i="12"/>
  <c r="AI39" i="12"/>
  <c r="AH39" i="12"/>
  <c r="Q39" i="12"/>
  <c r="P39" i="12"/>
  <c r="O39" i="12"/>
  <c r="BC38" i="12"/>
  <c r="BB38" i="12"/>
  <c r="BA38" i="12"/>
  <c r="AJ38" i="12"/>
  <c r="AI38" i="12"/>
  <c r="AH38" i="12"/>
  <c r="Q38" i="12"/>
  <c r="P38" i="12"/>
  <c r="O38" i="12"/>
  <c r="BC37" i="12"/>
  <c r="BB37" i="12"/>
  <c r="BA37" i="12"/>
  <c r="AJ37" i="12"/>
  <c r="AI37" i="12"/>
  <c r="AH37" i="12"/>
  <c r="Q37" i="12"/>
  <c r="P37" i="12"/>
  <c r="O37" i="12"/>
  <c r="BC36" i="12"/>
  <c r="BB36" i="12"/>
  <c r="BA36" i="12"/>
  <c r="AJ36" i="12"/>
  <c r="AI36" i="12"/>
  <c r="AH36" i="12"/>
  <c r="Q36" i="12"/>
  <c r="P36" i="12"/>
  <c r="O36" i="12"/>
  <c r="BC35" i="12"/>
  <c r="BB35" i="12"/>
  <c r="BA35" i="12"/>
  <c r="AJ35" i="12"/>
  <c r="AI35" i="12"/>
  <c r="AH35" i="12"/>
  <c r="Q35" i="12"/>
  <c r="P35" i="12"/>
  <c r="O35" i="12"/>
  <c r="BC34" i="12"/>
  <c r="BB34" i="12"/>
  <c r="BA34" i="12"/>
  <c r="AJ34" i="12"/>
  <c r="AI34" i="12"/>
  <c r="AH34" i="12"/>
  <c r="Q34" i="12"/>
  <c r="P34" i="12"/>
  <c r="O34" i="12"/>
  <c r="BC33" i="12"/>
  <c r="BB33" i="12"/>
  <c r="BA33" i="12"/>
  <c r="AJ33" i="12"/>
  <c r="AI33" i="12"/>
  <c r="AH33" i="12"/>
  <c r="Q33" i="12"/>
  <c r="P33" i="12"/>
  <c r="O33" i="12"/>
  <c r="BC32" i="12"/>
  <c r="BB32" i="12"/>
  <c r="BA32" i="12"/>
  <c r="AJ32" i="12"/>
  <c r="AI32" i="12"/>
  <c r="AH32" i="12"/>
  <c r="Q32" i="12"/>
  <c r="P32" i="12"/>
  <c r="O32" i="12"/>
  <c r="BC31" i="12"/>
  <c r="BB31" i="12"/>
  <c r="BA31" i="12"/>
  <c r="AJ31" i="12"/>
  <c r="AI31" i="12"/>
  <c r="AH31" i="12"/>
  <c r="Q31" i="12"/>
  <c r="P31" i="12"/>
  <c r="O31" i="12"/>
  <c r="BC30" i="12"/>
  <c r="BB30" i="12"/>
  <c r="BA30" i="12"/>
  <c r="AJ30" i="12"/>
  <c r="AI30" i="12"/>
  <c r="AH30" i="12"/>
  <c r="Q30" i="12"/>
  <c r="P30" i="12"/>
  <c r="O30" i="12"/>
  <c r="BC29" i="12"/>
  <c r="BB29" i="12"/>
  <c r="BA29" i="12"/>
  <c r="AJ29" i="12"/>
  <c r="AI29" i="12"/>
  <c r="AH29" i="12"/>
  <c r="Q29" i="12"/>
  <c r="P29" i="12"/>
  <c r="O29" i="12"/>
  <c r="BC28" i="12"/>
  <c r="BB28" i="12"/>
  <c r="BA28" i="12"/>
  <c r="AJ28" i="12"/>
  <c r="AI28" i="12"/>
  <c r="AH28" i="12"/>
  <c r="Q28" i="12"/>
  <c r="P28" i="12"/>
  <c r="O28" i="12"/>
  <c r="BC27" i="12"/>
  <c r="BB27" i="12"/>
  <c r="BA27" i="12"/>
  <c r="AJ27" i="12"/>
  <c r="AI27" i="12"/>
  <c r="AH27" i="12"/>
  <c r="Q27" i="12"/>
  <c r="P27" i="12"/>
  <c r="O27" i="12"/>
  <c r="BC26" i="12"/>
  <c r="BB26" i="12"/>
  <c r="BA26" i="12"/>
  <c r="AJ26" i="12"/>
  <c r="AI26" i="12"/>
  <c r="AH26" i="12"/>
  <c r="Q26" i="12"/>
  <c r="P26" i="12"/>
  <c r="O26" i="12"/>
  <c r="BC25" i="12"/>
  <c r="BB25" i="12"/>
  <c r="BA25" i="12"/>
  <c r="AJ25" i="12"/>
  <c r="AI25" i="12"/>
  <c r="AH25" i="12"/>
  <c r="Q25" i="12"/>
  <c r="P25" i="12"/>
  <c r="O25" i="12"/>
  <c r="BC24" i="12"/>
  <c r="BB24" i="12"/>
  <c r="BA24" i="12"/>
  <c r="AJ24" i="12"/>
  <c r="AI24" i="12"/>
  <c r="AH24" i="12"/>
  <c r="Q24" i="12"/>
  <c r="P24" i="12"/>
  <c r="O24" i="12"/>
  <c r="BC23" i="12"/>
  <c r="BB23" i="12"/>
  <c r="BA23" i="12"/>
  <c r="AJ23" i="12"/>
  <c r="AI23" i="12"/>
  <c r="AH23" i="12"/>
  <c r="Q23" i="12"/>
  <c r="P23" i="12"/>
  <c r="O23" i="12"/>
  <c r="BC22" i="12"/>
  <c r="BB22" i="12"/>
  <c r="BA22" i="12"/>
  <c r="AJ22" i="12"/>
  <c r="AI22" i="12"/>
  <c r="AH22" i="12"/>
  <c r="Q22" i="12"/>
  <c r="P22" i="12"/>
  <c r="O22" i="12"/>
  <c r="BC21" i="12"/>
  <c r="BB21" i="12"/>
  <c r="BA21" i="12"/>
  <c r="AJ21" i="12"/>
  <c r="AI21" i="12"/>
  <c r="AH21" i="12"/>
  <c r="Q21" i="12"/>
  <c r="P21" i="12"/>
  <c r="O21" i="12"/>
  <c r="BC20" i="12"/>
  <c r="BB20" i="12"/>
  <c r="BA20" i="12"/>
  <c r="AJ20" i="12"/>
  <c r="AI20" i="12"/>
  <c r="AH20" i="12"/>
  <c r="Q20" i="12"/>
  <c r="P20" i="12"/>
  <c r="O20" i="12"/>
  <c r="BC19" i="12"/>
  <c r="BB19" i="12"/>
  <c r="BA19" i="12"/>
  <c r="AJ19" i="12"/>
  <c r="AI19" i="12"/>
  <c r="AH19" i="12"/>
  <c r="Q19" i="12"/>
  <c r="P19" i="12"/>
  <c r="O19" i="12"/>
  <c r="BC18" i="12"/>
  <c r="BB18" i="12"/>
  <c r="BA18" i="12"/>
  <c r="AJ18" i="12"/>
  <c r="AI18" i="12"/>
  <c r="AH18" i="12"/>
  <c r="Q18" i="12"/>
  <c r="P18" i="12"/>
  <c r="O18" i="12"/>
  <c r="BC17" i="12"/>
  <c r="BB17" i="12"/>
  <c r="BA17" i="12"/>
  <c r="AJ17" i="12"/>
  <c r="AI17" i="12"/>
  <c r="AH17" i="12"/>
  <c r="Q17" i="12"/>
  <c r="P17" i="12"/>
  <c r="O17" i="12"/>
  <c r="BC16" i="12"/>
  <c r="BB16" i="12"/>
  <c r="BA16" i="12"/>
  <c r="AJ16" i="12"/>
  <c r="AI16" i="12"/>
  <c r="AH16" i="12"/>
  <c r="Q16" i="12"/>
  <c r="P16" i="12"/>
  <c r="O16" i="12"/>
  <c r="BC15" i="12"/>
  <c r="BB15" i="12"/>
  <c r="BA15" i="12"/>
  <c r="AJ15" i="12"/>
  <c r="AI15" i="12"/>
  <c r="AH15" i="12"/>
  <c r="Q15" i="12"/>
  <c r="P15" i="12"/>
  <c r="O15" i="12"/>
  <c r="T7" i="12"/>
  <c r="AM7" i="12" s="1"/>
  <c r="O42" i="11"/>
  <c r="P42" i="11"/>
  <c r="Q42" i="11"/>
  <c r="O43" i="11"/>
  <c r="P43" i="11"/>
  <c r="Q43" i="11"/>
  <c r="O44" i="11"/>
  <c r="P44" i="11"/>
  <c r="Q44" i="11"/>
  <c r="O16" i="11"/>
  <c r="P16" i="11"/>
  <c r="Q16" i="11"/>
  <c r="O17" i="11"/>
  <c r="P17" i="11"/>
  <c r="Q17" i="11"/>
  <c r="O18" i="11"/>
  <c r="P18" i="11"/>
  <c r="Q18" i="11"/>
  <c r="O19" i="11"/>
  <c r="P19" i="11"/>
  <c r="Q19" i="11"/>
  <c r="O20" i="11"/>
  <c r="P20" i="11"/>
  <c r="Q20" i="11"/>
  <c r="O21" i="11"/>
  <c r="P21" i="11"/>
  <c r="Q21" i="11"/>
  <c r="O22" i="11"/>
  <c r="P22" i="11"/>
  <c r="Q22" i="11"/>
  <c r="O23" i="11"/>
  <c r="P23" i="11"/>
  <c r="Q23" i="11"/>
  <c r="O24" i="11"/>
  <c r="P24" i="11"/>
  <c r="Q24" i="11"/>
  <c r="O25" i="11"/>
  <c r="P25" i="11"/>
  <c r="Q25" i="11"/>
  <c r="O26" i="11"/>
  <c r="P26" i="11"/>
  <c r="Q26" i="11"/>
  <c r="O27" i="11"/>
  <c r="P27" i="11"/>
  <c r="Q27" i="11"/>
  <c r="O28" i="11"/>
  <c r="P28" i="11"/>
  <c r="Q28" i="11"/>
  <c r="O29" i="11"/>
  <c r="P29" i="11"/>
  <c r="Q29" i="11"/>
  <c r="O30" i="11"/>
  <c r="P30" i="11"/>
  <c r="Q30" i="11"/>
  <c r="O31" i="11"/>
  <c r="P31" i="11"/>
  <c r="Q31" i="11"/>
  <c r="O32" i="11"/>
  <c r="P32" i="11"/>
  <c r="Q32" i="11"/>
  <c r="O33" i="11"/>
  <c r="P33" i="11"/>
  <c r="Q33" i="11"/>
  <c r="O34" i="11"/>
  <c r="P34" i="11"/>
  <c r="Q34" i="11"/>
  <c r="O35" i="11"/>
  <c r="P35" i="11"/>
  <c r="Q35" i="11"/>
  <c r="O36" i="11"/>
  <c r="P36" i="11"/>
  <c r="Q36" i="11"/>
  <c r="O37" i="11"/>
  <c r="P37" i="11"/>
  <c r="Q37" i="11"/>
  <c r="O38" i="11"/>
  <c r="P38" i="11"/>
  <c r="Q38" i="11"/>
  <c r="O39" i="11"/>
  <c r="P39" i="11"/>
  <c r="Q39" i="11"/>
  <c r="O40" i="11"/>
  <c r="P40" i="11"/>
  <c r="Q40" i="11"/>
  <c r="O41" i="11"/>
  <c r="P41" i="11"/>
  <c r="Q41" i="11"/>
  <c r="O45" i="11"/>
  <c r="P45" i="11"/>
  <c r="Q45" i="11"/>
  <c r="Q15" i="11"/>
  <c r="P15" i="11"/>
  <c r="O15" i="11"/>
  <c r="N58" i="11"/>
  <c r="AG58" i="11" s="1"/>
  <c r="AZ58" i="11" s="1"/>
  <c r="C58" i="11"/>
  <c r="V58" i="11" s="1"/>
  <c r="AO58" i="11" s="1"/>
  <c r="N57" i="11"/>
  <c r="AG57" i="11" s="1"/>
  <c r="AZ57" i="11" s="1"/>
  <c r="C57" i="11"/>
  <c r="V57" i="11" s="1"/>
  <c r="AO57" i="11" s="1"/>
  <c r="C52" i="11"/>
  <c r="V52" i="11" s="1"/>
  <c r="AO52" i="11" s="1"/>
  <c r="AG51" i="11"/>
  <c r="AZ51" i="11" s="1"/>
  <c r="C51" i="11"/>
  <c r="V51" i="11" s="1"/>
  <c r="AO51" i="11" s="1"/>
  <c r="C50" i="11"/>
  <c r="V50" i="11" s="1"/>
  <c r="AO50" i="11" s="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BB48" i="11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AJ48" i="11" s="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BC47" i="11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AJ47" i="11" s="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BC46" i="11" s="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AJ46" i="11" s="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T7" i="11"/>
  <c r="AM7" i="11" s="1"/>
  <c r="N57" i="10"/>
  <c r="AG57" i="10" s="1"/>
  <c r="AZ57" i="10" s="1"/>
  <c r="C57" i="10"/>
  <c r="V57" i="10" s="1"/>
  <c r="AO57" i="10" s="1"/>
  <c r="AG56" i="10"/>
  <c r="AZ56" i="10" s="1"/>
  <c r="N56" i="10"/>
  <c r="C56" i="10"/>
  <c r="V56" i="10" s="1"/>
  <c r="AO56" i="10" s="1"/>
  <c r="C51" i="10"/>
  <c r="V51" i="10" s="1"/>
  <c r="AO51" i="10" s="1"/>
  <c r="N50" i="10"/>
  <c r="AG50" i="10" s="1"/>
  <c r="AZ50" i="10" s="1"/>
  <c r="C50" i="10"/>
  <c r="V50" i="10" s="1"/>
  <c r="AO50" i="10" s="1"/>
  <c r="C49" i="10"/>
  <c r="V49" i="10" s="1"/>
  <c r="AO49" i="10" s="1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BB47" i="10"/>
  <c r="AI47" i="10"/>
  <c r="BC47" i="10"/>
  <c r="BA47" i="10"/>
  <c r="AJ47" i="10"/>
  <c r="AH47" i="10"/>
  <c r="Q47" i="10"/>
  <c r="P47" i="10"/>
  <c r="O47" i="10"/>
  <c r="T7" i="10"/>
  <c r="AM7" i="10" s="1"/>
  <c r="BA48" i="13" l="1"/>
  <c r="BB47" i="13"/>
  <c r="BB48" i="13"/>
  <c r="BC48" i="13"/>
  <c r="AH48" i="13"/>
  <c r="AI48" i="13"/>
  <c r="AJ48" i="13"/>
  <c r="BC47" i="12"/>
  <c r="AJ47" i="12"/>
  <c r="Q47" i="12"/>
  <c r="BA46" i="11"/>
  <c r="BB46" i="11"/>
  <c r="BA47" i="11"/>
  <c r="BB47" i="11"/>
  <c r="BA48" i="11"/>
  <c r="AH46" i="11"/>
  <c r="AI46" i="11"/>
  <c r="AH47" i="11"/>
  <c r="AI47" i="11"/>
  <c r="AH48" i="11"/>
  <c r="AI48" i="11"/>
  <c r="O48" i="11"/>
  <c r="AH46" i="13"/>
  <c r="BA46" i="13"/>
  <c r="AH47" i="13"/>
  <c r="BA47" i="13"/>
  <c r="AI46" i="13"/>
  <c r="BB46" i="13"/>
  <c r="AI47" i="13"/>
  <c r="AJ46" i="13"/>
  <c r="BC46" i="13"/>
  <c r="AJ47" i="13"/>
  <c r="BC47" i="13"/>
  <c r="AH45" i="12"/>
  <c r="AI47" i="12"/>
  <c r="Q46" i="12"/>
  <c r="O46" i="12"/>
  <c r="BB47" i="12"/>
  <c r="O47" i="12"/>
  <c r="Q45" i="12"/>
  <c r="BA47" i="12"/>
  <c r="O45" i="12"/>
  <c r="P45" i="12"/>
  <c r="AI45" i="12"/>
  <c r="BB45" i="12"/>
  <c r="P46" i="12"/>
  <c r="AI46" i="12"/>
  <c r="BB46" i="12"/>
  <c r="P47" i="12"/>
  <c r="BA45" i="12"/>
  <c r="AH46" i="12"/>
  <c r="AH47" i="12"/>
  <c r="AJ45" i="12"/>
  <c r="BC45" i="12"/>
  <c r="AJ46" i="12"/>
  <c r="BC46" i="12"/>
  <c r="BA46" i="12"/>
  <c r="O47" i="11"/>
  <c r="Q48" i="11"/>
  <c r="Q46" i="11"/>
  <c r="O46" i="11"/>
  <c r="P48" i="11"/>
  <c r="Q47" i="11"/>
  <c r="P47" i="11"/>
  <c r="P46" i="11"/>
  <c r="AI45" i="10"/>
  <c r="BB45" i="10"/>
  <c r="P45" i="10"/>
  <c r="P46" i="10"/>
  <c r="AI46" i="10"/>
  <c r="BB46" i="10"/>
  <c r="O45" i="10"/>
  <c r="AH45" i="10"/>
  <c r="BA45" i="10"/>
  <c r="O46" i="10"/>
  <c r="AH46" i="10"/>
  <c r="BA46" i="10"/>
  <c r="Q45" i="10"/>
  <c r="AJ45" i="10"/>
  <c r="BC45" i="10"/>
  <c r="Q46" i="10"/>
  <c r="AJ46" i="10"/>
  <c r="BC46" i="10"/>
  <c r="T7" i="8" l="1"/>
  <c r="AM7" i="8" s="1"/>
  <c r="N51" i="8"/>
  <c r="N58" i="8"/>
  <c r="AG58" i="8" s="1"/>
  <c r="AZ58" i="8" s="1"/>
  <c r="C58" i="8"/>
  <c r="V58" i="8" s="1"/>
  <c r="AO58" i="8" s="1"/>
  <c r="N57" i="8"/>
  <c r="AG57" i="8" s="1"/>
  <c r="AZ57" i="8" s="1"/>
  <c r="C57" i="8"/>
  <c r="V57" i="8" s="1"/>
  <c r="AO57" i="8" s="1"/>
  <c r="C52" i="8"/>
  <c r="V52" i="8" s="1"/>
  <c r="AO52" i="8" s="1"/>
  <c r="AG51" i="8"/>
  <c r="AZ51" i="8" s="1"/>
  <c r="C51" i="8"/>
  <c r="V51" i="8" s="1"/>
  <c r="AO51" i="8" s="1"/>
  <c r="C50" i="8"/>
  <c r="V50" i="8" s="1"/>
  <c r="AO50" i="8" s="1"/>
  <c r="BA45" i="8"/>
  <c r="BB45" i="8"/>
  <c r="AH45" i="8"/>
  <c r="AI45" i="8"/>
  <c r="O45" i="8"/>
  <c r="P45" i="8"/>
  <c r="BA44" i="8"/>
  <c r="BB44" i="8"/>
  <c r="AH44" i="8"/>
  <c r="AI44" i="8"/>
  <c r="O44" i="8"/>
  <c r="P44" i="8"/>
  <c r="BA43" i="8"/>
  <c r="BB43" i="8"/>
  <c r="AH43" i="8"/>
  <c r="AI43" i="8"/>
  <c r="O43" i="8"/>
  <c r="P43" i="8"/>
  <c r="BA42" i="8"/>
  <c r="BB42" i="8"/>
  <c r="AH42" i="8"/>
  <c r="AI42" i="8"/>
  <c r="O42" i="8"/>
  <c r="P42" i="8"/>
  <c r="BA41" i="8"/>
  <c r="BB41" i="8"/>
  <c r="AH41" i="8"/>
  <c r="AI41" i="8"/>
  <c r="O41" i="8"/>
  <c r="P41" i="8"/>
  <c r="BA40" i="8"/>
  <c r="BB40" i="8"/>
  <c r="AH40" i="8"/>
  <c r="AI40" i="8"/>
  <c r="O40" i="8"/>
  <c r="P40" i="8"/>
  <c r="BA39" i="8"/>
  <c r="BB39" i="8"/>
  <c r="AH39" i="8"/>
  <c r="AI39" i="8"/>
  <c r="P39" i="8"/>
  <c r="BA38" i="8"/>
  <c r="BB38" i="8"/>
  <c r="AH38" i="8"/>
  <c r="AI38" i="8"/>
  <c r="P38" i="8"/>
  <c r="BB37" i="8"/>
  <c r="AH37" i="8"/>
  <c r="P37" i="8"/>
  <c r="BA36" i="8"/>
  <c r="BB36" i="8"/>
  <c r="AH36" i="8"/>
  <c r="P36" i="8"/>
  <c r="BB35" i="8"/>
  <c r="AH35" i="8"/>
  <c r="P35" i="8"/>
  <c r="BB34" i="8"/>
  <c r="AH34" i="8"/>
  <c r="P34" i="8"/>
  <c r="BB33" i="8"/>
  <c r="AH33" i="8"/>
  <c r="AI33" i="8"/>
  <c r="P33" i="8"/>
  <c r="BA32" i="8"/>
  <c r="BB32" i="8"/>
  <c r="AH32" i="8"/>
  <c r="P32" i="8"/>
  <c r="BB31" i="8"/>
  <c r="AH31" i="8"/>
  <c r="P31" i="8"/>
  <c r="BB30" i="8"/>
  <c r="AH30" i="8"/>
  <c r="O30" i="8"/>
  <c r="BA29" i="8"/>
  <c r="BB29" i="8"/>
  <c r="AH29" i="8"/>
  <c r="AI29" i="8"/>
  <c r="O29" i="8"/>
  <c r="BA28" i="8"/>
  <c r="BB28" i="8"/>
  <c r="AH28" i="8"/>
  <c r="AI28" i="8"/>
  <c r="P28" i="8"/>
  <c r="BA27" i="8"/>
  <c r="BB27" i="8"/>
  <c r="AH27" i="8"/>
  <c r="AI27" i="8"/>
  <c r="O27" i="8"/>
  <c r="P27" i="8"/>
  <c r="BA26" i="8"/>
  <c r="BB26" i="8"/>
  <c r="AH26" i="8"/>
  <c r="AI26" i="8"/>
  <c r="O26" i="8"/>
  <c r="P26" i="8"/>
  <c r="BA25" i="8"/>
  <c r="BB25" i="8"/>
  <c r="AH25" i="8"/>
  <c r="AI25" i="8"/>
  <c r="O25" i="8"/>
  <c r="P25" i="8"/>
  <c r="BA24" i="8"/>
  <c r="BB24" i="8"/>
  <c r="AH24" i="8"/>
  <c r="AI24" i="8"/>
  <c r="O24" i="8"/>
  <c r="P24" i="8"/>
  <c r="BA23" i="8"/>
  <c r="BB23" i="8"/>
  <c r="AH23" i="8"/>
  <c r="AI23" i="8"/>
  <c r="O23" i="8"/>
  <c r="P23" i="8"/>
  <c r="BA22" i="8"/>
  <c r="BB22" i="8"/>
  <c r="AH22" i="8"/>
  <c r="AI22" i="8"/>
  <c r="O22" i="8"/>
  <c r="P22" i="8"/>
  <c r="BA21" i="8"/>
  <c r="BB21" i="8"/>
  <c r="AH21" i="8"/>
  <c r="AI21" i="8"/>
  <c r="O21" i="8"/>
  <c r="P21" i="8"/>
  <c r="BA20" i="8"/>
  <c r="BB20" i="8"/>
  <c r="AH20" i="8"/>
  <c r="AI20" i="8"/>
  <c r="O20" i="8"/>
  <c r="P20" i="8"/>
  <c r="BA19" i="8"/>
  <c r="BB19" i="8"/>
  <c r="AH19" i="8"/>
  <c r="AI19" i="8"/>
  <c r="O19" i="8"/>
  <c r="P19" i="8"/>
  <c r="BA18" i="8"/>
  <c r="BB18" i="8"/>
  <c r="AH18" i="8"/>
  <c r="AI18" i="8"/>
  <c r="O18" i="8"/>
  <c r="P18" i="8"/>
  <c r="BA17" i="8"/>
  <c r="BB17" i="8"/>
  <c r="AH17" i="8"/>
  <c r="AI17" i="8"/>
  <c r="O17" i="8"/>
  <c r="P17" i="8"/>
  <c r="BA16" i="8"/>
  <c r="BB16" i="8"/>
  <c r="AH16" i="8"/>
  <c r="AI16" i="8"/>
  <c r="O16" i="8"/>
  <c r="P16" i="8"/>
  <c r="AZ48" i="8"/>
  <c r="AY48" i="8"/>
  <c r="AX48" i="8"/>
  <c r="AW47" i="8"/>
  <c r="AV48" i="8"/>
  <c r="AU48" i="8"/>
  <c r="AT48" i="8"/>
  <c r="AS48" i="8"/>
  <c r="AR48" i="8"/>
  <c r="AQ48" i="8"/>
  <c r="AP48" i="8"/>
  <c r="AO48" i="8"/>
  <c r="AN48" i="8"/>
  <c r="AG48" i="8"/>
  <c r="AF48" i="8"/>
  <c r="AE48" i="8"/>
  <c r="AD48" i="8"/>
  <c r="AC48" i="8"/>
  <c r="AB48" i="8"/>
  <c r="AA48" i="8"/>
  <c r="Z46" i="8"/>
  <c r="Y48" i="8"/>
  <c r="X48" i="8"/>
  <c r="W48" i="8"/>
  <c r="V47" i="8"/>
  <c r="U48" i="8"/>
  <c r="N48" i="8"/>
  <c r="M48" i="8"/>
  <c r="L48" i="8"/>
  <c r="K48" i="8"/>
  <c r="J48" i="8"/>
  <c r="I48" i="8"/>
  <c r="H48" i="8"/>
  <c r="G48" i="8"/>
  <c r="F48" i="8"/>
  <c r="E48" i="8"/>
  <c r="D48" i="8"/>
  <c r="C46" i="8"/>
  <c r="B48" i="8"/>
  <c r="BA31" i="8" l="1"/>
  <c r="O33" i="8"/>
  <c r="BA34" i="8"/>
  <c r="BA35" i="8"/>
  <c r="O36" i="8"/>
  <c r="O37" i="8"/>
  <c r="O38" i="8"/>
  <c r="K46" i="8"/>
  <c r="AD46" i="8"/>
  <c r="AS46" i="8"/>
  <c r="C47" i="8"/>
  <c r="K47" i="8"/>
  <c r="Z47" i="8"/>
  <c r="AS47" i="8"/>
  <c r="C48" i="8"/>
  <c r="Z48" i="8"/>
  <c r="Q15" i="8"/>
  <c r="AJ15" i="8"/>
  <c r="BC15" i="8"/>
  <c r="Q16" i="8"/>
  <c r="AJ16" i="8"/>
  <c r="BC16" i="8"/>
  <c r="Q17" i="8"/>
  <c r="AJ17" i="8"/>
  <c r="BC17" i="8"/>
  <c r="Q18" i="8"/>
  <c r="AJ18" i="8"/>
  <c r="BC18" i="8"/>
  <c r="Q19" i="8"/>
  <c r="AJ19" i="8"/>
  <c r="BC19" i="8"/>
  <c r="Q20" i="8"/>
  <c r="AJ20" i="8"/>
  <c r="BC20" i="8"/>
  <c r="Q21" i="8"/>
  <c r="AJ21" i="8"/>
  <c r="BC21" i="8"/>
  <c r="Q22" i="8"/>
  <c r="AJ22" i="8"/>
  <c r="BC22" i="8"/>
  <c r="Q23" i="8"/>
  <c r="AJ23" i="8"/>
  <c r="BC23" i="8"/>
  <c r="Q24" i="8"/>
  <c r="AJ24" i="8"/>
  <c r="BC24" i="8"/>
  <c r="Q25" i="8"/>
  <c r="AJ25" i="8"/>
  <c r="BC25" i="8"/>
  <c r="Q26" i="8"/>
  <c r="AJ26" i="8"/>
  <c r="BC26" i="8"/>
  <c r="Q27" i="8"/>
  <c r="AJ27" i="8"/>
  <c r="BC27" i="8"/>
  <c r="Q28" i="8"/>
  <c r="AJ28" i="8"/>
  <c r="BC28" i="8"/>
  <c r="Q29" i="8"/>
  <c r="AJ29" i="8"/>
  <c r="BC29" i="8"/>
  <c r="Q30" i="8"/>
  <c r="AJ30" i="8"/>
  <c r="BC30" i="8"/>
  <c r="Q31" i="8"/>
  <c r="AJ31" i="8"/>
  <c r="BC31" i="8"/>
  <c r="Q32" i="8"/>
  <c r="AJ32" i="8"/>
  <c r="BC32" i="8"/>
  <c r="Q33" i="8"/>
  <c r="AJ33" i="8"/>
  <c r="BC33" i="8"/>
  <c r="Q34" i="8"/>
  <c r="AJ34" i="8"/>
  <c r="BC34" i="8"/>
  <c r="Q35" i="8"/>
  <c r="AJ35" i="8"/>
  <c r="BC35" i="8"/>
  <c r="Q36" i="8"/>
  <c r="AJ36" i="8"/>
  <c r="BC36" i="8"/>
  <c r="Q37" i="8"/>
  <c r="AJ37" i="8"/>
  <c r="BC37" i="8"/>
  <c r="Q38" i="8"/>
  <c r="AJ38" i="8"/>
  <c r="BC38" i="8"/>
  <c r="Q39" i="8"/>
  <c r="AJ39" i="8"/>
  <c r="BC39" i="8"/>
  <c r="Q40" i="8"/>
  <c r="AJ40" i="8"/>
  <c r="BC40" i="8"/>
  <c r="Q41" i="8"/>
  <c r="AJ41" i="8"/>
  <c r="BC41" i="8"/>
  <c r="Q42" i="8"/>
  <c r="AJ42" i="8"/>
  <c r="BC42" i="8"/>
  <c r="Q43" i="8"/>
  <c r="AJ43" i="8"/>
  <c r="BC43" i="8"/>
  <c r="Q44" i="8"/>
  <c r="AJ44" i="8"/>
  <c r="BC44" i="8"/>
  <c r="Q45" i="8"/>
  <c r="AJ45" i="8"/>
  <c r="BC45" i="8"/>
  <c r="E46" i="8"/>
  <c r="I46" i="8"/>
  <c r="M46" i="8"/>
  <c r="X46" i="8"/>
  <c r="AB46" i="8"/>
  <c r="AF46" i="8"/>
  <c r="AQ46" i="8"/>
  <c r="AU46" i="8"/>
  <c r="AY46" i="8"/>
  <c r="E47" i="8"/>
  <c r="I47" i="8"/>
  <c r="M47" i="8"/>
  <c r="X47" i="8"/>
  <c r="AB47" i="8"/>
  <c r="AF47" i="8"/>
  <c r="AQ47" i="8"/>
  <c r="AU47" i="8"/>
  <c r="AY47" i="8"/>
  <c r="O15" i="8"/>
  <c r="BA15" i="8"/>
  <c r="O28" i="8"/>
  <c r="BA30" i="8"/>
  <c r="O31" i="8"/>
  <c r="O32" i="8"/>
  <c r="BA33" i="8"/>
  <c r="O34" i="8"/>
  <c r="O35" i="8"/>
  <c r="BA37" i="8"/>
  <c r="O39" i="8"/>
  <c r="G46" i="8"/>
  <c r="AO46" i="8"/>
  <c r="AD47" i="8"/>
  <c r="AO47" i="8"/>
  <c r="V48" i="8"/>
  <c r="AW48" i="8"/>
  <c r="P15" i="8"/>
  <c r="AI15" i="8"/>
  <c r="BB15" i="8"/>
  <c r="P29" i="8"/>
  <c r="P30" i="8"/>
  <c r="AI30" i="8"/>
  <c r="AI31" i="8"/>
  <c r="AI32" i="8"/>
  <c r="AI34" i="8"/>
  <c r="AI35" i="8"/>
  <c r="AI36" i="8"/>
  <c r="AI37" i="8"/>
  <c r="D46" i="8"/>
  <c r="H46" i="8"/>
  <c r="L46" i="8"/>
  <c r="W46" i="8"/>
  <c r="AA46" i="8"/>
  <c r="AE46" i="8"/>
  <c r="AP46" i="8"/>
  <c r="AT46" i="8"/>
  <c r="AX46" i="8"/>
  <c r="D47" i="8"/>
  <c r="H47" i="8"/>
  <c r="L47" i="8"/>
  <c r="W47" i="8"/>
  <c r="AA47" i="8"/>
  <c r="AE47" i="8"/>
  <c r="AP47" i="8"/>
  <c r="AT47" i="8"/>
  <c r="AX47" i="8"/>
  <c r="AH15" i="8"/>
  <c r="V46" i="8"/>
  <c r="AW46" i="8"/>
  <c r="G47" i="8"/>
  <c r="B46" i="8"/>
  <c r="F46" i="8"/>
  <c r="J46" i="8"/>
  <c r="N46" i="8"/>
  <c r="U46" i="8"/>
  <c r="Y46" i="8"/>
  <c r="AC46" i="8"/>
  <c r="AG46" i="8"/>
  <c r="AN46" i="8"/>
  <c r="AR46" i="8"/>
  <c r="AV46" i="8"/>
  <c r="AZ46" i="8"/>
  <c r="B47" i="8"/>
  <c r="F47" i="8"/>
  <c r="J47" i="8"/>
  <c r="N47" i="8"/>
  <c r="U47" i="8"/>
  <c r="Y47" i="8"/>
  <c r="AC47" i="8"/>
  <c r="AG47" i="8"/>
  <c r="AN47" i="8"/>
  <c r="AR47" i="8"/>
  <c r="AV47" i="8"/>
  <c r="AZ47" i="8"/>
  <c r="BA66" i="7"/>
  <c r="BA67" i="7" s="1"/>
  <c r="BA68" i="7" s="1"/>
  <c r="BA69" i="7" s="1"/>
  <c r="AZ66" i="7"/>
  <c r="AZ67" i="7" s="1"/>
  <c r="AZ68" i="7" s="1"/>
  <c r="AZ69" i="7" s="1"/>
  <c r="AZ70" i="7" s="1"/>
  <c r="AZ71" i="7" s="1"/>
  <c r="AZ72" i="7" s="1"/>
  <c r="AZ73" i="7" s="1"/>
  <c r="AZ74" i="7" s="1"/>
  <c r="AZ75" i="7" s="1"/>
  <c r="AZ76" i="7" s="1"/>
  <c r="AZ77" i="7" s="1"/>
  <c r="AZ78" i="7" s="1"/>
  <c r="AZ79" i="7" s="1"/>
  <c r="AZ80" i="7" s="1"/>
  <c r="AZ81" i="7" s="1"/>
  <c r="AZ82" i="7" s="1"/>
  <c r="AZ83" i="7" s="1"/>
  <c r="AZ84" i="7" s="1"/>
  <c r="AZ85" i="7" s="1"/>
  <c r="AZ86" i="7" s="1"/>
  <c r="AZ87" i="7" s="1"/>
  <c r="AZ88" i="7" s="1"/>
  <c r="AZ89" i="7" s="1"/>
  <c r="AZ90" i="7" s="1"/>
  <c r="AZ91" i="7" s="1"/>
  <c r="AY66" i="7"/>
  <c r="AY67" i="7" s="1"/>
  <c r="AY68" i="7" s="1"/>
  <c r="AY69" i="7" s="1"/>
  <c r="AY70" i="7" s="1"/>
  <c r="AY71" i="7" s="1"/>
  <c r="AY72" i="7" s="1"/>
  <c r="AY73" i="7" s="1"/>
  <c r="AY74" i="7" s="1"/>
  <c r="AY75" i="7" s="1"/>
  <c r="AY76" i="7" s="1"/>
  <c r="AY77" i="7" s="1"/>
  <c r="AY78" i="7" s="1"/>
  <c r="AY79" i="7" s="1"/>
  <c r="AY80" i="7" s="1"/>
  <c r="AY81" i="7" s="1"/>
  <c r="AY82" i="7" s="1"/>
  <c r="AY83" i="7" s="1"/>
  <c r="AY84" i="7" s="1"/>
  <c r="AY85" i="7" s="1"/>
  <c r="AY86" i="7" s="1"/>
  <c r="AY87" i="7" s="1"/>
  <c r="AY88" i="7" s="1"/>
  <c r="AY89" i="7" s="1"/>
  <c r="AY90" i="7" s="1"/>
  <c r="AY91" i="7" s="1"/>
  <c r="AX66" i="7"/>
  <c r="AX67" i="7" s="1"/>
  <c r="AX68" i="7" s="1"/>
  <c r="AW66" i="7"/>
  <c r="AW67" i="7" s="1"/>
  <c r="AV66" i="7"/>
  <c r="AV67" i="7" s="1"/>
  <c r="AU66" i="7"/>
  <c r="AU67" i="7" s="1"/>
  <c r="AU68" i="7" s="1"/>
  <c r="AU69" i="7" s="1"/>
  <c r="AU70" i="7" s="1"/>
  <c r="AU71" i="7" s="1"/>
  <c r="AU72" i="7" s="1"/>
  <c r="AU73" i="7" s="1"/>
  <c r="AU74" i="7" s="1"/>
  <c r="AU75" i="7" s="1"/>
  <c r="AU76" i="7" s="1"/>
  <c r="AU77" i="7" s="1"/>
  <c r="AU78" i="7" s="1"/>
  <c r="AU79" i="7" s="1"/>
  <c r="AU80" i="7" s="1"/>
  <c r="AU81" i="7" s="1"/>
  <c r="AU82" i="7" s="1"/>
  <c r="AU83" i="7" s="1"/>
  <c r="AU84" i="7" s="1"/>
  <c r="AU85" i="7" s="1"/>
  <c r="AU86" i="7" s="1"/>
  <c r="AU87" i="7" s="1"/>
  <c r="AU88" i="7" s="1"/>
  <c r="AU89" i="7" s="1"/>
  <c r="AU90" i="7" s="1"/>
  <c r="AU91" i="7" s="1"/>
  <c r="AT66" i="7"/>
  <c r="AT67" i="7" s="1"/>
  <c r="AT68" i="7" s="1"/>
  <c r="AT69" i="7" s="1"/>
  <c r="AT70" i="7" s="1"/>
  <c r="AS66" i="7"/>
  <c r="AS67" i="7" s="1"/>
  <c r="AR66" i="7"/>
  <c r="AR67" i="7" s="1"/>
  <c r="AQ66" i="7"/>
  <c r="AQ67" i="7" s="1"/>
  <c r="AQ68" i="7" s="1"/>
  <c r="AP66" i="7"/>
  <c r="AP67" i="7" s="1"/>
  <c r="AP68" i="7" s="1"/>
  <c r="AP69" i="7" s="1"/>
  <c r="AP70" i="7" s="1"/>
  <c r="AP71" i="7" s="1"/>
  <c r="AP72" i="7" s="1"/>
  <c r="AP73" i="7" s="1"/>
  <c r="AP74" i="7" s="1"/>
  <c r="AP75" i="7" s="1"/>
  <c r="AP76" i="7" s="1"/>
  <c r="AP77" i="7" s="1"/>
  <c r="AO66" i="7"/>
  <c r="AO67" i="7" s="1"/>
  <c r="AG66" i="7"/>
  <c r="AG67" i="7" s="1"/>
  <c r="AF66" i="7"/>
  <c r="AF67" i="7" s="1"/>
  <c r="AF68" i="7" s="1"/>
  <c r="AE66" i="7"/>
  <c r="AE67" i="7" s="1"/>
  <c r="AD66" i="7"/>
  <c r="AD67" i="7" s="1"/>
  <c r="AC66" i="7"/>
  <c r="AC67" i="7" s="1"/>
  <c r="AC68" i="7" s="1"/>
  <c r="AC69" i="7" s="1"/>
  <c r="AC70" i="7" s="1"/>
  <c r="AC71" i="7" s="1"/>
  <c r="AC72" i="7" s="1"/>
  <c r="AC73" i="7" s="1"/>
  <c r="AC74" i="7" s="1"/>
  <c r="AC75" i="7" s="1"/>
  <c r="AC76" i="7" s="1"/>
  <c r="AC77" i="7" s="1"/>
  <c r="AC78" i="7" s="1"/>
  <c r="AC79" i="7" s="1"/>
  <c r="AC80" i="7" s="1"/>
  <c r="AC81" i="7" s="1"/>
  <c r="AC82" i="7" s="1"/>
  <c r="AC83" i="7" s="1"/>
  <c r="AC84" i="7" s="1"/>
  <c r="AC85" i="7" s="1"/>
  <c r="AC86" i="7" s="1"/>
  <c r="AC87" i="7" s="1"/>
  <c r="AB66" i="7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AB77" i="7" s="1"/>
  <c r="AB78" i="7" s="1"/>
  <c r="AB79" i="7" s="1"/>
  <c r="AB80" i="7" s="1"/>
  <c r="AB81" i="7" s="1"/>
  <c r="AB82" i="7" s="1"/>
  <c r="AB83" i="7" s="1"/>
  <c r="AB84" i="7" s="1"/>
  <c r="AB85" i="7" s="1"/>
  <c r="AB86" i="7" s="1"/>
  <c r="AB87" i="7" s="1"/>
  <c r="AB88" i="7" s="1"/>
  <c r="AB89" i="7" s="1"/>
  <c r="AB90" i="7" s="1"/>
  <c r="AB91" i="7" s="1"/>
  <c r="AA66" i="7"/>
  <c r="AA67" i="7" s="1"/>
  <c r="AA68" i="7" s="1"/>
  <c r="AA69" i="7" s="1"/>
  <c r="AA70" i="7" s="1"/>
  <c r="AA71" i="7" s="1"/>
  <c r="AA72" i="7" s="1"/>
  <c r="AA73" i="7" s="1"/>
  <c r="AA74" i="7" s="1"/>
  <c r="AA75" i="7" s="1"/>
  <c r="AA76" i="7" s="1"/>
  <c r="AA77" i="7" s="1"/>
  <c r="AA78" i="7" s="1"/>
  <c r="AA79" i="7" s="1"/>
  <c r="AA80" i="7" s="1"/>
  <c r="AA81" i="7" s="1"/>
  <c r="AA82" i="7" s="1"/>
  <c r="AA83" i="7" s="1"/>
  <c r="AA84" i="7" s="1"/>
  <c r="AA85" i="7" s="1"/>
  <c r="AA86" i="7" s="1"/>
  <c r="AA87" i="7" s="1"/>
  <c r="AA88" i="7" s="1"/>
  <c r="AA89" i="7" s="1"/>
  <c r="AA90" i="7" s="1"/>
  <c r="AA91" i="7" s="1"/>
  <c r="Z66" i="7"/>
  <c r="Z67" i="7" s="1"/>
  <c r="Y66" i="7"/>
  <c r="Y67" i="7" s="1"/>
  <c r="X66" i="7"/>
  <c r="X67" i="7" s="1"/>
  <c r="X68" i="7" s="1"/>
  <c r="X69" i="7" s="1"/>
  <c r="X70" i="7" s="1"/>
  <c r="X71" i="7" s="1"/>
  <c r="X72" i="7" s="1"/>
  <c r="X73" i="7" s="1"/>
  <c r="X74" i="7" s="1"/>
  <c r="X75" i="7" s="1"/>
  <c r="X76" i="7" s="1"/>
  <c r="X77" i="7" s="1"/>
  <c r="X78" i="7" s="1"/>
  <c r="X79" i="7" s="1"/>
  <c r="X80" i="7" s="1"/>
  <c r="X81" i="7" s="1"/>
  <c r="X82" i="7" s="1"/>
  <c r="X83" i="7" s="1"/>
  <c r="X84" i="7" s="1"/>
  <c r="X85" i="7" s="1"/>
  <c r="X86" i="7" s="1"/>
  <c r="X87" i="7" s="1"/>
  <c r="X88" i="7" s="1"/>
  <c r="X89" i="7" s="1"/>
  <c r="X90" i="7" s="1"/>
  <c r="X91" i="7" s="1"/>
  <c r="W66" i="7"/>
  <c r="W67" i="7" s="1"/>
  <c r="W68" i="7" s="1"/>
  <c r="W69" i="7" s="1"/>
  <c r="W70" i="7" s="1"/>
  <c r="V66" i="7"/>
  <c r="V67" i="7" s="1"/>
  <c r="U66" i="7"/>
  <c r="U67" i="7" s="1"/>
  <c r="N58" i="7"/>
  <c r="AG58" i="7" s="1"/>
  <c r="AZ58" i="7" s="1"/>
  <c r="C58" i="7"/>
  <c r="V58" i="7" s="1"/>
  <c r="AO58" i="7" s="1"/>
  <c r="N57" i="7"/>
  <c r="AG57" i="7" s="1"/>
  <c r="AZ57" i="7" s="1"/>
  <c r="C57" i="7"/>
  <c r="V57" i="7" s="1"/>
  <c r="AO57" i="7" s="1"/>
  <c r="C52" i="7"/>
  <c r="V52" i="7" s="1"/>
  <c r="AO52" i="7" s="1"/>
  <c r="N51" i="7"/>
  <c r="AG51" i="7" s="1"/>
  <c r="AZ51" i="7" s="1"/>
  <c r="C51" i="7"/>
  <c r="V51" i="7" s="1"/>
  <c r="AO51" i="7" s="1"/>
  <c r="C50" i="7"/>
  <c r="V50" i="7" s="1"/>
  <c r="AO50" i="7" s="1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X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Y29" i="7"/>
  <c r="AT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Y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Y27" i="7"/>
  <c r="A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Y26" i="7"/>
  <c r="AT26" i="7"/>
  <c r="A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O25" i="7"/>
  <c r="AC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T24" i="7"/>
  <c r="A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O23" i="7"/>
  <c r="X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T21" i="7"/>
  <c r="AO21" i="7"/>
  <c r="AC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Y20" i="7"/>
  <c r="AS20" i="7"/>
  <c r="AO20" i="7"/>
  <c r="W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Y19" i="7"/>
  <c r="AT19" i="7"/>
  <c r="AS19" i="7"/>
  <c r="AO19" i="7"/>
  <c r="AC19" i="7"/>
  <c r="AA19" i="7"/>
  <c r="W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Y18" i="7"/>
  <c r="AX18" i="7"/>
  <c r="AS18" i="7"/>
  <c r="AP18" i="7"/>
  <c r="AO18" i="7"/>
  <c r="W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T17" i="7"/>
  <c r="AS17" i="7"/>
  <c r="AP17" i="7"/>
  <c r="AO17" i="7"/>
  <c r="AF17" i="7"/>
  <c r="AE17" i="7"/>
  <c r="X17" i="7"/>
  <c r="W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A18" i="7" l="1"/>
  <c r="AW18" i="7"/>
  <c r="AA40" i="7"/>
  <c r="AA17" i="7"/>
  <c r="AI17" i="7" s="1"/>
  <c r="AB17" i="7"/>
  <c r="AA20" i="7"/>
  <c r="AB20" i="7"/>
  <c r="AA39" i="7"/>
  <c r="AA21" i="7"/>
  <c r="AA37" i="7"/>
  <c r="AB21" i="7"/>
  <c r="AA35" i="7"/>
  <c r="AA36" i="7"/>
  <c r="AC37" i="7"/>
  <c r="AA22" i="7"/>
  <c r="AA24" i="7"/>
  <c r="AA25" i="7"/>
  <c r="AA26" i="7"/>
  <c r="AA32" i="7"/>
  <c r="AA33" i="7"/>
  <c r="AB34" i="7"/>
  <c r="AB35" i="7"/>
  <c r="AB36" i="7"/>
  <c r="AA23" i="7"/>
  <c r="AA27" i="7"/>
  <c r="AA28" i="7"/>
  <c r="AA29" i="7"/>
  <c r="AA31" i="7"/>
  <c r="AB32" i="7"/>
  <c r="AB33" i="7"/>
  <c r="AC34" i="7"/>
  <c r="AC35" i="7"/>
  <c r="AX22" i="7"/>
  <c r="AB28" i="7"/>
  <c r="AA30" i="7"/>
  <c r="AY31" i="7"/>
  <c r="AY32" i="7"/>
  <c r="AC33" i="7"/>
  <c r="AX17" i="7"/>
  <c r="AW17" i="7"/>
  <c r="AX30" i="7"/>
  <c r="AA41" i="7"/>
  <c r="AC17" i="7"/>
  <c r="AU17" i="7"/>
  <c r="AY17" i="7"/>
  <c r="AC20" i="7"/>
  <c r="AY22" i="7"/>
  <c r="AY24" i="7"/>
  <c r="AC26" i="7"/>
  <c r="AY30" i="7"/>
  <c r="AY33" i="7"/>
  <c r="AY37" i="7"/>
  <c r="V17" i="7"/>
  <c r="Z17" i="7"/>
  <c r="AD17" i="7"/>
  <c r="AN17" i="7"/>
  <c r="AR17" i="7"/>
  <c r="AV17" i="7"/>
  <c r="AZ17" i="7"/>
  <c r="AC18" i="7"/>
  <c r="AC22" i="7"/>
  <c r="AC24" i="7"/>
  <c r="AY25" i="7"/>
  <c r="AY39" i="7"/>
  <c r="U17" i="7"/>
  <c r="Y17" i="7"/>
  <c r="AG17" i="7"/>
  <c r="AQ17" i="7"/>
  <c r="AC23" i="7"/>
  <c r="AY35" i="7"/>
  <c r="AY36" i="7"/>
  <c r="AY40" i="7"/>
  <c r="AY21" i="7"/>
  <c r="AY23" i="7"/>
  <c r="AY38" i="7"/>
  <c r="P48" i="8"/>
  <c r="P47" i="8"/>
  <c r="P46" i="8"/>
  <c r="BA47" i="8"/>
  <c r="BA46" i="8"/>
  <c r="BA48" i="8"/>
  <c r="Q48" i="8"/>
  <c r="Q47" i="8"/>
  <c r="Q46" i="8"/>
  <c r="AI48" i="8"/>
  <c r="AI47" i="8"/>
  <c r="AI46" i="8"/>
  <c r="AJ48" i="8"/>
  <c r="AJ47" i="8"/>
  <c r="AJ46" i="8"/>
  <c r="AH47" i="8"/>
  <c r="AH46" i="8"/>
  <c r="AH48" i="8"/>
  <c r="BB48" i="8"/>
  <c r="BB47" i="8"/>
  <c r="BB46" i="8"/>
  <c r="BC48" i="8"/>
  <c r="BC47" i="8"/>
  <c r="BC46" i="8"/>
  <c r="O46" i="8"/>
  <c r="O47" i="8"/>
  <c r="O48" i="8"/>
  <c r="AB37" i="7"/>
  <c r="AB38" i="7"/>
  <c r="AT39" i="7"/>
  <c r="AX40" i="7"/>
  <c r="BA70" i="7"/>
  <c r="BA71" i="7" s="1"/>
  <c r="BA72" i="7" s="1"/>
  <c r="BA73" i="7" s="1"/>
  <c r="BA74" i="7" s="1"/>
  <c r="BA75" i="7" s="1"/>
  <c r="BA76" i="7" s="1"/>
  <c r="AZ20" i="7"/>
  <c r="X40" i="7"/>
  <c r="AD68" i="7"/>
  <c r="AD18" i="7"/>
  <c r="AB18" i="7"/>
  <c r="AB19" i="7"/>
  <c r="AZ19" i="7"/>
  <c r="AB22" i="7"/>
  <c r="AT22" i="7"/>
  <c r="AX23" i="7"/>
  <c r="X24" i="7"/>
  <c r="AB25" i="7"/>
  <c r="AX25" i="7"/>
  <c r="X26" i="7"/>
  <c r="AB27" i="7"/>
  <c r="AB29" i="7"/>
  <c r="AT30" i="7"/>
  <c r="X31" i="7"/>
  <c r="AX31" i="7"/>
  <c r="AX33" i="7"/>
  <c r="X34" i="7"/>
  <c r="AX34" i="7"/>
  <c r="AX35" i="7"/>
  <c r="AX37" i="7"/>
  <c r="X38" i="7"/>
  <c r="AB39" i="7"/>
  <c r="AT40" i="7"/>
  <c r="X41" i="7"/>
  <c r="AX41" i="7"/>
  <c r="AF18" i="7"/>
  <c r="AT18" i="7"/>
  <c r="AZ18" i="7"/>
  <c r="X20" i="7"/>
  <c r="AX20" i="7"/>
  <c r="Q21" i="7"/>
  <c r="X21" i="7"/>
  <c r="AB23" i="7"/>
  <c r="AT23" i="7"/>
  <c r="P35" i="7"/>
  <c r="AT25" i="7"/>
  <c r="AX27" i="7"/>
  <c r="X28" i="7"/>
  <c r="AX28" i="7"/>
  <c r="AB30" i="7"/>
  <c r="AT31" i="7"/>
  <c r="X32" i="7"/>
  <c r="AX32" i="7"/>
  <c r="X33" i="7"/>
  <c r="AT33" i="7"/>
  <c r="AT34" i="7"/>
  <c r="X35" i="7"/>
  <c r="AT35" i="7"/>
  <c r="X36" i="7"/>
  <c r="AX36" i="7"/>
  <c r="X37" i="7"/>
  <c r="AT37" i="7"/>
  <c r="AX38" i="7"/>
  <c r="AB40" i="7"/>
  <c r="AT41" i="7"/>
  <c r="Q16" i="7"/>
  <c r="X18" i="7"/>
  <c r="X19" i="7"/>
  <c r="AX19" i="7"/>
  <c r="AT20" i="7"/>
  <c r="AX21" i="7"/>
  <c r="X22" i="7"/>
  <c r="AB24" i="7"/>
  <c r="AX24" i="7"/>
  <c r="Q25" i="7"/>
  <c r="X25" i="7"/>
  <c r="AB26" i="7"/>
  <c r="AX26" i="7"/>
  <c r="X27" i="7"/>
  <c r="AT27" i="7"/>
  <c r="AT28" i="7"/>
  <c r="X29" i="7"/>
  <c r="AX29" i="7"/>
  <c r="AB31" i="7"/>
  <c r="AT32" i="7"/>
  <c r="AT36" i="7"/>
  <c r="AT38" i="7"/>
  <c r="X39" i="7"/>
  <c r="AX39" i="7"/>
  <c r="AB41" i="7"/>
  <c r="U68" i="7"/>
  <c r="U18" i="7"/>
  <c r="Y68" i="7"/>
  <c r="Y18" i="7"/>
  <c r="AG68" i="7"/>
  <c r="AG18" i="7"/>
  <c r="AR68" i="7"/>
  <c r="AQ18" i="7"/>
  <c r="AU18" i="7"/>
  <c r="AV68" i="7"/>
  <c r="AF69" i="7"/>
  <c r="AF19" i="7"/>
  <c r="AQ69" i="7"/>
  <c r="AP19" i="7"/>
  <c r="W21" i="7"/>
  <c r="W71" i="7"/>
  <c r="AE68" i="7"/>
  <c r="AE18" i="7"/>
  <c r="AT71" i="7"/>
  <c r="AS21" i="7"/>
  <c r="AX69" i="7"/>
  <c r="AW19" i="7"/>
  <c r="V68" i="7"/>
  <c r="V18" i="7"/>
  <c r="Z68" i="7"/>
  <c r="Z18" i="7"/>
  <c r="AO68" i="7"/>
  <c r="AN18" i="7"/>
  <c r="AS68" i="7"/>
  <c r="AR18" i="7"/>
  <c r="AW68" i="7"/>
  <c r="AV18" i="7"/>
  <c r="Q27" i="7"/>
  <c r="P28" i="7"/>
  <c r="P31" i="7"/>
  <c r="O40" i="7"/>
  <c r="Q42" i="7"/>
  <c r="O43" i="7"/>
  <c r="Q17" i="7"/>
  <c r="Q22" i="7"/>
  <c r="Q23" i="7"/>
  <c r="P26" i="7"/>
  <c r="Q30" i="7"/>
  <c r="Q32" i="7"/>
  <c r="Q33" i="7"/>
  <c r="Q36" i="7"/>
  <c r="Q37" i="7"/>
  <c r="P39" i="7"/>
  <c r="P41" i="7"/>
  <c r="BC16" i="7"/>
  <c r="Q18" i="7"/>
  <c r="P23" i="7"/>
  <c r="P27" i="7"/>
  <c r="Q28" i="7"/>
  <c r="O29" i="7"/>
  <c r="Q31" i="7"/>
  <c r="O34" i="7"/>
  <c r="Q35" i="7"/>
  <c r="O38" i="7"/>
  <c r="Q39" i="7"/>
  <c r="Q40" i="7"/>
  <c r="Q41" i="7"/>
  <c r="Q44" i="7"/>
  <c r="AJ16" i="7"/>
  <c r="Q19" i="7"/>
  <c r="Q20" i="7"/>
  <c r="Q24" i="7"/>
  <c r="Q26" i="7"/>
  <c r="P32" i="7"/>
  <c r="P36" i="7"/>
  <c r="P40" i="7"/>
  <c r="P43" i="7"/>
  <c r="B48" i="7"/>
  <c r="B47" i="7"/>
  <c r="B46" i="7"/>
  <c r="Q15" i="7"/>
  <c r="P15" i="7"/>
  <c r="O15" i="7"/>
  <c r="F48" i="7"/>
  <c r="F47" i="7"/>
  <c r="F46" i="7"/>
  <c r="J48" i="7"/>
  <c r="J47" i="7"/>
  <c r="J46" i="7"/>
  <c r="N48" i="7"/>
  <c r="N47" i="7"/>
  <c r="N46" i="7"/>
  <c r="AJ15" i="7"/>
  <c r="AI15" i="7"/>
  <c r="AH15" i="7"/>
  <c r="AC27" i="7"/>
  <c r="AC28" i="7"/>
  <c r="P29" i="7"/>
  <c r="AC29" i="7"/>
  <c r="P30" i="7"/>
  <c r="AC30" i="7"/>
  <c r="AC31" i="7"/>
  <c r="AC32" i="7"/>
  <c r="AA34" i="7"/>
  <c r="AY34" i="7"/>
  <c r="O35" i="7"/>
  <c r="AC36" i="7"/>
  <c r="AA38" i="7"/>
  <c r="O41" i="7"/>
  <c r="AY41" i="7"/>
  <c r="P42" i="7"/>
  <c r="X92" i="7"/>
  <c r="X42" i="7"/>
  <c r="AB42" i="7"/>
  <c r="AB92" i="7"/>
  <c r="AU92" i="7"/>
  <c r="AT42" i="7"/>
  <c r="AY92" i="7"/>
  <c r="AX42" i="7"/>
  <c r="C48" i="7"/>
  <c r="C47" i="7"/>
  <c r="C46" i="7"/>
  <c r="G48" i="7"/>
  <c r="G47" i="7"/>
  <c r="G46" i="7"/>
  <c r="K48" i="7"/>
  <c r="K47" i="7"/>
  <c r="K46" i="7"/>
  <c r="BA15" i="7"/>
  <c r="O16" i="7"/>
  <c r="AH16" i="7"/>
  <c r="BA16" i="7"/>
  <c r="O17" i="7"/>
  <c r="O18" i="7"/>
  <c r="O19" i="7"/>
  <c r="O20" i="7"/>
  <c r="O21" i="7"/>
  <c r="O22" i="7"/>
  <c r="O23" i="7"/>
  <c r="O24" i="7"/>
  <c r="O25" i="7"/>
  <c r="O26" i="7"/>
  <c r="O27" i="7"/>
  <c r="O28" i="7"/>
  <c r="Q29" i="7"/>
  <c r="Q45" i="7"/>
  <c r="P45" i="7"/>
  <c r="O45" i="7"/>
  <c r="AC88" i="7"/>
  <c r="AC38" i="7"/>
  <c r="AZ92" i="7"/>
  <c r="AY42" i="7"/>
  <c r="P19" i="7"/>
  <c r="P20" i="7"/>
  <c r="P21" i="7"/>
  <c r="P22" i="7"/>
  <c r="P24" i="7"/>
  <c r="P25" i="7"/>
  <c r="O33" i="7"/>
  <c r="P34" i="7"/>
  <c r="O37" i="7"/>
  <c r="P38" i="7"/>
  <c r="O39" i="7"/>
  <c r="D48" i="7"/>
  <c r="D47" i="7"/>
  <c r="D46" i="7"/>
  <c r="H48" i="7"/>
  <c r="H47" i="7"/>
  <c r="H46" i="7"/>
  <c r="L48" i="7"/>
  <c r="L47" i="7"/>
  <c r="L46" i="7"/>
  <c r="BB15" i="7"/>
  <c r="P16" i="7"/>
  <c r="AI16" i="7"/>
  <c r="BB16" i="7"/>
  <c r="P17" i="7"/>
  <c r="P18" i="7"/>
  <c r="E48" i="7"/>
  <c r="E47" i="7"/>
  <c r="E46" i="7"/>
  <c r="I48" i="7"/>
  <c r="I47" i="7"/>
  <c r="I46" i="7"/>
  <c r="M48" i="7"/>
  <c r="M47" i="7"/>
  <c r="M46" i="7"/>
  <c r="BC15" i="7"/>
  <c r="O30" i="7"/>
  <c r="O31" i="7"/>
  <c r="O32" i="7"/>
  <c r="P33" i="7"/>
  <c r="Q34" i="7"/>
  <c r="O36" i="7"/>
  <c r="P37" i="7"/>
  <c r="Q38" i="7"/>
  <c r="O42" i="7"/>
  <c r="AA92" i="7"/>
  <c r="AA42" i="7"/>
  <c r="AP78" i="7"/>
  <c r="AO28" i="7"/>
  <c r="P44" i="7"/>
  <c r="Q43" i="7"/>
  <c r="O44" i="7"/>
  <c r="AI18" i="7" l="1"/>
  <c r="AZ26" i="7"/>
  <c r="BA17" i="7"/>
  <c r="BC17" i="7"/>
  <c r="AZ24" i="7"/>
  <c r="AZ25" i="7"/>
  <c r="AZ22" i="7"/>
  <c r="AZ21" i="7"/>
  <c r="AZ23" i="7"/>
  <c r="AH17" i="7"/>
  <c r="AJ17" i="7"/>
  <c r="BB17" i="7"/>
  <c r="BB18" i="7"/>
  <c r="BA77" i="7"/>
  <c r="AZ27" i="7"/>
  <c r="AD69" i="7"/>
  <c r="AD19" i="7"/>
  <c r="BA18" i="7"/>
  <c r="AH18" i="7"/>
  <c r="AW69" i="7"/>
  <c r="AV19" i="7"/>
  <c r="AN19" i="7"/>
  <c r="AO69" i="7"/>
  <c r="V69" i="7"/>
  <c r="V19" i="7"/>
  <c r="AX70" i="7"/>
  <c r="AW20" i="7"/>
  <c r="AE69" i="7"/>
  <c r="AE19" i="7"/>
  <c r="AQ70" i="7"/>
  <c r="AP20" i="7"/>
  <c r="AG69" i="7"/>
  <c r="AG19" i="7"/>
  <c r="U69" i="7"/>
  <c r="U19" i="7"/>
  <c r="AV69" i="7"/>
  <c r="AU19" i="7"/>
  <c r="BC18" i="7"/>
  <c r="AJ18" i="7"/>
  <c r="AS69" i="7"/>
  <c r="AR19" i="7"/>
  <c r="Z69" i="7"/>
  <c r="Z19" i="7"/>
  <c r="AT72" i="7"/>
  <c r="AS22" i="7"/>
  <c r="AF70" i="7"/>
  <c r="AF20" i="7"/>
  <c r="AR69" i="7"/>
  <c r="AQ19" i="7"/>
  <c r="Y69" i="7"/>
  <c r="Y19" i="7"/>
  <c r="W72" i="7"/>
  <c r="W22" i="7"/>
  <c r="AA93" i="7"/>
  <c r="AA43" i="7"/>
  <c r="AC89" i="7"/>
  <c r="AC39" i="7"/>
  <c r="AP79" i="7"/>
  <c r="AO29" i="7"/>
  <c r="AZ93" i="7"/>
  <c r="AY43" i="7"/>
  <c r="AU93" i="7"/>
  <c r="AT43" i="7"/>
  <c r="X93" i="7"/>
  <c r="X43" i="7"/>
  <c r="O48" i="7"/>
  <c r="O47" i="7"/>
  <c r="O46" i="7"/>
  <c r="AY93" i="7"/>
  <c r="AX43" i="7"/>
  <c r="Q48" i="7"/>
  <c r="Q47" i="7"/>
  <c r="Q46" i="7"/>
  <c r="AB93" i="7"/>
  <c r="AB43" i="7"/>
  <c r="P48" i="7"/>
  <c r="P47" i="7"/>
  <c r="P46" i="7"/>
  <c r="BA78" i="7" l="1"/>
  <c r="AZ28" i="7"/>
  <c r="AD70" i="7"/>
  <c r="AD20" i="7"/>
  <c r="BC19" i="7"/>
  <c r="BB19" i="7"/>
  <c r="BA19" i="7"/>
  <c r="W73" i="7"/>
  <c r="W23" i="7"/>
  <c r="AT73" i="7"/>
  <c r="AS23" i="7"/>
  <c r="Z70" i="7"/>
  <c r="Z20" i="7"/>
  <c r="AJ19" i="7"/>
  <c r="AH19" i="7"/>
  <c r="AI19" i="7"/>
  <c r="AO70" i="7"/>
  <c r="AN20" i="7"/>
  <c r="AV70" i="7"/>
  <c r="AU20" i="7"/>
  <c r="AG70" i="7"/>
  <c r="AG20" i="7"/>
  <c r="AE70" i="7"/>
  <c r="AE20" i="7"/>
  <c r="V70" i="7"/>
  <c r="V20" i="7"/>
  <c r="AW70" i="7"/>
  <c r="AV20" i="7"/>
  <c r="U70" i="7"/>
  <c r="U20" i="7"/>
  <c r="AQ71" i="7"/>
  <c r="AP21" i="7"/>
  <c r="AX71" i="7"/>
  <c r="AW21" i="7"/>
  <c r="AR70" i="7"/>
  <c r="AQ20" i="7"/>
  <c r="Y70" i="7"/>
  <c r="Y20" i="7"/>
  <c r="AF71" i="7"/>
  <c r="AF21" i="7"/>
  <c r="AS70" i="7"/>
  <c r="AR20" i="7"/>
  <c r="AA94" i="7"/>
  <c r="AA45" i="7" s="1"/>
  <c r="AA44" i="7"/>
  <c r="AY94" i="7"/>
  <c r="AX45" i="7" s="1"/>
  <c r="AX44" i="7"/>
  <c r="X94" i="7"/>
  <c r="X45" i="7" s="1"/>
  <c r="X44" i="7"/>
  <c r="AZ94" i="7"/>
  <c r="AY45" i="7" s="1"/>
  <c r="AY44" i="7"/>
  <c r="AP80" i="7"/>
  <c r="AO30" i="7"/>
  <c r="AB94" i="7"/>
  <c r="AB45" i="7" s="1"/>
  <c r="AB44" i="7"/>
  <c r="AU94" i="7"/>
  <c r="AT45" i="7" s="1"/>
  <c r="AT44" i="7"/>
  <c r="AC90" i="7"/>
  <c r="AC40" i="7"/>
  <c r="X46" i="7" l="1"/>
  <c r="AT46" i="7"/>
  <c r="BA79" i="7"/>
  <c r="AZ29" i="7"/>
  <c r="AB47" i="7"/>
  <c r="AX47" i="7"/>
  <c r="AY47" i="7"/>
  <c r="X48" i="7"/>
  <c r="AD71" i="7"/>
  <c r="AD21" i="7"/>
  <c r="Y71" i="7"/>
  <c r="Y21" i="7"/>
  <c r="U71" i="7"/>
  <c r="U21" i="7"/>
  <c r="AG71" i="7"/>
  <c r="AG21" i="7"/>
  <c r="AH20" i="7"/>
  <c r="AI20" i="7"/>
  <c r="BC20" i="7"/>
  <c r="BB20" i="7"/>
  <c r="BA20" i="7"/>
  <c r="AT74" i="7"/>
  <c r="AS24" i="7"/>
  <c r="AF72" i="7"/>
  <c r="AF22" i="7"/>
  <c r="AR71" i="7"/>
  <c r="AQ21" i="7"/>
  <c r="AQ72" i="7"/>
  <c r="AP22" i="7"/>
  <c r="AW71" i="7"/>
  <c r="AV21" i="7"/>
  <c r="AE71" i="7"/>
  <c r="AE21" i="7"/>
  <c r="AV71" i="7"/>
  <c r="AU21" i="7"/>
  <c r="AJ20" i="7"/>
  <c r="AA47" i="7"/>
  <c r="AX72" i="7"/>
  <c r="AW22" i="7"/>
  <c r="V71" i="7"/>
  <c r="V21" i="7"/>
  <c r="AO71" i="7"/>
  <c r="AN21" i="7"/>
  <c r="Z71" i="7"/>
  <c r="Z21" i="7"/>
  <c r="W74" i="7"/>
  <c r="W24" i="7"/>
  <c r="AY48" i="7"/>
  <c r="AX48" i="7"/>
  <c r="X47" i="7"/>
  <c r="AR21" i="7"/>
  <c r="AS71" i="7"/>
  <c r="AB46" i="7"/>
  <c r="AC91" i="7"/>
  <c r="AC41" i="7"/>
  <c r="AA46" i="7"/>
  <c r="AX46" i="7"/>
  <c r="AY46" i="7"/>
  <c r="AA48" i="7"/>
  <c r="AP81" i="7"/>
  <c r="AO31" i="7"/>
  <c r="AT48" i="7"/>
  <c r="AB48" i="7"/>
  <c r="AT47" i="7"/>
  <c r="BA80" i="7" l="1"/>
  <c r="AZ30" i="7"/>
  <c r="AD72" i="7"/>
  <c r="AD22" i="7"/>
  <c r="AJ21" i="7"/>
  <c r="AG72" i="7"/>
  <c r="AG22" i="7"/>
  <c r="Y72" i="7"/>
  <c r="Y22" i="7"/>
  <c r="AO72" i="7"/>
  <c r="AN22" i="7"/>
  <c r="BA21" i="7"/>
  <c r="BC21" i="7"/>
  <c r="BB21" i="7"/>
  <c r="U72" i="7"/>
  <c r="U22" i="7"/>
  <c r="AS72" i="7"/>
  <c r="AR22" i="7"/>
  <c r="Z72" i="7"/>
  <c r="Z22" i="7"/>
  <c r="AX73" i="7"/>
  <c r="AW23" i="7"/>
  <c r="AE72" i="7"/>
  <c r="AE22" i="7"/>
  <c r="AQ73" i="7"/>
  <c r="AP23" i="7"/>
  <c r="AF73" i="7"/>
  <c r="AF23" i="7"/>
  <c r="W75" i="7"/>
  <c r="W25" i="7"/>
  <c r="V72" i="7"/>
  <c r="V22" i="7"/>
  <c r="AV72" i="7"/>
  <c r="AU22" i="7"/>
  <c r="AW72" i="7"/>
  <c r="AV22" i="7"/>
  <c r="AR72" i="7"/>
  <c r="AQ22" i="7"/>
  <c r="AT75" i="7"/>
  <c r="AS25" i="7"/>
  <c r="AI21" i="7"/>
  <c r="AH21" i="7"/>
  <c r="AC92" i="7"/>
  <c r="AC42" i="7"/>
  <c r="AP82" i="7"/>
  <c r="AO32" i="7"/>
  <c r="BA81" i="7" l="1"/>
  <c r="AZ31" i="7"/>
  <c r="AD73" i="7"/>
  <c r="AD23" i="7"/>
  <c r="AW73" i="7"/>
  <c r="AV23" i="7"/>
  <c r="AF74" i="7"/>
  <c r="AF24" i="7"/>
  <c r="AO73" i="7"/>
  <c r="AN23" i="7"/>
  <c r="U73" i="7"/>
  <c r="U23" i="7"/>
  <c r="BA22" i="7"/>
  <c r="BC22" i="7"/>
  <c r="BB22" i="7"/>
  <c r="AJ22" i="7"/>
  <c r="AT76" i="7"/>
  <c r="AS26" i="7"/>
  <c r="V73" i="7"/>
  <c r="V23" i="7"/>
  <c r="AE73" i="7"/>
  <c r="AE23" i="7"/>
  <c r="Z73" i="7"/>
  <c r="Z23" i="7"/>
  <c r="AG73" i="7"/>
  <c r="AG23" i="7"/>
  <c r="AR73" i="7"/>
  <c r="AQ23" i="7"/>
  <c r="AV73" i="7"/>
  <c r="AU23" i="7"/>
  <c r="W76" i="7"/>
  <c r="W26" i="7"/>
  <c r="AQ74" i="7"/>
  <c r="AP24" i="7"/>
  <c r="AX74" i="7"/>
  <c r="AW24" i="7"/>
  <c r="AS73" i="7"/>
  <c r="AR23" i="7"/>
  <c r="AH22" i="7"/>
  <c r="AI22" i="7"/>
  <c r="Y73" i="7"/>
  <c r="Y23" i="7"/>
  <c r="AP83" i="7"/>
  <c r="AO33" i="7"/>
  <c r="AC93" i="7"/>
  <c r="AC43" i="7"/>
  <c r="BA82" i="7" l="1"/>
  <c r="AZ32" i="7"/>
  <c r="AD24" i="7"/>
  <c r="AD74" i="7"/>
  <c r="Y74" i="7"/>
  <c r="Y24" i="7"/>
  <c r="AX75" i="7"/>
  <c r="AW25" i="7"/>
  <c r="AR74" i="7"/>
  <c r="AQ24" i="7"/>
  <c r="U74" i="7"/>
  <c r="U24" i="7"/>
  <c r="AW74" i="7"/>
  <c r="AV24" i="7"/>
  <c r="AI23" i="7"/>
  <c r="AH23" i="7"/>
  <c r="BC23" i="7"/>
  <c r="BB23" i="7"/>
  <c r="BA23" i="7"/>
  <c r="AS74" i="7"/>
  <c r="AR24" i="7"/>
  <c r="AQ75" i="7"/>
  <c r="AP25" i="7"/>
  <c r="AV74" i="7"/>
  <c r="AU24" i="7"/>
  <c r="AG74" i="7"/>
  <c r="AG24" i="7"/>
  <c r="AE74" i="7"/>
  <c r="AE24" i="7"/>
  <c r="AT77" i="7"/>
  <c r="AS27" i="7"/>
  <c r="AF75" i="7"/>
  <c r="AF25" i="7"/>
  <c r="AJ23" i="7"/>
  <c r="W77" i="7"/>
  <c r="W27" i="7"/>
  <c r="Z74" i="7"/>
  <c r="Z24" i="7"/>
  <c r="V74" i="7"/>
  <c r="V24" i="7"/>
  <c r="AO74" i="7"/>
  <c r="AN24" i="7"/>
  <c r="AP84" i="7"/>
  <c r="AO34" i="7"/>
  <c r="AC44" i="7"/>
  <c r="AC94" i="7"/>
  <c r="AC45" i="7" s="1"/>
  <c r="AJ24" i="7" l="1"/>
  <c r="BA83" i="7"/>
  <c r="AZ33" i="7"/>
  <c r="AD75" i="7"/>
  <c r="AD25" i="7"/>
  <c r="AE75" i="7"/>
  <c r="AE25" i="7"/>
  <c r="AV75" i="7"/>
  <c r="AU25" i="7"/>
  <c r="AX76" i="7"/>
  <c r="AW26" i="7"/>
  <c r="AO75" i="7"/>
  <c r="AN25" i="7"/>
  <c r="Z75" i="7"/>
  <c r="Z25" i="7"/>
  <c r="AT78" i="7"/>
  <c r="AS28" i="7"/>
  <c r="AG75" i="7"/>
  <c r="AG25" i="7"/>
  <c r="AQ76" i="7"/>
  <c r="AP26" i="7"/>
  <c r="AH24" i="7"/>
  <c r="AI24" i="7"/>
  <c r="AF76" i="7"/>
  <c r="AF26" i="7"/>
  <c r="AS75" i="7"/>
  <c r="AR25" i="7"/>
  <c r="U75" i="7"/>
  <c r="U25" i="7"/>
  <c r="BA24" i="7"/>
  <c r="BC24" i="7"/>
  <c r="BB24" i="7"/>
  <c r="AW75" i="7"/>
  <c r="AV25" i="7"/>
  <c r="AR75" i="7"/>
  <c r="AQ25" i="7"/>
  <c r="Y75" i="7"/>
  <c r="Y25" i="7"/>
  <c r="V75" i="7"/>
  <c r="V25" i="7"/>
  <c r="W78" i="7"/>
  <c r="W28" i="7"/>
  <c r="AC48" i="7"/>
  <c r="AC46" i="7"/>
  <c r="AC47" i="7"/>
  <c r="AP85" i="7"/>
  <c r="AO35" i="7"/>
  <c r="BA84" i="7" l="1"/>
  <c r="AZ34" i="7"/>
  <c r="AD76" i="7"/>
  <c r="AD26" i="7"/>
  <c r="AJ25" i="7"/>
  <c r="Y76" i="7"/>
  <c r="Y26" i="7"/>
  <c r="AW76" i="7"/>
  <c r="AV26" i="7"/>
  <c r="W79" i="7"/>
  <c r="W29" i="7"/>
  <c r="U76" i="7"/>
  <c r="U26" i="7"/>
  <c r="AS76" i="7"/>
  <c r="AR26" i="7"/>
  <c r="AG76" i="7"/>
  <c r="AG26" i="7"/>
  <c r="Z76" i="7"/>
  <c r="Z26" i="7"/>
  <c r="AX77" i="7"/>
  <c r="AW27" i="7"/>
  <c r="AE76" i="7"/>
  <c r="AE26" i="7"/>
  <c r="AF77" i="7"/>
  <c r="AF27" i="7"/>
  <c r="V76" i="7"/>
  <c r="V26" i="7"/>
  <c r="AR76" i="7"/>
  <c r="AQ26" i="7"/>
  <c r="AI25" i="7"/>
  <c r="AH25" i="7"/>
  <c r="AQ77" i="7"/>
  <c r="AP27" i="7"/>
  <c r="AS29" i="7"/>
  <c r="AT79" i="7"/>
  <c r="AO76" i="7"/>
  <c r="AN26" i="7"/>
  <c r="AV76" i="7"/>
  <c r="AU26" i="7"/>
  <c r="BC25" i="7"/>
  <c r="BB25" i="7"/>
  <c r="BA25" i="7"/>
  <c r="AP86" i="7"/>
  <c r="AO36" i="7"/>
  <c r="BA85" i="7" l="1"/>
  <c r="AZ35" i="7"/>
  <c r="AD27" i="7"/>
  <c r="AD77" i="7"/>
  <c r="AE77" i="7"/>
  <c r="AE27" i="7"/>
  <c r="Z77" i="7"/>
  <c r="Z27" i="7"/>
  <c r="AW77" i="7"/>
  <c r="AV27" i="7"/>
  <c r="AV77" i="7"/>
  <c r="AU27" i="7"/>
  <c r="V77" i="7"/>
  <c r="V27" i="7"/>
  <c r="AS30" i="7"/>
  <c r="AT80" i="7"/>
  <c r="AX78" i="7"/>
  <c r="AW28" i="7"/>
  <c r="AG77" i="7"/>
  <c r="AG27" i="7"/>
  <c r="AS77" i="7"/>
  <c r="AR27" i="7"/>
  <c r="W80" i="7"/>
  <c r="W30" i="7"/>
  <c r="Y77" i="7"/>
  <c r="Y27" i="7"/>
  <c r="AJ26" i="7"/>
  <c r="AH26" i="7"/>
  <c r="AI26" i="7"/>
  <c r="AO77" i="7"/>
  <c r="AN27" i="7"/>
  <c r="AQ78" i="7"/>
  <c r="AP28" i="7"/>
  <c r="AR77" i="7"/>
  <c r="AQ27" i="7"/>
  <c r="AF78" i="7"/>
  <c r="AF28" i="7"/>
  <c r="BC26" i="7"/>
  <c r="BA26" i="7"/>
  <c r="BB26" i="7"/>
  <c r="U77" i="7"/>
  <c r="U27" i="7"/>
  <c r="AP87" i="7"/>
  <c r="AO37" i="7"/>
  <c r="BA86" i="7" l="1"/>
  <c r="AZ36" i="7"/>
  <c r="AD28" i="7"/>
  <c r="AD78" i="7"/>
  <c r="AJ27" i="7"/>
  <c r="AH27" i="7"/>
  <c r="AI27" i="7"/>
  <c r="AF79" i="7"/>
  <c r="AF29" i="7"/>
  <c r="AQ79" i="7"/>
  <c r="AP29" i="7"/>
  <c r="AS31" i="7"/>
  <c r="AT81" i="7"/>
  <c r="Y78" i="7"/>
  <c r="Y28" i="7"/>
  <c r="AS78" i="7"/>
  <c r="AR28" i="7"/>
  <c r="AW29" i="7"/>
  <c r="AX79" i="7"/>
  <c r="AR78" i="7"/>
  <c r="AQ28" i="7"/>
  <c r="AO78" i="7"/>
  <c r="AN28" i="7"/>
  <c r="U78" i="7"/>
  <c r="U28" i="7"/>
  <c r="BC27" i="7"/>
  <c r="BA27" i="7"/>
  <c r="BB27" i="7"/>
  <c r="W81" i="7"/>
  <c r="W31" i="7"/>
  <c r="AG78" i="7"/>
  <c r="AG28" i="7"/>
  <c r="V78" i="7"/>
  <c r="V28" i="7"/>
  <c r="AW78" i="7"/>
  <c r="AV28" i="7"/>
  <c r="Z78" i="7"/>
  <c r="Z28" i="7"/>
  <c r="AV78" i="7"/>
  <c r="AU28" i="7"/>
  <c r="AE78" i="7"/>
  <c r="AE28" i="7"/>
  <c r="AP88" i="7"/>
  <c r="AO38" i="7"/>
  <c r="BA87" i="7" l="1"/>
  <c r="AZ37" i="7"/>
  <c r="AD79" i="7"/>
  <c r="AD29" i="7"/>
  <c r="U79" i="7"/>
  <c r="U29" i="7"/>
  <c r="BC28" i="7"/>
  <c r="BB28" i="7"/>
  <c r="BA28" i="7"/>
  <c r="AW30" i="7"/>
  <c r="AX80" i="7"/>
  <c r="AE79" i="7"/>
  <c r="AE29" i="7"/>
  <c r="AV79" i="7"/>
  <c r="AU29" i="7"/>
  <c r="Z29" i="7"/>
  <c r="Z79" i="7"/>
  <c r="V29" i="7"/>
  <c r="V79" i="7"/>
  <c r="W82" i="7"/>
  <c r="W32" i="7"/>
  <c r="AI28" i="7"/>
  <c r="AH28" i="7"/>
  <c r="AR79" i="7"/>
  <c r="AQ29" i="7"/>
  <c r="AS79" i="7"/>
  <c r="AR29" i="7"/>
  <c r="AF80" i="7"/>
  <c r="AF30" i="7"/>
  <c r="AO79" i="7"/>
  <c r="AN29" i="7"/>
  <c r="AT82" i="7"/>
  <c r="AS32" i="7"/>
  <c r="AW79" i="7"/>
  <c r="AV29" i="7"/>
  <c r="AG79" i="7"/>
  <c r="AG29" i="7"/>
  <c r="Y79" i="7"/>
  <c r="Y29" i="7"/>
  <c r="AQ80" i="7"/>
  <c r="AP30" i="7"/>
  <c r="AJ28" i="7"/>
  <c r="AP89" i="7"/>
  <c r="AO39" i="7"/>
  <c r="AZ38" i="7" l="1"/>
  <c r="BA88" i="7"/>
  <c r="AD30" i="7"/>
  <c r="AD80" i="7"/>
  <c r="AG80" i="7"/>
  <c r="AG30" i="7"/>
  <c r="BA29" i="7"/>
  <c r="BB29" i="7"/>
  <c r="BC29" i="7"/>
  <c r="Z30" i="7"/>
  <c r="Z80" i="7"/>
  <c r="AS80" i="7"/>
  <c r="AR30" i="7"/>
  <c r="AV80" i="7"/>
  <c r="AU30" i="7"/>
  <c r="AS33" i="7"/>
  <c r="AT83" i="7"/>
  <c r="AF81" i="7"/>
  <c r="AF31" i="7"/>
  <c r="W83" i="7"/>
  <c r="W33" i="7"/>
  <c r="AQ81" i="7"/>
  <c r="AP31" i="7"/>
  <c r="Y80" i="7"/>
  <c r="Y30" i="7"/>
  <c r="AW80" i="7"/>
  <c r="AV30" i="7"/>
  <c r="V80" i="7"/>
  <c r="V30" i="7"/>
  <c r="AW31" i="7"/>
  <c r="AX81" i="7"/>
  <c r="U80" i="7"/>
  <c r="U30" i="7"/>
  <c r="AO80" i="7"/>
  <c r="AN30" i="7"/>
  <c r="AR80" i="7"/>
  <c r="AQ30" i="7"/>
  <c r="AE80" i="7"/>
  <c r="AE30" i="7"/>
  <c r="AH29" i="7"/>
  <c r="AI29" i="7"/>
  <c r="AJ29" i="7"/>
  <c r="AP90" i="7"/>
  <c r="AO40" i="7"/>
  <c r="AZ39" i="7" l="1"/>
  <c r="BA89" i="7"/>
  <c r="AD81" i="7"/>
  <c r="AD31" i="7"/>
  <c r="AF82" i="7"/>
  <c r="AF32" i="7"/>
  <c r="AW32" i="7"/>
  <c r="AX82" i="7"/>
  <c r="AG81" i="7"/>
  <c r="AG31" i="7"/>
  <c r="AE81" i="7"/>
  <c r="AE31" i="7"/>
  <c r="AO81" i="7"/>
  <c r="AN31" i="7"/>
  <c r="U81" i="7"/>
  <c r="U31" i="7"/>
  <c r="V31" i="7"/>
  <c r="V81" i="7"/>
  <c r="Y81" i="7"/>
  <c r="Y31" i="7"/>
  <c r="W84" i="7"/>
  <c r="W34" i="7"/>
  <c r="AV81" i="7"/>
  <c r="AU31" i="7"/>
  <c r="AR81" i="7"/>
  <c r="AQ31" i="7"/>
  <c r="AW81" i="7"/>
  <c r="AV31" i="7"/>
  <c r="BB30" i="7"/>
  <c r="BC30" i="7"/>
  <c r="BA30" i="7"/>
  <c r="AI30" i="7"/>
  <c r="AJ30" i="7"/>
  <c r="AH30" i="7"/>
  <c r="AT84" i="7"/>
  <c r="AS34" i="7"/>
  <c r="Z81" i="7"/>
  <c r="Z31" i="7"/>
  <c r="AQ82" i="7"/>
  <c r="AP32" i="7"/>
  <c r="AS81" i="7"/>
  <c r="AR31" i="7"/>
  <c r="AP91" i="7"/>
  <c r="AO41" i="7"/>
  <c r="BA90" i="7" l="1"/>
  <c r="AZ40" i="7"/>
  <c r="AD32" i="7"/>
  <c r="AD82" i="7"/>
  <c r="AQ83" i="7"/>
  <c r="AP33" i="7"/>
  <c r="V32" i="7"/>
  <c r="V82" i="7"/>
  <c r="BB31" i="7"/>
  <c r="BC31" i="7"/>
  <c r="BA31" i="7"/>
  <c r="AS82" i="7"/>
  <c r="AR32" i="7"/>
  <c r="AW82" i="7"/>
  <c r="AV32" i="7"/>
  <c r="AV82" i="7"/>
  <c r="AU32" i="7"/>
  <c r="Y82" i="7"/>
  <c r="Y32" i="7"/>
  <c r="U82" i="7"/>
  <c r="U32" i="7"/>
  <c r="AE82" i="7"/>
  <c r="AE32" i="7"/>
  <c r="AF83" i="7"/>
  <c r="AF33" i="7"/>
  <c r="AT85" i="7"/>
  <c r="AS35" i="7"/>
  <c r="AH31" i="7"/>
  <c r="AI31" i="7"/>
  <c r="AJ31" i="7"/>
  <c r="AR82" i="7"/>
  <c r="AQ32" i="7"/>
  <c r="W85" i="7"/>
  <c r="W35" i="7"/>
  <c r="AO82" i="7"/>
  <c r="AN32" i="7"/>
  <c r="AG82" i="7"/>
  <c r="AG32" i="7"/>
  <c r="Z32" i="7"/>
  <c r="Z82" i="7"/>
  <c r="AW33" i="7"/>
  <c r="AX83" i="7"/>
  <c r="AP92" i="7"/>
  <c r="AO42" i="7"/>
  <c r="AZ41" i="7" l="1"/>
  <c r="BA91" i="7"/>
  <c r="AD83" i="7"/>
  <c r="AD33" i="7"/>
  <c r="Z33" i="7"/>
  <c r="Z83" i="7"/>
  <c r="AG83" i="7"/>
  <c r="AG33" i="7"/>
  <c r="W86" i="7"/>
  <c r="W36" i="7"/>
  <c r="AS36" i="7"/>
  <c r="AT86" i="7"/>
  <c r="AE83" i="7"/>
  <c r="AE33" i="7"/>
  <c r="Y83" i="7"/>
  <c r="Y33" i="7"/>
  <c r="AW83" i="7"/>
  <c r="AV33" i="7"/>
  <c r="V83" i="7"/>
  <c r="V33" i="7"/>
  <c r="AX84" i="7"/>
  <c r="AW34" i="7"/>
  <c r="AO83" i="7"/>
  <c r="AN33" i="7"/>
  <c r="AR83" i="7"/>
  <c r="AQ33" i="7"/>
  <c r="AF84" i="7"/>
  <c r="AF34" i="7"/>
  <c r="U83" i="7"/>
  <c r="U33" i="7"/>
  <c r="AV83" i="7"/>
  <c r="AU33" i="7"/>
  <c r="AS83" i="7"/>
  <c r="AR33" i="7"/>
  <c r="AQ84" i="7"/>
  <c r="AP34" i="7"/>
  <c r="BA32" i="7"/>
  <c r="BB32" i="7"/>
  <c r="BC32" i="7"/>
  <c r="AI32" i="7"/>
  <c r="AH32" i="7"/>
  <c r="AJ32" i="7"/>
  <c r="AP93" i="7"/>
  <c r="AO43" i="7"/>
  <c r="AZ42" i="7" l="1"/>
  <c r="BA92" i="7"/>
  <c r="AD84" i="7"/>
  <c r="AD34" i="7"/>
  <c r="AQ85" i="7"/>
  <c r="AP35" i="7"/>
  <c r="AS84" i="7"/>
  <c r="AR34" i="7"/>
  <c r="U84" i="7"/>
  <c r="U34" i="7"/>
  <c r="AO84" i="7"/>
  <c r="AN34" i="7"/>
  <c r="V34" i="7"/>
  <c r="V84" i="7"/>
  <c r="AW84" i="7"/>
  <c r="AV34" i="7"/>
  <c r="AE84" i="7"/>
  <c r="AE34" i="7"/>
  <c r="W87" i="7"/>
  <c r="W37" i="7"/>
  <c r="AH33" i="7"/>
  <c r="AJ33" i="7"/>
  <c r="AI33" i="7"/>
  <c r="BA33" i="7"/>
  <c r="BC33" i="7"/>
  <c r="BB33" i="7"/>
  <c r="Z34" i="7"/>
  <c r="Z84" i="7"/>
  <c r="Y84" i="7"/>
  <c r="Y34" i="7"/>
  <c r="AV84" i="7"/>
  <c r="AU34" i="7"/>
  <c r="AF85" i="7"/>
  <c r="AF35" i="7"/>
  <c r="AR84" i="7"/>
  <c r="AQ34" i="7"/>
  <c r="AW35" i="7"/>
  <c r="AX85" i="7"/>
  <c r="AG84" i="7"/>
  <c r="AG34" i="7"/>
  <c r="AT87" i="7"/>
  <c r="AS37" i="7"/>
  <c r="AP94" i="7"/>
  <c r="AO45" i="7" s="1"/>
  <c r="AO44" i="7"/>
  <c r="BA93" i="7" l="1"/>
  <c r="AZ43" i="7"/>
  <c r="AD35" i="7"/>
  <c r="AD85" i="7"/>
  <c r="AG85" i="7"/>
  <c r="AG35" i="7"/>
  <c r="AR85" i="7"/>
  <c r="AQ35" i="7"/>
  <c r="AV85" i="7"/>
  <c r="AU35" i="7"/>
  <c r="Z35" i="7"/>
  <c r="Z85" i="7"/>
  <c r="AE85" i="7"/>
  <c r="AE35" i="7"/>
  <c r="AS85" i="7"/>
  <c r="AR35" i="7"/>
  <c r="V85" i="7"/>
  <c r="V35" i="7"/>
  <c r="Y85" i="7"/>
  <c r="Y35" i="7"/>
  <c r="AS38" i="7"/>
  <c r="AT88" i="7"/>
  <c r="AF86" i="7"/>
  <c r="AF36" i="7"/>
  <c r="W88" i="7"/>
  <c r="W38" i="7"/>
  <c r="AW85" i="7"/>
  <c r="AV35" i="7"/>
  <c r="AO85" i="7"/>
  <c r="AN35" i="7"/>
  <c r="U85" i="7"/>
  <c r="U35" i="7"/>
  <c r="AQ86" i="7"/>
  <c r="AP36" i="7"/>
  <c r="AW36" i="7"/>
  <c r="AX86" i="7"/>
  <c r="BC34" i="7"/>
  <c r="BA34" i="7"/>
  <c r="BB34" i="7"/>
  <c r="AI34" i="7"/>
  <c r="AJ34" i="7"/>
  <c r="AH34" i="7"/>
  <c r="AO48" i="7"/>
  <c r="AO47" i="7"/>
  <c r="AO46" i="7"/>
  <c r="BA94" i="7" l="1"/>
  <c r="AZ45" i="7" s="1"/>
  <c r="AZ44" i="7"/>
  <c r="AD86" i="7"/>
  <c r="AD36" i="7"/>
  <c r="U86" i="7"/>
  <c r="U36" i="7"/>
  <c r="AW86" i="7"/>
  <c r="AV36" i="7"/>
  <c r="Y86" i="7"/>
  <c r="Y36" i="7"/>
  <c r="AS86" i="7"/>
  <c r="AR36" i="7"/>
  <c r="AR86" i="7"/>
  <c r="AQ36" i="7"/>
  <c r="AX87" i="7"/>
  <c r="AW37" i="7"/>
  <c r="AH35" i="7"/>
  <c r="AJ35" i="7"/>
  <c r="AI35" i="7"/>
  <c r="Z36" i="7"/>
  <c r="Z86" i="7"/>
  <c r="AQ87" i="7"/>
  <c r="AP37" i="7"/>
  <c r="AO86" i="7"/>
  <c r="AN36" i="7"/>
  <c r="W89" i="7"/>
  <c r="W39" i="7"/>
  <c r="V36" i="7"/>
  <c r="V86" i="7"/>
  <c r="AE86" i="7"/>
  <c r="AE36" i="7"/>
  <c r="AV86" i="7"/>
  <c r="AU36" i="7"/>
  <c r="AG86" i="7"/>
  <c r="AG36" i="7"/>
  <c r="BB35" i="7"/>
  <c r="BC35" i="7"/>
  <c r="BA35" i="7"/>
  <c r="AS39" i="7"/>
  <c r="AT89" i="7"/>
  <c r="AF87" i="7"/>
  <c r="AF37" i="7"/>
  <c r="AZ48" i="7" l="1"/>
  <c r="AZ47" i="7"/>
  <c r="AZ46" i="7"/>
  <c r="AD87" i="7"/>
  <c r="AD37" i="7"/>
  <c r="AE87" i="7"/>
  <c r="AE37" i="7"/>
  <c r="AS40" i="7"/>
  <c r="AT90" i="7"/>
  <c r="AV87" i="7"/>
  <c r="AU37" i="7"/>
  <c r="AO87" i="7"/>
  <c r="AN37" i="7"/>
  <c r="AX88" i="7"/>
  <c r="AW38" i="7"/>
  <c r="AF88" i="7"/>
  <c r="AF38" i="7"/>
  <c r="V37" i="7"/>
  <c r="V87" i="7"/>
  <c r="BB36" i="7"/>
  <c r="BC36" i="7"/>
  <c r="BA36" i="7"/>
  <c r="AS87" i="7"/>
  <c r="AR37" i="7"/>
  <c r="Y87" i="7"/>
  <c r="Y37" i="7"/>
  <c r="U87" i="7"/>
  <c r="U37" i="7"/>
  <c r="AG87" i="7"/>
  <c r="AG37" i="7"/>
  <c r="W90" i="7"/>
  <c r="W40" i="7"/>
  <c r="AQ88" i="7"/>
  <c r="AP38" i="7"/>
  <c r="Z37" i="7"/>
  <c r="Z87" i="7"/>
  <c r="AR87" i="7"/>
  <c r="AQ37" i="7"/>
  <c r="AH36" i="7"/>
  <c r="AJ36" i="7"/>
  <c r="AI36" i="7"/>
  <c r="AW87" i="7"/>
  <c r="AV37" i="7"/>
  <c r="BA10" i="9"/>
  <c r="BA11" i="9"/>
  <c r="BA12" i="9"/>
  <c r="BA13" i="9"/>
  <c r="BA14" i="9"/>
  <c r="BA15" i="9"/>
  <c r="BA16" i="9"/>
  <c r="BA17" i="9"/>
  <c r="BA18" i="9"/>
  <c r="BA19" i="9"/>
  <c r="BA20" i="9"/>
  <c r="BA21" i="9"/>
  <c r="BA22" i="9"/>
  <c r="BA23" i="9"/>
  <c r="BA24" i="9"/>
  <c r="BA25" i="9"/>
  <c r="BA26" i="9"/>
  <c r="BA27" i="9"/>
  <c r="BA28" i="9"/>
  <c r="BA29" i="9"/>
  <c r="BA30" i="9"/>
  <c r="BA31" i="9"/>
  <c r="BA32" i="9"/>
  <c r="BA33" i="9"/>
  <c r="BA34" i="9"/>
  <c r="BA35" i="9"/>
  <c r="BA36" i="9"/>
  <c r="BA37" i="9"/>
  <c r="BA38" i="9"/>
  <c r="BA39" i="9"/>
  <c r="BA9" i="9"/>
  <c r="AD88" i="7" l="1"/>
  <c r="AD38" i="7"/>
  <c r="AF89" i="7"/>
  <c r="AF39" i="7"/>
  <c r="AT91" i="7"/>
  <c r="AS41" i="7"/>
  <c r="AR88" i="7"/>
  <c r="AQ38" i="7"/>
  <c r="AQ89" i="7"/>
  <c r="AP39" i="7"/>
  <c r="AG38" i="7"/>
  <c r="AG88" i="7"/>
  <c r="U88" i="7"/>
  <c r="U38" i="7"/>
  <c r="AS88" i="7"/>
  <c r="AR38" i="7"/>
  <c r="AN38" i="7"/>
  <c r="AO88" i="7"/>
  <c r="AV88" i="7"/>
  <c r="AU38" i="7"/>
  <c r="AE88" i="7"/>
  <c r="AE38" i="7"/>
  <c r="AH37" i="7"/>
  <c r="AJ37" i="7"/>
  <c r="AI37" i="7"/>
  <c r="AW39" i="7"/>
  <c r="AX89" i="7"/>
  <c r="BC37" i="7"/>
  <c r="BB37" i="7"/>
  <c r="BA37" i="7"/>
  <c r="W91" i="7"/>
  <c r="W41" i="7"/>
  <c r="Y88" i="7"/>
  <c r="Y38" i="7"/>
  <c r="V38" i="7"/>
  <c r="V88" i="7"/>
  <c r="AV38" i="7"/>
  <c r="AW88" i="7"/>
  <c r="Z38" i="7"/>
  <c r="Z88" i="7"/>
  <c r="BA60" i="9"/>
  <c r="BA61" i="9" s="1"/>
  <c r="BA62" i="9" s="1"/>
  <c r="BA63" i="9" s="1"/>
  <c r="BA64" i="9" s="1"/>
  <c r="BA65" i="9" s="1"/>
  <c r="BA66" i="9" s="1"/>
  <c r="BA67" i="9" s="1"/>
  <c r="BA68" i="9" s="1"/>
  <c r="BA69" i="9" s="1"/>
  <c r="BA70" i="9" s="1"/>
  <c r="BA71" i="9" s="1"/>
  <c r="BA72" i="9" s="1"/>
  <c r="BA73" i="9" s="1"/>
  <c r="BA74" i="9" s="1"/>
  <c r="BA75" i="9" s="1"/>
  <c r="BA76" i="9" s="1"/>
  <c r="BA77" i="9" s="1"/>
  <c r="BA78" i="9" s="1"/>
  <c r="BA79" i="9" s="1"/>
  <c r="BA80" i="9" s="1"/>
  <c r="BA81" i="9" s="1"/>
  <c r="BA82" i="9" s="1"/>
  <c r="BA83" i="9" s="1"/>
  <c r="BA84" i="9" s="1"/>
  <c r="BA85" i="9" s="1"/>
  <c r="BA86" i="9" s="1"/>
  <c r="BA87" i="9" s="1"/>
  <c r="BA88" i="9" s="1"/>
  <c r="AZ60" i="9"/>
  <c r="AZ61" i="9" s="1"/>
  <c r="AZ62" i="9" s="1"/>
  <c r="AZ63" i="9" s="1"/>
  <c r="AZ64" i="9" s="1"/>
  <c r="AZ65" i="9" s="1"/>
  <c r="AZ66" i="9" s="1"/>
  <c r="AZ67" i="9" s="1"/>
  <c r="AZ68" i="9" s="1"/>
  <c r="AZ69" i="9" s="1"/>
  <c r="AZ70" i="9" s="1"/>
  <c r="AZ71" i="9" s="1"/>
  <c r="AZ72" i="9" s="1"/>
  <c r="AZ73" i="9" s="1"/>
  <c r="AZ74" i="9" s="1"/>
  <c r="AZ75" i="9" s="1"/>
  <c r="AZ76" i="9" s="1"/>
  <c r="AZ77" i="9" s="1"/>
  <c r="AZ78" i="9" s="1"/>
  <c r="AZ79" i="9" s="1"/>
  <c r="AZ80" i="9" s="1"/>
  <c r="AZ81" i="9" s="1"/>
  <c r="AZ82" i="9" s="1"/>
  <c r="AZ83" i="9" s="1"/>
  <c r="AZ84" i="9" s="1"/>
  <c r="AZ85" i="9" s="1"/>
  <c r="AZ86" i="9" s="1"/>
  <c r="AZ87" i="9" s="1"/>
  <c r="AZ88" i="9" s="1"/>
  <c r="AY60" i="9"/>
  <c r="AY61" i="9" s="1"/>
  <c r="AY62" i="9" s="1"/>
  <c r="AY63" i="9" s="1"/>
  <c r="AY64" i="9" s="1"/>
  <c r="AY65" i="9" s="1"/>
  <c r="AY66" i="9" s="1"/>
  <c r="AY67" i="9" s="1"/>
  <c r="AY68" i="9" s="1"/>
  <c r="AY69" i="9" s="1"/>
  <c r="AY70" i="9" s="1"/>
  <c r="AY71" i="9" s="1"/>
  <c r="AY72" i="9" s="1"/>
  <c r="AY73" i="9" s="1"/>
  <c r="AY74" i="9" s="1"/>
  <c r="AY75" i="9" s="1"/>
  <c r="AY76" i="9" s="1"/>
  <c r="AY77" i="9" s="1"/>
  <c r="AY78" i="9" s="1"/>
  <c r="AY79" i="9" s="1"/>
  <c r="AY80" i="9" s="1"/>
  <c r="AY81" i="9" s="1"/>
  <c r="AY82" i="9" s="1"/>
  <c r="AY83" i="9" s="1"/>
  <c r="AY84" i="9" s="1"/>
  <c r="AY85" i="9" s="1"/>
  <c r="AY86" i="9" s="1"/>
  <c r="AY87" i="9" s="1"/>
  <c r="AY88" i="9" s="1"/>
  <c r="AX60" i="9"/>
  <c r="AX61" i="9" s="1"/>
  <c r="AX62" i="9" s="1"/>
  <c r="AX63" i="9" s="1"/>
  <c r="AX64" i="9" s="1"/>
  <c r="AX65" i="9" s="1"/>
  <c r="AX66" i="9" s="1"/>
  <c r="AX67" i="9" s="1"/>
  <c r="AX68" i="9" s="1"/>
  <c r="AX69" i="9" s="1"/>
  <c r="AX70" i="9" s="1"/>
  <c r="AX71" i="9" s="1"/>
  <c r="AX72" i="9" s="1"/>
  <c r="AX73" i="9" s="1"/>
  <c r="AX74" i="9" s="1"/>
  <c r="AX75" i="9" s="1"/>
  <c r="AX76" i="9" s="1"/>
  <c r="AX77" i="9" s="1"/>
  <c r="AX78" i="9" s="1"/>
  <c r="AX79" i="9" s="1"/>
  <c r="AX80" i="9" s="1"/>
  <c r="AX81" i="9" s="1"/>
  <c r="AX82" i="9" s="1"/>
  <c r="AX83" i="9" s="1"/>
  <c r="AX84" i="9" s="1"/>
  <c r="AX85" i="9" s="1"/>
  <c r="AX86" i="9" s="1"/>
  <c r="AX87" i="9" s="1"/>
  <c r="AX88" i="9" s="1"/>
  <c r="AW60" i="9"/>
  <c r="AW61" i="9" s="1"/>
  <c r="AW62" i="9" s="1"/>
  <c r="AW63" i="9" s="1"/>
  <c r="AW64" i="9" s="1"/>
  <c r="AW65" i="9" s="1"/>
  <c r="AW66" i="9" s="1"/>
  <c r="AW67" i="9" s="1"/>
  <c r="AW68" i="9" s="1"/>
  <c r="AW69" i="9" s="1"/>
  <c r="AW70" i="9" s="1"/>
  <c r="AW71" i="9" s="1"/>
  <c r="AW72" i="9" s="1"/>
  <c r="AW73" i="9" s="1"/>
  <c r="AW74" i="9" s="1"/>
  <c r="AW75" i="9" s="1"/>
  <c r="AW76" i="9" s="1"/>
  <c r="AW77" i="9" s="1"/>
  <c r="AW78" i="9" s="1"/>
  <c r="AW79" i="9" s="1"/>
  <c r="AW80" i="9" s="1"/>
  <c r="AW81" i="9" s="1"/>
  <c r="AW82" i="9" s="1"/>
  <c r="AW83" i="9" s="1"/>
  <c r="AW84" i="9" s="1"/>
  <c r="AW85" i="9" s="1"/>
  <c r="AW86" i="9" s="1"/>
  <c r="AW87" i="9" s="1"/>
  <c r="AW88" i="9" s="1"/>
  <c r="AV60" i="9"/>
  <c r="AV61" i="9" s="1"/>
  <c r="AV62" i="9" s="1"/>
  <c r="AV63" i="9" s="1"/>
  <c r="AV64" i="9" s="1"/>
  <c r="AV65" i="9" s="1"/>
  <c r="AV66" i="9" s="1"/>
  <c r="AV67" i="9" s="1"/>
  <c r="AV68" i="9" s="1"/>
  <c r="AV69" i="9" s="1"/>
  <c r="AV70" i="9" s="1"/>
  <c r="AV71" i="9" s="1"/>
  <c r="AV72" i="9" s="1"/>
  <c r="AV73" i="9" s="1"/>
  <c r="AV74" i="9" s="1"/>
  <c r="AV75" i="9" s="1"/>
  <c r="AV76" i="9" s="1"/>
  <c r="AV77" i="9" s="1"/>
  <c r="AV78" i="9" s="1"/>
  <c r="AV79" i="9" s="1"/>
  <c r="AV80" i="9" s="1"/>
  <c r="AV81" i="9" s="1"/>
  <c r="AV82" i="9" s="1"/>
  <c r="AV83" i="9" s="1"/>
  <c r="AV84" i="9" s="1"/>
  <c r="AV85" i="9" s="1"/>
  <c r="AV86" i="9" s="1"/>
  <c r="AV87" i="9" s="1"/>
  <c r="AV88" i="9" s="1"/>
  <c r="AU60" i="9"/>
  <c r="AU61" i="9" s="1"/>
  <c r="AU62" i="9" s="1"/>
  <c r="AU63" i="9" s="1"/>
  <c r="AU64" i="9" s="1"/>
  <c r="AU65" i="9" s="1"/>
  <c r="AU66" i="9" s="1"/>
  <c r="AU67" i="9" s="1"/>
  <c r="AU68" i="9" s="1"/>
  <c r="AU69" i="9" s="1"/>
  <c r="AU70" i="9" s="1"/>
  <c r="AU71" i="9" s="1"/>
  <c r="AU72" i="9" s="1"/>
  <c r="AU73" i="9" s="1"/>
  <c r="AU74" i="9" s="1"/>
  <c r="AU75" i="9" s="1"/>
  <c r="AU76" i="9" s="1"/>
  <c r="AU77" i="9" s="1"/>
  <c r="AU78" i="9" s="1"/>
  <c r="AU79" i="9" s="1"/>
  <c r="AU80" i="9" s="1"/>
  <c r="AU81" i="9" s="1"/>
  <c r="AU82" i="9" s="1"/>
  <c r="AU83" i="9" s="1"/>
  <c r="AU84" i="9" s="1"/>
  <c r="AU85" i="9" s="1"/>
  <c r="AU86" i="9" s="1"/>
  <c r="AU87" i="9" s="1"/>
  <c r="AU88" i="9" s="1"/>
  <c r="AT60" i="9"/>
  <c r="AT61" i="9" s="1"/>
  <c r="AT62" i="9" s="1"/>
  <c r="AT63" i="9" s="1"/>
  <c r="AT64" i="9" s="1"/>
  <c r="AT65" i="9" s="1"/>
  <c r="AT66" i="9" s="1"/>
  <c r="AT67" i="9" s="1"/>
  <c r="AT68" i="9" s="1"/>
  <c r="AT69" i="9" s="1"/>
  <c r="AT70" i="9" s="1"/>
  <c r="AT71" i="9" s="1"/>
  <c r="AT72" i="9" s="1"/>
  <c r="AT73" i="9" s="1"/>
  <c r="AT74" i="9" s="1"/>
  <c r="AT75" i="9" s="1"/>
  <c r="AT76" i="9" s="1"/>
  <c r="AT77" i="9" s="1"/>
  <c r="AT78" i="9" s="1"/>
  <c r="AT79" i="9" s="1"/>
  <c r="AT80" i="9" s="1"/>
  <c r="AT81" i="9" s="1"/>
  <c r="AT82" i="9" s="1"/>
  <c r="AT83" i="9" s="1"/>
  <c r="AT84" i="9" s="1"/>
  <c r="AT85" i="9" s="1"/>
  <c r="AT86" i="9" s="1"/>
  <c r="AT87" i="9" s="1"/>
  <c r="AT88" i="9" s="1"/>
  <c r="AS60" i="9"/>
  <c r="AS61" i="9" s="1"/>
  <c r="AS62" i="9" s="1"/>
  <c r="AS63" i="9" s="1"/>
  <c r="AS64" i="9" s="1"/>
  <c r="AS65" i="9" s="1"/>
  <c r="AS66" i="9" s="1"/>
  <c r="AS67" i="9" s="1"/>
  <c r="AS68" i="9" s="1"/>
  <c r="AS69" i="9" s="1"/>
  <c r="AS70" i="9" s="1"/>
  <c r="AS71" i="9" s="1"/>
  <c r="AS72" i="9" s="1"/>
  <c r="AS73" i="9" s="1"/>
  <c r="AS74" i="9" s="1"/>
  <c r="AS75" i="9" s="1"/>
  <c r="AS76" i="9" s="1"/>
  <c r="AS77" i="9" s="1"/>
  <c r="AS78" i="9" s="1"/>
  <c r="AS79" i="9" s="1"/>
  <c r="AS80" i="9" s="1"/>
  <c r="AS81" i="9" s="1"/>
  <c r="AS82" i="9" s="1"/>
  <c r="AS83" i="9" s="1"/>
  <c r="AS84" i="9" s="1"/>
  <c r="AS85" i="9" s="1"/>
  <c r="AS86" i="9" s="1"/>
  <c r="AS87" i="9" s="1"/>
  <c r="AS88" i="9" s="1"/>
  <c r="AR60" i="9"/>
  <c r="AR61" i="9" s="1"/>
  <c r="AR62" i="9" s="1"/>
  <c r="AR63" i="9" s="1"/>
  <c r="AR64" i="9" s="1"/>
  <c r="AR65" i="9" s="1"/>
  <c r="AR66" i="9" s="1"/>
  <c r="AR67" i="9" s="1"/>
  <c r="AR68" i="9" s="1"/>
  <c r="AR69" i="9" s="1"/>
  <c r="AR70" i="9" s="1"/>
  <c r="AR71" i="9" s="1"/>
  <c r="AR72" i="9" s="1"/>
  <c r="AR73" i="9" s="1"/>
  <c r="AR74" i="9" s="1"/>
  <c r="AR75" i="9" s="1"/>
  <c r="AR76" i="9" s="1"/>
  <c r="AR77" i="9" s="1"/>
  <c r="AR78" i="9" s="1"/>
  <c r="AR79" i="9" s="1"/>
  <c r="AR80" i="9" s="1"/>
  <c r="AR81" i="9" s="1"/>
  <c r="AR82" i="9" s="1"/>
  <c r="AR83" i="9" s="1"/>
  <c r="AR84" i="9" s="1"/>
  <c r="AR85" i="9" s="1"/>
  <c r="AR86" i="9" s="1"/>
  <c r="AR87" i="9" s="1"/>
  <c r="AR88" i="9" s="1"/>
  <c r="AQ60" i="9"/>
  <c r="AQ61" i="9" s="1"/>
  <c r="AQ62" i="9" s="1"/>
  <c r="AQ63" i="9" s="1"/>
  <c r="AQ64" i="9" s="1"/>
  <c r="AQ65" i="9" s="1"/>
  <c r="AQ66" i="9" s="1"/>
  <c r="AQ67" i="9" s="1"/>
  <c r="AQ68" i="9" s="1"/>
  <c r="AQ69" i="9" s="1"/>
  <c r="AQ70" i="9" s="1"/>
  <c r="AQ71" i="9" s="1"/>
  <c r="AQ72" i="9" s="1"/>
  <c r="AQ73" i="9" s="1"/>
  <c r="AQ74" i="9" s="1"/>
  <c r="AQ75" i="9" s="1"/>
  <c r="AQ76" i="9" s="1"/>
  <c r="AQ77" i="9" s="1"/>
  <c r="AQ78" i="9" s="1"/>
  <c r="AQ79" i="9" s="1"/>
  <c r="AQ80" i="9" s="1"/>
  <c r="AQ81" i="9" s="1"/>
  <c r="AQ82" i="9" s="1"/>
  <c r="AQ83" i="9" s="1"/>
  <c r="AQ84" i="9" s="1"/>
  <c r="AQ85" i="9" s="1"/>
  <c r="AQ86" i="9" s="1"/>
  <c r="AQ87" i="9" s="1"/>
  <c r="AQ88" i="9" s="1"/>
  <c r="AP60" i="9"/>
  <c r="AP61" i="9" s="1"/>
  <c r="AP62" i="9" s="1"/>
  <c r="AP63" i="9" s="1"/>
  <c r="AP64" i="9" s="1"/>
  <c r="AP65" i="9" s="1"/>
  <c r="AP66" i="9" s="1"/>
  <c r="AP67" i="9" s="1"/>
  <c r="AP68" i="9" s="1"/>
  <c r="AP69" i="9" s="1"/>
  <c r="AP70" i="9" s="1"/>
  <c r="AP71" i="9" s="1"/>
  <c r="AP72" i="9" s="1"/>
  <c r="AP73" i="9" s="1"/>
  <c r="AP74" i="9" s="1"/>
  <c r="AP75" i="9" s="1"/>
  <c r="AP76" i="9" s="1"/>
  <c r="AP77" i="9" s="1"/>
  <c r="AP78" i="9" s="1"/>
  <c r="AP79" i="9" s="1"/>
  <c r="AP80" i="9" s="1"/>
  <c r="AP81" i="9" s="1"/>
  <c r="AP82" i="9" s="1"/>
  <c r="AP83" i="9" s="1"/>
  <c r="AP84" i="9" s="1"/>
  <c r="AP85" i="9" s="1"/>
  <c r="AP86" i="9" s="1"/>
  <c r="AP87" i="9" s="1"/>
  <c r="AP88" i="9" s="1"/>
  <c r="AO60" i="9"/>
  <c r="AO61" i="9" s="1"/>
  <c r="AO62" i="9" s="1"/>
  <c r="AO63" i="9" s="1"/>
  <c r="AO64" i="9" s="1"/>
  <c r="AO65" i="9" s="1"/>
  <c r="AO66" i="9" s="1"/>
  <c r="AO67" i="9" s="1"/>
  <c r="AO68" i="9" s="1"/>
  <c r="AO69" i="9" s="1"/>
  <c r="AO70" i="9" s="1"/>
  <c r="AO71" i="9" s="1"/>
  <c r="AO72" i="9" s="1"/>
  <c r="AO73" i="9" s="1"/>
  <c r="AO74" i="9" s="1"/>
  <c r="AO75" i="9" s="1"/>
  <c r="AO76" i="9" s="1"/>
  <c r="AO77" i="9" s="1"/>
  <c r="AO78" i="9" s="1"/>
  <c r="AO79" i="9" s="1"/>
  <c r="AO80" i="9" s="1"/>
  <c r="AO81" i="9" s="1"/>
  <c r="AO82" i="9" s="1"/>
  <c r="AO83" i="9" s="1"/>
  <c r="AO84" i="9" s="1"/>
  <c r="AO85" i="9" s="1"/>
  <c r="AO86" i="9" s="1"/>
  <c r="AO87" i="9" s="1"/>
  <c r="AO88" i="9" s="1"/>
  <c r="AG60" i="9"/>
  <c r="AG61" i="9" s="1"/>
  <c r="AG62" i="9" s="1"/>
  <c r="AG63" i="9" s="1"/>
  <c r="AG64" i="9" s="1"/>
  <c r="AG65" i="9" s="1"/>
  <c r="AG66" i="9" s="1"/>
  <c r="AG67" i="9" s="1"/>
  <c r="AG68" i="9" s="1"/>
  <c r="AG69" i="9" s="1"/>
  <c r="AG70" i="9" s="1"/>
  <c r="AG71" i="9" s="1"/>
  <c r="AG72" i="9" s="1"/>
  <c r="AG73" i="9" s="1"/>
  <c r="AG74" i="9" s="1"/>
  <c r="AG75" i="9" s="1"/>
  <c r="AG76" i="9" s="1"/>
  <c r="AG77" i="9" s="1"/>
  <c r="AG78" i="9" s="1"/>
  <c r="AG79" i="9" s="1"/>
  <c r="AG80" i="9" s="1"/>
  <c r="AG81" i="9" s="1"/>
  <c r="AG82" i="9" s="1"/>
  <c r="AG83" i="9" s="1"/>
  <c r="AG84" i="9" s="1"/>
  <c r="AG85" i="9" s="1"/>
  <c r="AG86" i="9" s="1"/>
  <c r="AG87" i="9" s="1"/>
  <c r="AG88" i="9" s="1"/>
  <c r="AF60" i="9"/>
  <c r="AF61" i="9" s="1"/>
  <c r="AF62" i="9" s="1"/>
  <c r="AF63" i="9" s="1"/>
  <c r="AF64" i="9" s="1"/>
  <c r="AF65" i="9" s="1"/>
  <c r="AF66" i="9" s="1"/>
  <c r="AF67" i="9" s="1"/>
  <c r="AF68" i="9" s="1"/>
  <c r="AF69" i="9" s="1"/>
  <c r="AF70" i="9" s="1"/>
  <c r="AF71" i="9" s="1"/>
  <c r="AF72" i="9" s="1"/>
  <c r="AF73" i="9" s="1"/>
  <c r="AF74" i="9" s="1"/>
  <c r="AF75" i="9" s="1"/>
  <c r="AF76" i="9" s="1"/>
  <c r="AF77" i="9" s="1"/>
  <c r="AF78" i="9" s="1"/>
  <c r="AF79" i="9" s="1"/>
  <c r="AF80" i="9" s="1"/>
  <c r="AF81" i="9" s="1"/>
  <c r="AF82" i="9" s="1"/>
  <c r="AF83" i="9" s="1"/>
  <c r="AF84" i="9" s="1"/>
  <c r="AF85" i="9" s="1"/>
  <c r="AF86" i="9" s="1"/>
  <c r="AF87" i="9" s="1"/>
  <c r="AF88" i="9" s="1"/>
  <c r="AE60" i="9"/>
  <c r="AE61" i="9" s="1"/>
  <c r="AE62" i="9" s="1"/>
  <c r="AE63" i="9" s="1"/>
  <c r="AE64" i="9" s="1"/>
  <c r="AE65" i="9" s="1"/>
  <c r="AE66" i="9" s="1"/>
  <c r="AE67" i="9" s="1"/>
  <c r="AE68" i="9" s="1"/>
  <c r="AE69" i="9" s="1"/>
  <c r="AE70" i="9" s="1"/>
  <c r="AE71" i="9" s="1"/>
  <c r="AE72" i="9" s="1"/>
  <c r="AE73" i="9" s="1"/>
  <c r="AE74" i="9" s="1"/>
  <c r="AE75" i="9" s="1"/>
  <c r="AE76" i="9" s="1"/>
  <c r="AE77" i="9" s="1"/>
  <c r="AE78" i="9" s="1"/>
  <c r="AE79" i="9" s="1"/>
  <c r="AE80" i="9" s="1"/>
  <c r="AE81" i="9" s="1"/>
  <c r="AE82" i="9" s="1"/>
  <c r="AE83" i="9" s="1"/>
  <c r="AE84" i="9" s="1"/>
  <c r="AE85" i="9" s="1"/>
  <c r="AE86" i="9" s="1"/>
  <c r="AE87" i="9" s="1"/>
  <c r="AE88" i="9" s="1"/>
  <c r="AD60" i="9"/>
  <c r="AD61" i="9" s="1"/>
  <c r="AD62" i="9" s="1"/>
  <c r="AD63" i="9" s="1"/>
  <c r="AD64" i="9" s="1"/>
  <c r="AD65" i="9" s="1"/>
  <c r="AD66" i="9" s="1"/>
  <c r="AD67" i="9" s="1"/>
  <c r="AD68" i="9" s="1"/>
  <c r="AD69" i="9" s="1"/>
  <c r="AD70" i="9" s="1"/>
  <c r="AD71" i="9" s="1"/>
  <c r="AD72" i="9" s="1"/>
  <c r="AD73" i="9" s="1"/>
  <c r="AD74" i="9" s="1"/>
  <c r="AD75" i="9" s="1"/>
  <c r="AD76" i="9" s="1"/>
  <c r="AD77" i="9" s="1"/>
  <c r="AD78" i="9" s="1"/>
  <c r="AD79" i="9" s="1"/>
  <c r="AD80" i="9" s="1"/>
  <c r="AD81" i="9" s="1"/>
  <c r="AD82" i="9" s="1"/>
  <c r="AD83" i="9" s="1"/>
  <c r="AD84" i="9" s="1"/>
  <c r="AD85" i="9" s="1"/>
  <c r="AD86" i="9" s="1"/>
  <c r="AD87" i="9" s="1"/>
  <c r="AD88" i="9" s="1"/>
  <c r="AC60" i="9"/>
  <c r="AC61" i="9" s="1"/>
  <c r="AC62" i="9" s="1"/>
  <c r="AC63" i="9" s="1"/>
  <c r="AC64" i="9" s="1"/>
  <c r="AC65" i="9" s="1"/>
  <c r="AC66" i="9" s="1"/>
  <c r="AC67" i="9" s="1"/>
  <c r="AC68" i="9" s="1"/>
  <c r="AC69" i="9" s="1"/>
  <c r="AC70" i="9" s="1"/>
  <c r="AC71" i="9" s="1"/>
  <c r="AC72" i="9" s="1"/>
  <c r="AC73" i="9" s="1"/>
  <c r="AC74" i="9" s="1"/>
  <c r="AC75" i="9" s="1"/>
  <c r="AC76" i="9" s="1"/>
  <c r="AC77" i="9" s="1"/>
  <c r="AC78" i="9" s="1"/>
  <c r="AC79" i="9" s="1"/>
  <c r="AC80" i="9" s="1"/>
  <c r="AC81" i="9" s="1"/>
  <c r="AC82" i="9" s="1"/>
  <c r="AC83" i="9" s="1"/>
  <c r="AC84" i="9" s="1"/>
  <c r="AC85" i="9" s="1"/>
  <c r="AC86" i="9" s="1"/>
  <c r="AC87" i="9" s="1"/>
  <c r="AC88" i="9" s="1"/>
  <c r="AB60" i="9"/>
  <c r="AB61" i="9" s="1"/>
  <c r="AB62" i="9" s="1"/>
  <c r="AB63" i="9" s="1"/>
  <c r="AB64" i="9" s="1"/>
  <c r="AB65" i="9" s="1"/>
  <c r="AB66" i="9" s="1"/>
  <c r="AB67" i="9" s="1"/>
  <c r="AB68" i="9" s="1"/>
  <c r="AB69" i="9" s="1"/>
  <c r="AB70" i="9" s="1"/>
  <c r="AB71" i="9" s="1"/>
  <c r="AB72" i="9" s="1"/>
  <c r="AB73" i="9" s="1"/>
  <c r="AB74" i="9" s="1"/>
  <c r="AB75" i="9" s="1"/>
  <c r="AB76" i="9" s="1"/>
  <c r="AB77" i="9" s="1"/>
  <c r="AB78" i="9" s="1"/>
  <c r="AB79" i="9" s="1"/>
  <c r="AB80" i="9" s="1"/>
  <c r="AB81" i="9" s="1"/>
  <c r="AB82" i="9" s="1"/>
  <c r="AB83" i="9" s="1"/>
  <c r="AB84" i="9" s="1"/>
  <c r="AB85" i="9" s="1"/>
  <c r="AB86" i="9" s="1"/>
  <c r="AB87" i="9" s="1"/>
  <c r="AB88" i="9" s="1"/>
  <c r="AA60" i="9"/>
  <c r="AA61" i="9" s="1"/>
  <c r="AA62" i="9" s="1"/>
  <c r="AA63" i="9" s="1"/>
  <c r="AA64" i="9" s="1"/>
  <c r="AA65" i="9" s="1"/>
  <c r="AA66" i="9" s="1"/>
  <c r="AA67" i="9" s="1"/>
  <c r="AA68" i="9" s="1"/>
  <c r="AA69" i="9" s="1"/>
  <c r="AA70" i="9" s="1"/>
  <c r="AA71" i="9" s="1"/>
  <c r="AA72" i="9" s="1"/>
  <c r="AA73" i="9" s="1"/>
  <c r="AA74" i="9" s="1"/>
  <c r="AA75" i="9" s="1"/>
  <c r="AA76" i="9" s="1"/>
  <c r="AA77" i="9" s="1"/>
  <c r="AA78" i="9" s="1"/>
  <c r="AA79" i="9" s="1"/>
  <c r="AA80" i="9" s="1"/>
  <c r="AA81" i="9" s="1"/>
  <c r="AA82" i="9" s="1"/>
  <c r="AA83" i="9" s="1"/>
  <c r="AA84" i="9" s="1"/>
  <c r="AA85" i="9" s="1"/>
  <c r="AA86" i="9" s="1"/>
  <c r="AA87" i="9" s="1"/>
  <c r="AA88" i="9" s="1"/>
  <c r="Z60" i="9"/>
  <c r="Z61" i="9" s="1"/>
  <c r="Z62" i="9" s="1"/>
  <c r="Z63" i="9" s="1"/>
  <c r="Z64" i="9" s="1"/>
  <c r="Z65" i="9" s="1"/>
  <c r="Z66" i="9" s="1"/>
  <c r="Z67" i="9" s="1"/>
  <c r="Z68" i="9" s="1"/>
  <c r="Z69" i="9" s="1"/>
  <c r="Z70" i="9" s="1"/>
  <c r="Z71" i="9" s="1"/>
  <c r="Z72" i="9" s="1"/>
  <c r="Z73" i="9" s="1"/>
  <c r="Z74" i="9" s="1"/>
  <c r="Z75" i="9" s="1"/>
  <c r="Z76" i="9" s="1"/>
  <c r="Z77" i="9" s="1"/>
  <c r="Z78" i="9" s="1"/>
  <c r="Z79" i="9" s="1"/>
  <c r="Z80" i="9" s="1"/>
  <c r="Z81" i="9" s="1"/>
  <c r="Z82" i="9" s="1"/>
  <c r="Z83" i="9" s="1"/>
  <c r="Z84" i="9" s="1"/>
  <c r="Z85" i="9" s="1"/>
  <c r="Z86" i="9" s="1"/>
  <c r="Z87" i="9" s="1"/>
  <c r="Z88" i="9" s="1"/>
  <c r="Y60" i="9"/>
  <c r="Y61" i="9" s="1"/>
  <c r="Y62" i="9" s="1"/>
  <c r="Y63" i="9" s="1"/>
  <c r="Y64" i="9" s="1"/>
  <c r="Y65" i="9" s="1"/>
  <c r="Y66" i="9" s="1"/>
  <c r="Y67" i="9" s="1"/>
  <c r="Y68" i="9" s="1"/>
  <c r="Y69" i="9" s="1"/>
  <c r="Y70" i="9" s="1"/>
  <c r="Y71" i="9" s="1"/>
  <c r="Y72" i="9" s="1"/>
  <c r="Y73" i="9" s="1"/>
  <c r="Y74" i="9" s="1"/>
  <c r="Y75" i="9" s="1"/>
  <c r="Y76" i="9" s="1"/>
  <c r="Y77" i="9" s="1"/>
  <c r="Y78" i="9" s="1"/>
  <c r="Y79" i="9" s="1"/>
  <c r="Y80" i="9" s="1"/>
  <c r="Y81" i="9" s="1"/>
  <c r="Y82" i="9" s="1"/>
  <c r="Y83" i="9" s="1"/>
  <c r="Y84" i="9" s="1"/>
  <c r="Y85" i="9" s="1"/>
  <c r="Y86" i="9" s="1"/>
  <c r="Y87" i="9" s="1"/>
  <c r="Y88" i="9" s="1"/>
  <c r="X60" i="9"/>
  <c r="X61" i="9" s="1"/>
  <c r="X62" i="9" s="1"/>
  <c r="X63" i="9" s="1"/>
  <c r="X64" i="9" s="1"/>
  <c r="X65" i="9" s="1"/>
  <c r="X66" i="9" s="1"/>
  <c r="X67" i="9" s="1"/>
  <c r="X68" i="9" s="1"/>
  <c r="X69" i="9" s="1"/>
  <c r="X70" i="9" s="1"/>
  <c r="X71" i="9" s="1"/>
  <c r="X72" i="9" s="1"/>
  <c r="X73" i="9" s="1"/>
  <c r="X74" i="9" s="1"/>
  <c r="X75" i="9" s="1"/>
  <c r="X76" i="9" s="1"/>
  <c r="X77" i="9" s="1"/>
  <c r="X78" i="9" s="1"/>
  <c r="X79" i="9" s="1"/>
  <c r="X80" i="9" s="1"/>
  <c r="X81" i="9" s="1"/>
  <c r="X82" i="9" s="1"/>
  <c r="X83" i="9" s="1"/>
  <c r="X84" i="9" s="1"/>
  <c r="X85" i="9" s="1"/>
  <c r="X86" i="9" s="1"/>
  <c r="X87" i="9" s="1"/>
  <c r="X88" i="9" s="1"/>
  <c r="W60" i="9"/>
  <c r="W61" i="9" s="1"/>
  <c r="W62" i="9" s="1"/>
  <c r="W63" i="9" s="1"/>
  <c r="W64" i="9" s="1"/>
  <c r="W65" i="9" s="1"/>
  <c r="W66" i="9" s="1"/>
  <c r="W67" i="9" s="1"/>
  <c r="W68" i="9" s="1"/>
  <c r="W69" i="9" s="1"/>
  <c r="W70" i="9" s="1"/>
  <c r="W71" i="9" s="1"/>
  <c r="W72" i="9" s="1"/>
  <c r="W73" i="9" s="1"/>
  <c r="W74" i="9" s="1"/>
  <c r="W75" i="9" s="1"/>
  <c r="W76" i="9" s="1"/>
  <c r="W77" i="9" s="1"/>
  <c r="W78" i="9" s="1"/>
  <c r="W79" i="9" s="1"/>
  <c r="W80" i="9" s="1"/>
  <c r="W81" i="9" s="1"/>
  <c r="W82" i="9" s="1"/>
  <c r="W83" i="9" s="1"/>
  <c r="W84" i="9" s="1"/>
  <c r="W85" i="9" s="1"/>
  <c r="W86" i="9" s="1"/>
  <c r="W87" i="9" s="1"/>
  <c r="W88" i="9" s="1"/>
  <c r="V60" i="9"/>
  <c r="V61" i="9" s="1"/>
  <c r="V62" i="9" s="1"/>
  <c r="V63" i="9" s="1"/>
  <c r="V64" i="9" s="1"/>
  <c r="V65" i="9" s="1"/>
  <c r="V66" i="9" s="1"/>
  <c r="V67" i="9" s="1"/>
  <c r="V68" i="9" s="1"/>
  <c r="V69" i="9" s="1"/>
  <c r="V70" i="9" s="1"/>
  <c r="V71" i="9" s="1"/>
  <c r="V72" i="9" s="1"/>
  <c r="V73" i="9" s="1"/>
  <c r="V74" i="9" s="1"/>
  <c r="V75" i="9" s="1"/>
  <c r="V76" i="9" s="1"/>
  <c r="V77" i="9" s="1"/>
  <c r="V78" i="9" s="1"/>
  <c r="V79" i="9" s="1"/>
  <c r="V80" i="9" s="1"/>
  <c r="V81" i="9" s="1"/>
  <c r="V82" i="9" s="1"/>
  <c r="V83" i="9" s="1"/>
  <c r="V84" i="9" s="1"/>
  <c r="V85" i="9" s="1"/>
  <c r="V86" i="9" s="1"/>
  <c r="V87" i="9" s="1"/>
  <c r="V88" i="9" s="1"/>
  <c r="U60" i="9"/>
  <c r="U61" i="9" s="1"/>
  <c r="U62" i="9" s="1"/>
  <c r="U63" i="9" s="1"/>
  <c r="U64" i="9" s="1"/>
  <c r="U65" i="9" s="1"/>
  <c r="U66" i="9" s="1"/>
  <c r="U67" i="9" s="1"/>
  <c r="U68" i="9" s="1"/>
  <c r="U69" i="9" s="1"/>
  <c r="U70" i="9" s="1"/>
  <c r="U71" i="9" s="1"/>
  <c r="U72" i="9" s="1"/>
  <c r="U73" i="9" s="1"/>
  <c r="U74" i="9" s="1"/>
  <c r="U75" i="9" s="1"/>
  <c r="U76" i="9" s="1"/>
  <c r="U77" i="9" s="1"/>
  <c r="U78" i="9" s="1"/>
  <c r="U79" i="9" s="1"/>
  <c r="U80" i="9" s="1"/>
  <c r="U81" i="9" s="1"/>
  <c r="U82" i="9" s="1"/>
  <c r="U83" i="9" s="1"/>
  <c r="U84" i="9" s="1"/>
  <c r="U85" i="9" s="1"/>
  <c r="U86" i="9" s="1"/>
  <c r="U87" i="9" s="1"/>
  <c r="U88" i="9" s="1"/>
  <c r="N52" i="9"/>
  <c r="AG52" i="9" s="1"/>
  <c r="AZ52" i="9" s="1"/>
  <c r="C52" i="9"/>
  <c r="V52" i="9" s="1"/>
  <c r="AO52" i="9" s="1"/>
  <c r="N51" i="9"/>
  <c r="AG51" i="9" s="1"/>
  <c r="AZ51" i="9" s="1"/>
  <c r="C51" i="9"/>
  <c r="V51" i="9" s="1"/>
  <c r="AO51" i="9" s="1"/>
  <c r="V46" i="9"/>
  <c r="AO46" i="9" s="1"/>
  <c r="N45" i="9"/>
  <c r="AG45" i="9" s="1"/>
  <c r="AZ45" i="9" s="1"/>
  <c r="C45" i="9"/>
  <c r="V45" i="9" s="1"/>
  <c r="AO45" i="9" s="1"/>
  <c r="C44" i="9"/>
  <c r="V44" i="9" s="1"/>
  <c r="AO44" i="9" s="1"/>
  <c r="BA42" i="9"/>
  <c r="AZ42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BA41" i="9"/>
  <c r="AZ41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BA40" i="9"/>
  <c r="AZ40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BC39" i="9"/>
  <c r="BB39" i="9"/>
  <c r="AJ39" i="9"/>
  <c r="AI39" i="9"/>
  <c r="AH39" i="9"/>
  <c r="Q39" i="9"/>
  <c r="P39" i="9"/>
  <c r="O39" i="9"/>
  <c r="BC38" i="9"/>
  <c r="BB38" i="9"/>
  <c r="AJ38" i="9"/>
  <c r="AI38" i="9"/>
  <c r="AH38" i="9"/>
  <c r="Q38" i="9"/>
  <c r="P38" i="9"/>
  <c r="O38" i="9"/>
  <c r="BC37" i="9"/>
  <c r="BB37" i="9"/>
  <c r="AJ37" i="9"/>
  <c r="AI37" i="9"/>
  <c r="AH37" i="9"/>
  <c r="Q37" i="9"/>
  <c r="P37" i="9"/>
  <c r="O37" i="9"/>
  <c r="BC36" i="9"/>
  <c r="BB36" i="9"/>
  <c r="AJ36" i="9"/>
  <c r="AI36" i="9"/>
  <c r="AH36" i="9"/>
  <c r="Q36" i="9"/>
  <c r="P36" i="9"/>
  <c r="O36" i="9"/>
  <c r="BC35" i="9"/>
  <c r="BB35" i="9"/>
  <c r="AJ35" i="9"/>
  <c r="AI35" i="9"/>
  <c r="AH35" i="9"/>
  <c r="Q35" i="9"/>
  <c r="P35" i="9"/>
  <c r="O35" i="9"/>
  <c r="BC34" i="9"/>
  <c r="BB34" i="9"/>
  <c r="AJ34" i="9"/>
  <c r="AI34" i="9"/>
  <c r="AH34" i="9"/>
  <c r="Q34" i="9"/>
  <c r="P34" i="9"/>
  <c r="O34" i="9"/>
  <c r="BC33" i="9"/>
  <c r="BB33" i="9"/>
  <c r="AJ33" i="9"/>
  <c r="AI33" i="9"/>
  <c r="AH33" i="9"/>
  <c r="Q33" i="9"/>
  <c r="P33" i="9"/>
  <c r="O33" i="9"/>
  <c r="BC32" i="9"/>
  <c r="BB32" i="9"/>
  <c r="AJ32" i="9"/>
  <c r="AI32" i="9"/>
  <c r="AH32" i="9"/>
  <c r="Q32" i="9"/>
  <c r="P32" i="9"/>
  <c r="O32" i="9"/>
  <c r="BC31" i="9"/>
  <c r="BB31" i="9"/>
  <c r="AJ31" i="9"/>
  <c r="AI31" i="9"/>
  <c r="AH31" i="9"/>
  <c r="Q31" i="9"/>
  <c r="P31" i="9"/>
  <c r="O31" i="9"/>
  <c r="BC30" i="9"/>
  <c r="BB30" i="9"/>
  <c r="AJ30" i="9"/>
  <c r="AI30" i="9"/>
  <c r="AH30" i="9"/>
  <c r="Q30" i="9"/>
  <c r="P30" i="9"/>
  <c r="O30" i="9"/>
  <c r="BC29" i="9"/>
  <c r="BB29" i="9"/>
  <c r="AJ29" i="9"/>
  <c r="AI29" i="9"/>
  <c r="AH29" i="9"/>
  <c r="Q29" i="9"/>
  <c r="P29" i="9"/>
  <c r="O29" i="9"/>
  <c r="BC28" i="9"/>
  <c r="BB28" i="9"/>
  <c r="AJ28" i="9"/>
  <c r="AI28" i="9"/>
  <c r="AH28" i="9"/>
  <c r="Q28" i="9"/>
  <c r="P28" i="9"/>
  <c r="O28" i="9"/>
  <c r="BC27" i="9"/>
  <c r="BB27" i="9"/>
  <c r="AJ27" i="9"/>
  <c r="AI27" i="9"/>
  <c r="AH27" i="9"/>
  <c r="Q27" i="9"/>
  <c r="P27" i="9"/>
  <c r="O27" i="9"/>
  <c r="BC26" i="9"/>
  <c r="BB26" i="9"/>
  <c r="AJ26" i="9"/>
  <c r="AI26" i="9"/>
  <c r="AH26" i="9"/>
  <c r="Q26" i="9"/>
  <c r="P26" i="9"/>
  <c r="O26" i="9"/>
  <c r="BC25" i="9"/>
  <c r="BB25" i="9"/>
  <c r="AJ25" i="9"/>
  <c r="AI25" i="9"/>
  <c r="AH25" i="9"/>
  <c r="Q25" i="9"/>
  <c r="P25" i="9"/>
  <c r="O25" i="9"/>
  <c r="BC24" i="9"/>
  <c r="BB24" i="9"/>
  <c r="AJ24" i="9"/>
  <c r="AI24" i="9"/>
  <c r="AH24" i="9"/>
  <c r="Q24" i="9"/>
  <c r="P24" i="9"/>
  <c r="O24" i="9"/>
  <c r="BC23" i="9"/>
  <c r="BB23" i="9"/>
  <c r="AJ23" i="9"/>
  <c r="AI23" i="9"/>
  <c r="AH23" i="9"/>
  <c r="Q23" i="9"/>
  <c r="P23" i="9"/>
  <c r="O23" i="9"/>
  <c r="BC22" i="9"/>
  <c r="BB22" i="9"/>
  <c r="AJ22" i="9"/>
  <c r="AI22" i="9"/>
  <c r="AH22" i="9"/>
  <c r="Q22" i="9"/>
  <c r="P22" i="9"/>
  <c r="O22" i="9"/>
  <c r="BC21" i="9"/>
  <c r="BB21" i="9"/>
  <c r="AJ21" i="9"/>
  <c r="AI21" i="9"/>
  <c r="AH21" i="9"/>
  <c r="Q21" i="9"/>
  <c r="P21" i="9"/>
  <c r="O21" i="9"/>
  <c r="BC20" i="9"/>
  <c r="BB20" i="9"/>
  <c r="AJ20" i="9"/>
  <c r="AI20" i="9"/>
  <c r="AH20" i="9"/>
  <c r="Q20" i="9"/>
  <c r="P20" i="9"/>
  <c r="O20" i="9"/>
  <c r="BC19" i="9"/>
  <c r="BB19" i="9"/>
  <c r="AJ19" i="9"/>
  <c r="AI19" i="9"/>
  <c r="AH19" i="9"/>
  <c r="Q19" i="9"/>
  <c r="P19" i="9"/>
  <c r="O19" i="9"/>
  <c r="BC18" i="9"/>
  <c r="BB18" i="9"/>
  <c r="AJ18" i="9"/>
  <c r="AI18" i="9"/>
  <c r="AH18" i="9"/>
  <c r="Q18" i="9"/>
  <c r="P18" i="9"/>
  <c r="O18" i="9"/>
  <c r="BC17" i="9"/>
  <c r="BB17" i="9"/>
  <c r="AJ17" i="9"/>
  <c r="AI17" i="9"/>
  <c r="AH17" i="9"/>
  <c r="Q17" i="9"/>
  <c r="P17" i="9"/>
  <c r="O17" i="9"/>
  <c r="BC16" i="9"/>
  <c r="BB16" i="9"/>
  <c r="AJ16" i="9"/>
  <c r="AI16" i="9"/>
  <c r="AH16" i="9"/>
  <c r="Q16" i="9"/>
  <c r="P16" i="9"/>
  <c r="O16" i="9"/>
  <c r="BC15" i="9"/>
  <c r="BB15" i="9"/>
  <c r="AJ15" i="9"/>
  <c r="AI15" i="9"/>
  <c r="AH15" i="9"/>
  <c r="Q15" i="9"/>
  <c r="P15" i="9"/>
  <c r="O15" i="9"/>
  <c r="BC14" i="9"/>
  <c r="BB14" i="9"/>
  <c r="AJ14" i="9"/>
  <c r="AI14" i="9"/>
  <c r="AH14" i="9"/>
  <c r="Q14" i="9"/>
  <c r="P14" i="9"/>
  <c r="O14" i="9"/>
  <c r="BC13" i="9"/>
  <c r="BB13" i="9"/>
  <c r="AJ13" i="9"/>
  <c r="AI13" i="9"/>
  <c r="AH13" i="9"/>
  <c r="Q13" i="9"/>
  <c r="P13" i="9"/>
  <c r="O13" i="9"/>
  <c r="BC12" i="9"/>
  <c r="BB12" i="9"/>
  <c r="AJ12" i="9"/>
  <c r="AI12" i="9"/>
  <c r="AH12" i="9"/>
  <c r="Q12" i="9"/>
  <c r="P12" i="9"/>
  <c r="O12" i="9"/>
  <c r="BC11" i="9"/>
  <c r="BB11" i="9"/>
  <c r="AJ11" i="9"/>
  <c r="AI11" i="9"/>
  <c r="AH11" i="9"/>
  <c r="Q11" i="9"/>
  <c r="P11" i="9"/>
  <c r="O11" i="9"/>
  <c r="BC10" i="9"/>
  <c r="BB10" i="9"/>
  <c r="AJ10" i="9"/>
  <c r="AI10" i="9"/>
  <c r="AH10" i="9"/>
  <c r="Q10" i="9"/>
  <c r="P10" i="9"/>
  <c r="O10" i="9"/>
  <c r="BC9" i="9"/>
  <c r="BB9" i="9"/>
  <c r="AJ9" i="9"/>
  <c r="AI9" i="9"/>
  <c r="AH9" i="9"/>
  <c r="Q9" i="9"/>
  <c r="P9" i="9"/>
  <c r="P42" i="9" s="1"/>
  <c r="O9" i="9"/>
  <c r="M6" i="9"/>
  <c r="AF6" i="9" s="1"/>
  <c r="AY6" i="9" s="1"/>
  <c r="W4" i="9"/>
  <c r="AP4" i="9" s="1"/>
  <c r="Y1" i="9"/>
  <c r="AR1" i="9" s="1"/>
  <c r="AH42" i="9" l="1"/>
  <c r="AI42" i="9"/>
  <c r="O42" i="9"/>
  <c r="AJ42" i="9"/>
  <c r="BB42" i="9"/>
  <c r="BC42" i="9"/>
  <c r="Q42" i="9"/>
  <c r="AD39" i="7"/>
  <c r="AD89" i="7"/>
  <c r="Z89" i="7"/>
  <c r="Z39" i="7"/>
  <c r="W92" i="7"/>
  <c r="W42" i="7"/>
  <c r="AE89" i="7"/>
  <c r="AE39" i="7"/>
  <c r="BC38" i="7"/>
  <c r="BB38" i="7"/>
  <c r="BA38" i="7"/>
  <c r="AG39" i="7"/>
  <c r="AG89" i="7"/>
  <c r="V89" i="7"/>
  <c r="V39" i="7"/>
  <c r="AO89" i="7"/>
  <c r="AN39" i="7"/>
  <c r="U39" i="7"/>
  <c r="U89" i="7"/>
  <c r="AQ90" i="7"/>
  <c r="AP40" i="7"/>
  <c r="AS42" i="7"/>
  <c r="AT92" i="7"/>
  <c r="AV39" i="7"/>
  <c r="AW89" i="7"/>
  <c r="Y39" i="7"/>
  <c r="Y89" i="7"/>
  <c r="AX90" i="7"/>
  <c r="AW40" i="7"/>
  <c r="AV89" i="7"/>
  <c r="AU39" i="7"/>
  <c r="AI38" i="7"/>
  <c r="AH38" i="7"/>
  <c r="AJ38" i="7"/>
  <c r="AR39" i="7"/>
  <c r="AS89" i="7"/>
  <c r="AR89" i="7"/>
  <c r="AQ39" i="7"/>
  <c r="AF90" i="7"/>
  <c r="AF40" i="7"/>
  <c r="Q40" i="9"/>
  <c r="AJ40" i="9"/>
  <c r="BC40" i="9"/>
  <c r="Q41" i="9"/>
  <c r="AJ41" i="9"/>
  <c r="BC41" i="9"/>
  <c r="P40" i="9"/>
  <c r="AI40" i="9"/>
  <c r="BB40" i="9"/>
  <c r="P41" i="9"/>
  <c r="AI41" i="9"/>
  <c r="BB41" i="9"/>
  <c r="O40" i="9"/>
  <c r="AH40" i="9"/>
  <c r="O41" i="9"/>
  <c r="AH41" i="9"/>
  <c r="Y1" i="6"/>
  <c r="AD90" i="7" l="1"/>
  <c r="AD40" i="7"/>
  <c r="Y90" i="7"/>
  <c r="Y40" i="7"/>
  <c r="AJ39" i="7"/>
  <c r="AI39" i="7"/>
  <c r="AH39" i="7"/>
  <c r="AS90" i="7"/>
  <c r="AR40" i="7"/>
  <c r="AV90" i="7"/>
  <c r="AU40" i="7"/>
  <c r="AW41" i="7"/>
  <c r="AX91" i="7"/>
  <c r="AS43" i="7"/>
  <c r="AT93" i="7"/>
  <c r="U90" i="7"/>
  <c r="U40" i="7"/>
  <c r="AQ91" i="7"/>
  <c r="AP41" i="7"/>
  <c r="AN40" i="7"/>
  <c r="AO90" i="7"/>
  <c r="V40" i="7"/>
  <c r="V90" i="7"/>
  <c r="AW90" i="7"/>
  <c r="AV40" i="7"/>
  <c r="AE90" i="7"/>
  <c r="AE40" i="7"/>
  <c r="BC39" i="7"/>
  <c r="BA39" i="7"/>
  <c r="BB39" i="7"/>
  <c r="Z90" i="7"/>
  <c r="Z40" i="7"/>
  <c r="AR90" i="7"/>
  <c r="AQ40" i="7"/>
  <c r="AF91" i="7"/>
  <c r="AF41" i="7"/>
  <c r="AG90" i="7"/>
  <c r="AG40" i="7"/>
  <c r="W43" i="7"/>
  <c r="W93" i="7"/>
  <c r="AG61" i="6"/>
  <c r="AG62" i="6" s="1"/>
  <c r="AG63" i="6" s="1"/>
  <c r="AG64" i="6" s="1"/>
  <c r="AG65" i="6" s="1"/>
  <c r="AG66" i="6" s="1"/>
  <c r="AG67" i="6" s="1"/>
  <c r="AG68" i="6" s="1"/>
  <c r="BA60" i="6"/>
  <c r="BA61" i="6" s="1"/>
  <c r="BA62" i="6" s="1"/>
  <c r="BA63" i="6" s="1"/>
  <c r="BA64" i="6" s="1"/>
  <c r="BA65" i="6" s="1"/>
  <c r="AZ60" i="6"/>
  <c r="AZ61" i="6" s="1"/>
  <c r="AZ62" i="6" s="1"/>
  <c r="AZ63" i="6" s="1"/>
  <c r="AY60" i="6"/>
  <c r="AY61" i="6" s="1"/>
  <c r="AX60" i="6"/>
  <c r="AX61" i="6" s="1"/>
  <c r="AX62" i="6" s="1"/>
  <c r="AX63" i="6" s="1"/>
  <c r="AX64" i="6" s="1"/>
  <c r="AX65" i="6" s="1"/>
  <c r="AX66" i="6" s="1"/>
  <c r="AX67" i="6" s="1"/>
  <c r="AW60" i="6"/>
  <c r="AW61" i="6" s="1"/>
  <c r="AW62" i="6" s="1"/>
  <c r="AW63" i="6" s="1"/>
  <c r="AW64" i="6" s="1"/>
  <c r="AW65" i="6" s="1"/>
  <c r="AW66" i="6" s="1"/>
  <c r="AV60" i="6"/>
  <c r="AV61" i="6" s="1"/>
  <c r="AU60" i="6"/>
  <c r="AU61" i="6" s="1"/>
  <c r="AT60" i="6"/>
  <c r="AT61" i="6" s="1"/>
  <c r="AS60" i="6"/>
  <c r="AS61" i="6" s="1"/>
  <c r="AS62" i="6" s="1"/>
  <c r="AS63" i="6" s="1"/>
  <c r="AS64" i="6" s="1"/>
  <c r="AS65" i="6" s="1"/>
  <c r="AS66" i="6" s="1"/>
  <c r="AS67" i="6" s="1"/>
  <c r="AS68" i="6" s="1"/>
  <c r="AR60" i="6"/>
  <c r="AR61" i="6" s="1"/>
  <c r="AQ60" i="6"/>
  <c r="AQ61" i="6" s="1"/>
  <c r="AP60" i="6"/>
  <c r="AP61" i="6" s="1"/>
  <c r="AP62" i="6" s="1"/>
  <c r="AP63" i="6" s="1"/>
  <c r="AP64" i="6" s="1"/>
  <c r="AP65" i="6" s="1"/>
  <c r="AP66" i="6" s="1"/>
  <c r="AP67" i="6" s="1"/>
  <c r="AP68" i="6" s="1"/>
  <c r="AP69" i="6" s="1"/>
  <c r="AP70" i="6" s="1"/>
  <c r="AP71" i="6" s="1"/>
  <c r="AP72" i="6" s="1"/>
  <c r="AP73" i="6" s="1"/>
  <c r="AP74" i="6" s="1"/>
  <c r="AP75" i="6" s="1"/>
  <c r="AO60" i="6"/>
  <c r="AO61" i="6" s="1"/>
  <c r="AO62" i="6" s="1"/>
  <c r="AG60" i="6"/>
  <c r="AF60" i="6"/>
  <c r="AF61" i="6" s="1"/>
  <c r="AE60" i="6"/>
  <c r="AE61" i="6" s="1"/>
  <c r="AD60" i="6"/>
  <c r="AD61" i="6" s="1"/>
  <c r="AD62" i="6" s="1"/>
  <c r="AD63" i="6" s="1"/>
  <c r="AD64" i="6" s="1"/>
  <c r="AC60" i="6"/>
  <c r="AC61" i="6" s="1"/>
  <c r="AC62" i="6" s="1"/>
  <c r="AC63" i="6" s="1"/>
  <c r="AB60" i="6"/>
  <c r="AB61" i="6" s="1"/>
  <c r="AA60" i="6"/>
  <c r="AA61" i="6" s="1"/>
  <c r="AA62" i="6" s="1"/>
  <c r="AA63" i="6" s="1"/>
  <c r="AA64" i="6" s="1"/>
  <c r="AA65" i="6" s="1"/>
  <c r="AA66" i="6" s="1"/>
  <c r="AA67" i="6" s="1"/>
  <c r="Z60" i="6"/>
  <c r="Z61" i="6" s="1"/>
  <c r="Z62" i="6" s="1"/>
  <c r="Z63" i="6" s="1"/>
  <c r="Z64" i="6" s="1"/>
  <c r="Z65" i="6" s="1"/>
  <c r="Z66" i="6" s="1"/>
  <c r="Y60" i="6"/>
  <c r="Y61" i="6" s="1"/>
  <c r="X60" i="6"/>
  <c r="X61" i="6" s="1"/>
  <c r="W60" i="6"/>
  <c r="W61" i="6" s="1"/>
  <c r="V60" i="6"/>
  <c r="V61" i="6" s="1"/>
  <c r="V62" i="6" s="1"/>
  <c r="V63" i="6" s="1"/>
  <c r="V64" i="6" s="1"/>
  <c r="V65" i="6" s="1"/>
  <c r="V66" i="6" s="1"/>
  <c r="V67" i="6" s="1"/>
  <c r="V68" i="6" s="1"/>
  <c r="U60" i="6"/>
  <c r="U61" i="6" s="1"/>
  <c r="N52" i="6"/>
  <c r="AG52" i="6" s="1"/>
  <c r="AZ52" i="6" s="1"/>
  <c r="C52" i="6"/>
  <c r="V52" i="6" s="1"/>
  <c r="AO52" i="6" s="1"/>
  <c r="N51" i="6"/>
  <c r="AG51" i="6" s="1"/>
  <c r="AZ51" i="6" s="1"/>
  <c r="C51" i="6"/>
  <c r="V51" i="6" s="1"/>
  <c r="AO51" i="6" s="1"/>
  <c r="C46" i="6"/>
  <c r="V46" i="6" s="1"/>
  <c r="AO46" i="6" s="1"/>
  <c r="N45" i="6"/>
  <c r="AG45" i="6" s="1"/>
  <c r="AZ45" i="6" s="1"/>
  <c r="C45" i="6"/>
  <c r="V45" i="6" s="1"/>
  <c r="AO45" i="6" s="1"/>
  <c r="C44" i="6"/>
  <c r="V44" i="6" s="1"/>
  <c r="AO44" i="6" s="1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R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W17" i="6"/>
  <c r="AA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W16" i="6"/>
  <c r="AO16" i="6"/>
  <c r="AG16" i="6"/>
  <c r="AA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W15" i="6"/>
  <c r="AA15" i="6"/>
  <c r="V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W14" i="6"/>
  <c r="AA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Z13" i="6"/>
  <c r="AY13" i="6"/>
  <c r="AW13" i="6"/>
  <c r="AO13" i="6"/>
  <c r="AC13" i="6"/>
  <c r="AA13" i="6"/>
  <c r="Z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Y12" i="6"/>
  <c r="AW12" i="6"/>
  <c r="AV12" i="6"/>
  <c r="AO12" i="6"/>
  <c r="AD12" i="6"/>
  <c r="AC12" i="6"/>
  <c r="AA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Z11" i="6"/>
  <c r="AY11" i="6"/>
  <c r="AX11" i="6"/>
  <c r="AW11" i="6"/>
  <c r="AT11" i="6"/>
  <c r="AS11" i="6"/>
  <c r="AR11" i="6"/>
  <c r="AQ11" i="6"/>
  <c r="AP11" i="6"/>
  <c r="AO11" i="6"/>
  <c r="AN11" i="6"/>
  <c r="AG11" i="6"/>
  <c r="AF11" i="6"/>
  <c r="AE11" i="6"/>
  <c r="AD11" i="6"/>
  <c r="AC11" i="6"/>
  <c r="AB11" i="6"/>
  <c r="AA11" i="6"/>
  <c r="X11" i="6"/>
  <c r="W11" i="6"/>
  <c r="V11" i="6"/>
  <c r="U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N9" i="6"/>
  <c r="M9" i="6"/>
  <c r="L9" i="6"/>
  <c r="K9" i="6"/>
  <c r="J9" i="6"/>
  <c r="I9" i="6"/>
  <c r="H9" i="6"/>
  <c r="G9" i="6"/>
  <c r="F9" i="6"/>
  <c r="E9" i="6"/>
  <c r="D9" i="6"/>
  <c r="C9" i="6"/>
  <c r="B9" i="6"/>
  <c r="M6" i="6"/>
  <c r="AF6" i="6" s="1"/>
  <c r="AY6" i="6" s="1"/>
  <c r="W4" i="6"/>
  <c r="AP4" i="6" s="1"/>
  <c r="AR1" i="6"/>
  <c r="AX68" i="6" l="1"/>
  <c r="AW18" i="6"/>
  <c r="AV14" i="6"/>
  <c r="AV15" i="6"/>
  <c r="AV16" i="6"/>
  <c r="Y11" i="6"/>
  <c r="AU11" i="6"/>
  <c r="Z11" i="6"/>
  <c r="AV11" i="6"/>
  <c r="Y62" i="6"/>
  <c r="Y12" i="6"/>
  <c r="AR62" i="6"/>
  <c r="AR63" i="6" s="1"/>
  <c r="AQ12" i="6"/>
  <c r="W62" i="6"/>
  <c r="W12" i="6"/>
  <c r="AE62" i="6"/>
  <c r="AE12" i="6"/>
  <c r="AT62" i="6"/>
  <c r="AS12" i="6"/>
  <c r="Z12" i="6"/>
  <c r="V13" i="6"/>
  <c r="AG13" i="6"/>
  <c r="AV13" i="6"/>
  <c r="Z14" i="6"/>
  <c r="AG14" i="6"/>
  <c r="AG15" i="6"/>
  <c r="Z16" i="6"/>
  <c r="AG17" i="6"/>
  <c r="V12" i="6"/>
  <c r="AG12" i="6"/>
  <c r="AR12" i="6"/>
  <c r="V14" i="6"/>
  <c r="AR14" i="6"/>
  <c r="AZ14" i="6"/>
  <c r="Z15" i="6"/>
  <c r="AR15" i="6"/>
  <c r="AR16" i="6"/>
  <c r="AR17" i="6"/>
  <c r="V18" i="6"/>
  <c r="P10" i="6"/>
  <c r="AI11" i="6"/>
  <c r="AN12" i="6"/>
  <c r="AZ12" i="6"/>
  <c r="AD13" i="6"/>
  <c r="AR13" i="6"/>
  <c r="AD14" i="6"/>
  <c r="V16" i="6"/>
  <c r="V17" i="6"/>
  <c r="AG18" i="6"/>
  <c r="P20" i="6"/>
  <c r="Q26" i="6"/>
  <c r="Q28" i="6"/>
  <c r="AD41" i="7"/>
  <c r="AD91" i="7"/>
  <c r="W94" i="7"/>
  <c r="W45" i="7" s="1"/>
  <c r="W44" i="7"/>
  <c r="W48" i="7" s="1"/>
  <c r="AE91" i="7"/>
  <c r="AE41" i="7"/>
  <c r="AQ92" i="7"/>
  <c r="AP42" i="7"/>
  <c r="AV91" i="7"/>
  <c r="AU41" i="7"/>
  <c r="AG41" i="7"/>
  <c r="AG91" i="7"/>
  <c r="AF92" i="7"/>
  <c r="AF42" i="7"/>
  <c r="Z41" i="7"/>
  <c r="Z91" i="7"/>
  <c r="V91" i="7"/>
  <c r="V41" i="7"/>
  <c r="AT94" i="7"/>
  <c r="AS45" i="7" s="1"/>
  <c r="AS44" i="7"/>
  <c r="Y91" i="7"/>
  <c r="Y41" i="7"/>
  <c r="AW91" i="7"/>
  <c r="AV41" i="7"/>
  <c r="BA40" i="7"/>
  <c r="BB40" i="7"/>
  <c r="BC40" i="7"/>
  <c r="U41" i="7"/>
  <c r="U91" i="7"/>
  <c r="AR41" i="7"/>
  <c r="AS91" i="7"/>
  <c r="AR91" i="7"/>
  <c r="AQ41" i="7"/>
  <c r="AN41" i="7"/>
  <c r="AO91" i="7"/>
  <c r="AI40" i="7"/>
  <c r="AJ40" i="7"/>
  <c r="AH40" i="7"/>
  <c r="AW42" i="7"/>
  <c r="AX92" i="7"/>
  <c r="P19" i="6"/>
  <c r="C40" i="6"/>
  <c r="Q27" i="6"/>
  <c r="Q29" i="6"/>
  <c r="O36" i="6"/>
  <c r="U12" i="6"/>
  <c r="U62" i="6"/>
  <c r="AV62" i="6"/>
  <c r="AU12" i="6"/>
  <c r="AX69" i="6"/>
  <c r="AW19" i="6"/>
  <c r="V69" i="6"/>
  <c r="V19" i="6"/>
  <c r="Z67" i="6"/>
  <c r="Z17" i="6"/>
  <c r="AD65" i="6"/>
  <c r="AD15" i="6"/>
  <c r="AO63" i="6"/>
  <c r="AN13" i="6"/>
  <c r="AS69" i="6"/>
  <c r="AR19" i="6"/>
  <c r="AW67" i="6"/>
  <c r="AV17" i="6"/>
  <c r="AG69" i="6"/>
  <c r="AG19" i="6"/>
  <c r="X62" i="6"/>
  <c r="X12" i="6"/>
  <c r="AB62" i="6"/>
  <c r="AB12" i="6"/>
  <c r="AF62" i="6"/>
  <c r="AF12" i="6"/>
  <c r="AQ62" i="6"/>
  <c r="AP12" i="6"/>
  <c r="AU62" i="6"/>
  <c r="AT12" i="6"/>
  <c r="AY62" i="6"/>
  <c r="AX12" i="6"/>
  <c r="Q16" i="6"/>
  <c r="Q35" i="6"/>
  <c r="Q38" i="6"/>
  <c r="P16" i="6"/>
  <c r="BA9" i="6"/>
  <c r="Q10" i="6"/>
  <c r="P11" i="6"/>
  <c r="AJ11" i="6"/>
  <c r="Q18" i="6"/>
  <c r="P31" i="6"/>
  <c r="Q32" i="6"/>
  <c r="Q22" i="6"/>
  <c r="BB10" i="6"/>
  <c r="Q11" i="6"/>
  <c r="P12" i="6"/>
  <c r="Q23" i="6"/>
  <c r="Q34" i="6"/>
  <c r="P37" i="6"/>
  <c r="O9" i="6"/>
  <c r="AI10" i="6"/>
  <c r="BC10" i="6"/>
  <c r="BB11" i="6"/>
  <c r="Q12" i="6"/>
  <c r="P13" i="6"/>
  <c r="Q9" i="6"/>
  <c r="AJ10" i="6"/>
  <c r="BC11" i="6"/>
  <c r="Q13" i="6"/>
  <c r="P14" i="6"/>
  <c r="P15" i="6"/>
  <c r="P17" i="6"/>
  <c r="Q25" i="6"/>
  <c r="Q14" i="6"/>
  <c r="Q15" i="6"/>
  <c r="Q21" i="6"/>
  <c r="Q24" i="6"/>
  <c r="P30" i="6"/>
  <c r="Q37" i="6"/>
  <c r="AP76" i="6"/>
  <c r="AO26" i="6"/>
  <c r="AC64" i="6"/>
  <c r="AC14" i="6"/>
  <c r="AZ64" i="6"/>
  <c r="AY14" i="6"/>
  <c r="P33" i="6"/>
  <c r="O33" i="6"/>
  <c r="BA66" i="6"/>
  <c r="AZ16" i="6"/>
  <c r="Q19" i="6"/>
  <c r="O30" i="6"/>
  <c r="Q31" i="6"/>
  <c r="Q33" i="6"/>
  <c r="C42" i="6"/>
  <c r="AA18" i="6"/>
  <c r="AA68" i="6"/>
  <c r="E42" i="6"/>
  <c r="E41" i="6"/>
  <c r="E40" i="6"/>
  <c r="M42" i="6"/>
  <c r="M41" i="6"/>
  <c r="M40" i="6"/>
  <c r="BC9" i="6"/>
  <c r="O31" i="6"/>
  <c r="O34" i="6"/>
  <c r="F42" i="6"/>
  <c r="F41" i="6"/>
  <c r="F40" i="6"/>
  <c r="N42" i="6"/>
  <c r="N41" i="6"/>
  <c r="N40" i="6"/>
  <c r="AZ15" i="6"/>
  <c r="O17" i="6"/>
  <c r="O20" i="6"/>
  <c r="G42" i="6"/>
  <c r="G41" i="6"/>
  <c r="G40" i="6"/>
  <c r="K42" i="6"/>
  <c r="K41" i="6"/>
  <c r="K40" i="6"/>
  <c r="AH9" i="6"/>
  <c r="O10" i="6"/>
  <c r="AH10" i="6"/>
  <c r="BA10" i="6"/>
  <c r="O11" i="6"/>
  <c r="AH11" i="6"/>
  <c r="BA11" i="6"/>
  <c r="O12" i="6"/>
  <c r="O13" i="6"/>
  <c r="O14" i="6"/>
  <c r="AO14" i="6"/>
  <c r="O15" i="6"/>
  <c r="AO15" i="6"/>
  <c r="O16" i="6"/>
  <c r="Q17" i="6"/>
  <c r="AO17" i="6"/>
  <c r="Q20" i="6"/>
  <c r="P21" i="6"/>
  <c r="O21" i="6"/>
  <c r="P22" i="6"/>
  <c r="O22" i="6"/>
  <c r="P23" i="6"/>
  <c r="O23" i="6"/>
  <c r="P24" i="6"/>
  <c r="O24" i="6"/>
  <c r="P25" i="6"/>
  <c r="O25" i="6"/>
  <c r="P26" i="6"/>
  <c r="O26" i="6"/>
  <c r="P27" i="6"/>
  <c r="O27" i="6"/>
  <c r="P28" i="6"/>
  <c r="O28" i="6"/>
  <c r="P29" i="6"/>
  <c r="O29" i="6"/>
  <c r="Q30" i="6"/>
  <c r="P32" i="6"/>
  <c r="O32" i="6"/>
  <c r="Q36" i="6"/>
  <c r="C41" i="6"/>
  <c r="I42" i="6"/>
  <c r="I41" i="6"/>
  <c r="I40" i="6"/>
  <c r="AJ9" i="6"/>
  <c r="O19" i="6"/>
  <c r="B42" i="6"/>
  <c r="B41" i="6"/>
  <c r="B40" i="6"/>
  <c r="J42" i="6"/>
  <c r="J41" i="6"/>
  <c r="J40" i="6"/>
  <c r="D42" i="6"/>
  <c r="D41" i="6"/>
  <c r="D40" i="6"/>
  <c r="H42" i="6"/>
  <c r="H41" i="6"/>
  <c r="H40" i="6"/>
  <c r="L42" i="6"/>
  <c r="L41" i="6"/>
  <c r="L40" i="6"/>
  <c r="P9" i="6"/>
  <c r="AI9" i="6"/>
  <c r="BB9" i="6"/>
  <c r="P18" i="6"/>
  <c r="O18" i="6"/>
  <c r="AO18" i="6"/>
  <c r="P35" i="6"/>
  <c r="O35" i="6"/>
  <c r="P34" i="6"/>
  <c r="P38" i="6"/>
  <c r="O38" i="6"/>
  <c r="P36" i="6"/>
  <c r="O37" i="6"/>
  <c r="AE63" i="6" l="1"/>
  <c r="AE13" i="6"/>
  <c r="BC12" i="6"/>
  <c r="AJ12" i="6"/>
  <c r="AQ13" i="6"/>
  <c r="AT63" i="6"/>
  <c r="AS13" i="6"/>
  <c r="W63" i="6"/>
  <c r="W13" i="6"/>
  <c r="Y63" i="6"/>
  <c r="Y13" i="6"/>
  <c r="AS46" i="7"/>
  <c r="AD92" i="7"/>
  <c r="AD42" i="7"/>
  <c r="AR42" i="7"/>
  <c r="AS92" i="7"/>
  <c r="AR92" i="7"/>
  <c r="AQ42" i="7"/>
  <c r="U92" i="7"/>
  <c r="U42" i="7"/>
  <c r="Y42" i="7"/>
  <c r="Y92" i="7"/>
  <c r="V92" i="7"/>
  <c r="V42" i="7"/>
  <c r="AF43" i="7"/>
  <c r="AF93" i="7"/>
  <c r="AP43" i="7"/>
  <c r="AQ93" i="7"/>
  <c r="W46" i="7"/>
  <c r="W47" i="7"/>
  <c r="BA41" i="7"/>
  <c r="BC41" i="7"/>
  <c r="BB41" i="7"/>
  <c r="AV42" i="7"/>
  <c r="AW92" i="7"/>
  <c r="AN42" i="7"/>
  <c r="AO92" i="7"/>
  <c r="AJ41" i="7"/>
  <c r="AH41" i="7"/>
  <c r="AI41" i="7"/>
  <c r="AS48" i="7"/>
  <c r="AS47" i="7"/>
  <c r="Z92" i="7"/>
  <c r="Z42" i="7"/>
  <c r="AG42" i="7"/>
  <c r="AG92" i="7"/>
  <c r="AU42" i="7"/>
  <c r="AV92" i="7"/>
  <c r="AE42" i="7"/>
  <c r="AE92" i="7"/>
  <c r="AW43" i="7"/>
  <c r="AX93" i="7"/>
  <c r="BB12" i="6"/>
  <c r="BA12" i="6"/>
  <c r="AH12" i="6"/>
  <c r="AU63" i="6"/>
  <c r="AT13" i="6"/>
  <c r="AF63" i="6"/>
  <c r="AF13" i="6"/>
  <c r="X63" i="6"/>
  <c r="X13" i="6"/>
  <c r="AG70" i="6"/>
  <c r="AG20" i="6"/>
  <c r="AS70" i="6"/>
  <c r="AR20" i="6"/>
  <c r="AD66" i="6"/>
  <c r="AD16" i="6"/>
  <c r="V70" i="6"/>
  <c r="V20" i="6"/>
  <c r="AV63" i="6"/>
  <c r="AU13" i="6"/>
  <c r="U63" i="6"/>
  <c r="U13" i="6"/>
  <c r="AY63" i="6"/>
  <c r="AX13" i="6"/>
  <c r="AQ63" i="6"/>
  <c r="AP13" i="6"/>
  <c r="AB63" i="6"/>
  <c r="AB13" i="6"/>
  <c r="AR64" i="6"/>
  <c r="AQ14" i="6"/>
  <c r="AW68" i="6"/>
  <c r="AV18" i="6"/>
  <c r="AO64" i="6"/>
  <c r="AN14" i="6"/>
  <c r="Z68" i="6"/>
  <c r="Z18" i="6"/>
  <c r="AX70" i="6"/>
  <c r="AW20" i="6"/>
  <c r="AI12" i="6"/>
  <c r="Q41" i="6"/>
  <c r="O42" i="6"/>
  <c r="Q42" i="6"/>
  <c r="AA69" i="6"/>
  <c r="AA19" i="6"/>
  <c r="O40" i="6"/>
  <c r="AZ65" i="6"/>
  <c r="AY15" i="6"/>
  <c r="Q40" i="6"/>
  <c r="P42" i="6"/>
  <c r="P41" i="6"/>
  <c r="P40" i="6"/>
  <c r="BA67" i="6"/>
  <c r="AZ17" i="6"/>
  <c r="O41" i="6"/>
  <c r="AC65" i="6"/>
  <c r="AC15" i="6"/>
  <c r="AP77" i="6"/>
  <c r="AO27" i="6"/>
  <c r="BA13" i="6" l="1"/>
  <c r="Y64" i="6"/>
  <c r="Y14" i="6"/>
  <c r="AT64" i="6"/>
  <c r="AS14" i="6"/>
  <c r="W64" i="6"/>
  <c r="W14" i="6"/>
  <c r="AE64" i="6"/>
  <c r="AE14" i="6"/>
  <c r="AD43" i="7"/>
  <c r="AD93" i="7"/>
  <c r="Z43" i="7"/>
  <c r="Z93" i="7"/>
  <c r="AQ94" i="7"/>
  <c r="AP45" i="7" s="1"/>
  <c r="AP44" i="7"/>
  <c r="AF44" i="7"/>
  <c r="AF94" i="7"/>
  <c r="AF45" i="7" s="1"/>
  <c r="AV93" i="7"/>
  <c r="AU43" i="7"/>
  <c r="BA42" i="7"/>
  <c r="BB42" i="7"/>
  <c r="BC42" i="7"/>
  <c r="V93" i="7"/>
  <c r="V43" i="7"/>
  <c r="U93" i="7"/>
  <c r="U43" i="7"/>
  <c r="AN43" i="7"/>
  <c r="AO93" i="7"/>
  <c r="AI42" i="7"/>
  <c r="AJ42" i="7"/>
  <c r="AH42" i="7"/>
  <c r="AS93" i="7"/>
  <c r="AR43" i="7"/>
  <c r="AE43" i="7"/>
  <c r="AE93" i="7"/>
  <c r="AG43" i="7"/>
  <c r="AG93" i="7"/>
  <c r="AW93" i="7"/>
  <c r="AV43" i="7"/>
  <c r="AR93" i="7"/>
  <c r="AQ43" i="7"/>
  <c r="AW44" i="7"/>
  <c r="AX94" i="7"/>
  <c r="AW45" i="7" s="1"/>
  <c r="Y43" i="7"/>
  <c r="Y93" i="7"/>
  <c r="BC13" i="6"/>
  <c r="AI13" i="6"/>
  <c r="AJ13" i="6"/>
  <c r="AH13" i="6"/>
  <c r="AV64" i="6"/>
  <c r="AU14" i="6"/>
  <c r="AD67" i="6"/>
  <c r="AD17" i="6"/>
  <c r="AG71" i="6"/>
  <c r="AG21" i="6"/>
  <c r="AF64" i="6"/>
  <c r="AF14" i="6"/>
  <c r="AX71" i="6"/>
  <c r="AW21" i="6"/>
  <c r="AO65" i="6"/>
  <c r="AN15" i="6"/>
  <c r="AR65" i="6"/>
  <c r="AQ15" i="6"/>
  <c r="AQ64" i="6"/>
  <c r="AP14" i="6"/>
  <c r="U64" i="6"/>
  <c r="U14" i="6"/>
  <c r="BB13" i="6"/>
  <c r="V71" i="6"/>
  <c r="V21" i="6"/>
  <c r="AS71" i="6"/>
  <c r="AR21" i="6"/>
  <c r="X64" i="6"/>
  <c r="X14" i="6"/>
  <c r="AU64" i="6"/>
  <c r="AT14" i="6"/>
  <c r="Z69" i="6"/>
  <c r="Z19" i="6"/>
  <c r="AW69" i="6"/>
  <c r="AV19" i="6"/>
  <c r="AB64" i="6"/>
  <c r="AB14" i="6"/>
  <c r="AY64" i="6"/>
  <c r="AX14" i="6"/>
  <c r="AP78" i="6"/>
  <c r="AO28" i="6"/>
  <c r="AC66" i="6"/>
  <c r="AC16" i="6"/>
  <c r="AA70" i="6"/>
  <c r="AA20" i="6"/>
  <c r="BA68" i="6"/>
  <c r="AZ18" i="6"/>
  <c r="AZ66" i="6"/>
  <c r="AY16" i="6"/>
  <c r="AE65" i="6" l="1"/>
  <c r="AE15" i="6"/>
  <c r="AT65" i="6"/>
  <c r="AS15" i="6"/>
  <c r="W65" i="6"/>
  <c r="W15" i="6"/>
  <c r="Y65" i="6"/>
  <c r="Y15" i="6"/>
  <c r="AD94" i="7"/>
  <c r="AD45" i="7" s="1"/>
  <c r="AD44" i="7"/>
  <c r="AW48" i="7"/>
  <c r="AW47" i="7"/>
  <c r="AW46" i="7"/>
  <c r="AE94" i="7"/>
  <c r="AE45" i="7" s="1"/>
  <c r="AE44" i="7"/>
  <c r="BC43" i="7"/>
  <c r="BB43" i="7"/>
  <c r="BA43" i="7"/>
  <c r="V44" i="7"/>
  <c r="V94" i="7"/>
  <c r="V45" i="7" s="1"/>
  <c r="AR94" i="7"/>
  <c r="AQ45" i="7" s="1"/>
  <c r="AQ44" i="7"/>
  <c r="AQ46" i="7" s="1"/>
  <c r="AR44" i="7"/>
  <c r="AS94" i="7"/>
  <c r="AR45" i="7" s="1"/>
  <c r="AN44" i="7"/>
  <c r="AO94" i="7"/>
  <c r="AN45" i="7" s="1"/>
  <c r="AF46" i="7"/>
  <c r="Y94" i="7"/>
  <c r="Y45" i="7" s="1"/>
  <c r="Y44" i="7"/>
  <c r="AG44" i="7"/>
  <c r="AG94" i="7"/>
  <c r="AG45" i="7" s="1"/>
  <c r="U44" i="7"/>
  <c r="U94" i="7"/>
  <c r="U45" i="7" s="1"/>
  <c r="AF47" i="7"/>
  <c r="AF48" i="7"/>
  <c r="Z94" i="7"/>
  <c r="Z45" i="7" s="1"/>
  <c r="Z44" i="7"/>
  <c r="AW94" i="7"/>
  <c r="AV45" i="7" s="1"/>
  <c r="AV44" i="7"/>
  <c r="AI43" i="7"/>
  <c r="AJ43" i="7"/>
  <c r="AH43" i="7"/>
  <c r="AV94" i="7"/>
  <c r="AU45" i="7" s="1"/>
  <c r="AU44" i="7"/>
  <c r="AP48" i="7"/>
  <c r="AP47" i="7"/>
  <c r="AP46" i="7"/>
  <c r="X65" i="6"/>
  <c r="X15" i="6"/>
  <c r="V72" i="6"/>
  <c r="V22" i="6"/>
  <c r="BB14" i="6"/>
  <c r="BC14" i="6"/>
  <c r="AF65" i="6"/>
  <c r="AF15" i="6"/>
  <c r="AD68" i="6"/>
  <c r="AD18" i="6"/>
  <c r="AY65" i="6"/>
  <c r="AX15" i="6"/>
  <c r="AW70" i="6"/>
  <c r="AV20" i="6"/>
  <c r="AQ65" i="6"/>
  <c r="AP15" i="6"/>
  <c r="AO66" i="6"/>
  <c r="AN16" i="6"/>
  <c r="AU65" i="6"/>
  <c r="AT15" i="6"/>
  <c r="AS72" i="6"/>
  <c r="AR22" i="6"/>
  <c r="AH14" i="6"/>
  <c r="AJ14" i="6"/>
  <c r="AI14" i="6"/>
  <c r="AG72" i="6"/>
  <c r="AG22" i="6"/>
  <c r="AV65" i="6"/>
  <c r="AU15" i="6"/>
  <c r="AB65" i="6"/>
  <c r="AB15" i="6"/>
  <c r="Z70" i="6"/>
  <c r="Z20" i="6"/>
  <c r="U65" i="6"/>
  <c r="U15" i="6"/>
  <c r="AR66" i="6"/>
  <c r="AQ16" i="6"/>
  <c r="AX72" i="6"/>
  <c r="AW22" i="6"/>
  <c r="BA14" i="6"/>
  <c r="BA69" i="6"/>
  <c r="AZ19" i="6"/>
  <c r="AP79" i="6"/>
  <c r="AO29" i="6"/>
  <c r="AZ67" i="6"/>
  <c r="AY17" i="6"/>
  <c r="AA71" i="6"/>
  <c r="AA21" i="6"/>
  <c r="AC67" i="6"/>
  <c r="AC17" i="6"/>
  <c r="AD48" i="7" l="1"/>
  <c r="Y66" i="6"/>
  <c r="Y16" i="6"/>
  <c r="AT66" i="6"/>
  <c r="AS16" i="6"/>
  <c r="W66" i="6"/>
  <c r="W16" i="6"/>
  <c r="AE66" i="6"/>
  <c r="AE16" i="6"/>
  <c r="AD46" i="7"/>
  <c r="AD47" i="7"/>
  <c r="AE48" i="7"/>
  <c r="AU47" i="7"/>
  <c r="AU48" i="7"/>
  <c r="AG46" i="7"/>
  <c r="AG48" i="7"/>
  <c r="AG47" i="7"/>
  <c r="Z46" i="7"/>
  <c r="Z47" i="7"/>
  <c r="Z48" i="7"/>
  <c r="AJ44" i="7"/>
  <c r="AH44" i="7"/>
  <c r="AI44" i="7"/>
  <c r="Y48" i="7"/>
  <c r="Y47" i="7"/>
  <c r="Y46" i="7"/>
  <c r="AR48" i="7"/>
  <c r="AR46" i="7"/>
  <c r="AR47" i="7"/>
  <c r="V47" i="7"/>
  <c r="V48" i="7"/>
  <c r="V46" i="7"/>
  <c r="AU46" i="7"/>
  <c r="U47" i="7"/>
  <c r="U48" i="7"/>
  <c r="U46" i="7"/>
  <c r="AJ45" i="7"/>
  <c r="AI45" i="7"/>
  <c r="AH45" i="7"/>
  <c r="BB44" i="7"/>
  <c r="BA44" i="7"/>
  <c r="BC44" i="7"/>
  <c r="AQ47" i="7"/>
  <c r="AQ48" i="7"/>
  <c r="AV47" i="7"/>
  <c r="AV48" i="7"/>
  <c r="AV46" i="7"/>
  <c r="AN47" i="7"/>
  <c r="AN48" i="7"/>
  <c r="AN46" i="7"/>
  <c r="BA45" i="7"/>
  <c r="BB45" i="7"/>
  <c r="BC45" i="7"/>
  <c r="AE47" i="7"/>
  <c r="AE46" i="7"/>
  <c r="AR67" i="6"/>
  <c r="AQ17" i="6"/>
  <c r="Z71" i="6"/>
  <c r="Z21" i="6"/>
  <c r="AG73" i="6"/>
  <c r="AG23" i="6"/>
  <c r="V73" i="6"/>
  <c r="V23" i="6"/>
  <c r="AH15" i="6"/>
  <c r="AI15" i="6"/>
  <c r="AJ15" i="6"/>
  <c r="AS73" i="6"/>
  <c r="AR23" i="6"/>
  <c r="AO67" i="6"/>
  <c r="AN17" i="6"/>
  <c r="AY66" i="6"/>
  <c r="AX16" i="6"/>
  <c r="AF66" i="6"/>
  <c r="AF16" i="6"/>
  <c r="AX73" i="6"/>
  <c r="AW23" i="6"/>
  <c r="U66" i="6"/>
  <c r="U16" i="6"/>
  <c r="AB66" i="6"/>
  <c r="AB16" i="6"/>
  <c r="AV66" i="6"/>
  <c r="AU16" i="6"/>
  <c r="BA15" i="6"/>
  <c r="BB15" i="6"/>
  <c r="X66" i="6"/>
  <c r="X16" i="6"/>
  <c r="BC15" i="6"/>
  <c r="AU66" i="6"/>
  <c r="AT16" i="6"/>
  <c r="AQ66" i="6"/>
  <c r="AP16" i="6"/>
  <c r="AW71" i="6"/>
  <c r="AV21" i="6"/>
  <c r="AD69" i="6"/>
  <c r="AD19" i="6"/>
  <c r="AZ68" i="6"/>
  <c r="AY18" i="6"/>
  <c r="AA72" i="6"/>
  <c r="AA22" i="6"/>
  <c r="AC68" i="6"/>
  <c r="AC18" i="6"/>
  <c r="AP80" i="6"/>
  <c r="AO30" i="6"/>
  <c r="BA70" i="6"/>
  <c r="AZ20" i="6"/>
  <c r="AE17" i="6" l="1"/>
  <c r="AE67" i="6"/>
  <c r="AT67" i="6"/>
  <c r="AS17" i="6"/>
  <c r="W17" i="6"/>
  <c r="W67" i="6"/>
  <c r="Y67" i="6"/>
  <c r="Y17" i="6"/>
  <c r="BC47" i="7"/>
  <c r="BC48" i="7"/>
  <c r="BC46" i="7"/>
  <c r="AJ46" i="7"/>
  <c r="AJ47" i="7"/>
  <c r="AJ48" i="7"/>
  <c r="AI47" i="7"/>
  <c r="AI46" i="7"/>
  <c r="AI48" i="7"/>
  <c r="BA48" i="7"/>
  <c r="BA46" i="7"/>
  <c r="BA47" i="7"/>
  <c r="AH46" i="7"/>
  <c r="AH48" i="7"/>
  <c r="AH47" i="7"/>
  <c r="BB48" i="7"/>
  <c r="BB47" i="7"/>
  <c r="BB46" i="7"/>
  <c r="AW72" i="6"/>
  <c r="AV22" i="6"/>
  <c r="AU67" i="6"/>
  <c r="AT17" i="6"/>
  <c r="X67" i="6"/>
  <c r="X17" i="6"/>
  <c r="AJ16" i="6"/>
  <c r="AI16" i="6"/>
  <c r="AH16" i="6"/>
  <c r="V74" i="6"/>
  <c r="V24" i="6"/>
  <c r="AG74" i="6"/>
  <c r="AG24" i="6"/>
  <c r="AR68" i="6"/>
  <c r="AQ18" i="6"/>
  <c r="BC16" i="6"/>
  <c r="BB16" i="6"/>
  <c r="AV67" i="6"/>
  <c r="AU17" i="6"/>
  <c r="U67" i="6"/>
  <c r="U17" i="6"/>
  <c r="AF67" i="6"/>
  <c r="AF17" i="6"/>
  <c r="AO68" i="6"/>
  <c r="AN18" i="6"/>
  <c r="AD70" i="6"/>
  <c r="AD20" i="6"/>
  <c r="AQ67" i="6"/>
  <c r="AP17" i="6"/>
  <c r="BA16" i="6"/>
  <c r="Z72" i="6"/>
  <c r="Z22" i="6"/>
  <c r="AB67" i="6"/>
  <c r="AB17" i="6"/>
  <c r="AX74" i="6"/>
  <c r="AW24" i="6"/>
  <c r="AY67" i="6"/>
  <c r="AX17" i="6"/>
  <c r="AS74" i="6"/>
  <c r="AR24" i="6"/>
  <c r="BA71" i="6"/>
  <c r="AZ21" i="6"/>
  <c r="AA73" i="6"/>
  <c r="AA23" i="6"/>
  <c r="AP81" i="6"/>
  <c r="AO31" i="6"/>
  <c r="AC69" i="6"/>
  <c r="AC19" i="6"/>
  <c r="AZ69" i="6"/>
  <c r="AY19" i="6"/>
  <c r="Y68" i="6" l="1"/>
  <c r="Y18" i="6"/>
  <c r="AT68" i="6"/>
  <c r="AS18" i="6"/>
  <c r="W18" i="6"/>
  <c r="W68" i="6"/>
  <c r="AE68" i="6"/>
  <c r="AE18" i="6"/>
  <c r="AX75" i="6"/>
  <c r="AW25" i="6"/>
  <c r="Z73" i="6"/>
  <c r="Z23" i="6"/>
  <c r="AQ68" i="6"/>
  <c r="AP18" i="6"/>
  <c r="AH17" i="6"/>
  <c r="AJ17" i="6"/>
  <c r="AI17" i="6"/>
  <c r="AO69" i="6"/>
  <c r="AN19" i="6"/>
  <c r="U68" i="6"/>
  <c r="U18" i="6"/>
  <c r="AR69" i="6"/>
  <c r="AQ19" i="6"/>
  <c r="V75" i="6"/>
  <c r="V25" i="6"/>
  <c r="BB17" i="6"/>
  <c r="BC17" i="6"/>
  <c r="BA17" i="6"/>
  <c r="AF68" i="6"/>
  <c r="AF18" i="6"/>
  <c r="AV68" i="6"/>
  <c r="AU18" i="6"/>
  <c r="AG25" i="6"/>
  <c r="AG75" i="6"/>
  <c r="AS75" i="6"/>
  <c r="AR25" i="6"/>
  <c r="AU68" i="6"/>
  <c r="AT18" i="6"/>
  <c r="AY68" i="6"/>
  <c r="AX18" i="6"/>
  <c r="AB68" i="6"/>
  <c r="AB18" i="6"/>
  <c r="AD71" i="6"/>
  <c r="AD21" i="6"/>
  <c r="X68" i="6"/>
  <c r="X18" i="6"/>
  <c r="AW73" i="6"/>
  <c r="AV23" i="6"/>
  <c r="AP82" i="6"/>
  <c r="AO32" i="6"/>
  <c r="AA74" i="6"/>
  <c r="AA24" i="6"/>
  <c r="AC70" i="6"/>
  <c r="AC20" i="6"/>
  <c r="AZ70" i="6"/>
  <c r="AY20" i="6"/>
  <c r="BA72" i="6"/>
  <c r="AZ22" i="6"/>
  <c r="BB18" i="6" l="1"/>
  <c r="AE69" i="6"/>
  <c r="AE19" i="6"/>
  <c r="AT69" i="6"/>
  <c r="AS19" i="6"/>
  <c r="W19" i="6"/>
  <c r="W69" i="6"/>
  <c r="Y19" i="6"/>
  <c r="Y69" i="6"/>
  <c r="BC18" i="6"/>
  <c r="X69" i="6"/>
  <c r="X19" i="6"/>
  <c r="AU69" i="6"/>
  <c r="AT19" i="6"/>
  <c r="V76" i="6"/>
  <c r="V26" i="6"/>
  <c r="AQ69" i="6"/>
  <c r="AP19" i="6"/>
  <c r="AW74" i="6"/>
  <c r="AV24" i="6"/>
  <c r="AD72" i="6"/>
  <c r="AD22" i="6"/>
  <c r="AY69" i="6"/>
  <c r="AX19" i="6"/>
  <c r="AS76" i="6"/>
  <c r="AR26" i="6"/>
  <c r="AV69" i="6"/>
  <c r="AU19" i="6"/>
  <c r="AG76" i="6"/>
  <c r="AG26" i="6"/>
  <c r="AR70" i="6"/>
  <c r="AQ20" i="6"/>
  <c r="AO70" i="6"/>
  <c r="AN20" i="6"/>
  <c r="Z74" i="6"/>
  <c r="Z24" i="6"/>
  <c r="AB69" i="6"/>
  <c r="AB19" i="6"/>
  <c r="BA18" i="6"/>
  <c r="AF69" i="6"/>
  <c r="AF19" i="6"/>
  <c r="AH18" i="6"/>
  <c r="AJ18" i="6"/>
  <c r="AI18" i="6"/>
  <c r="U69" i="6"/>
  <c r="U19" i="6"/>
  <c r="AX76" i="6"/>
  <c r="AW26" i="6"/>
  <c r="BA73" i="6"/>
  <c r="AZ23" i="6"/>
  <c r="AP83" i="6"/>
  <c r="AO33" i="6"/>
  <c r="AC71" i="6"/>
  <c r="AC21" i="6"/>
  <c r="AZ71" i="6"/>
  <c r="AY21" i="6"/>
  <c r="AA75" i="6"/>
  <c r="AA25" i="6"/>
  <c r="W70" i="6" l="1"/>
  <c r="W20" i="6"/>
  <c r="AT70" i="6"/>
  <c r="AS20" i="6"/>
  <c r="Y70" i="6"/>
  <c r="Y20" i="6"/>
  <c r="AE20" i="6"/>
  <c r="AE70" i="6"/>
  <c r="Z75" i="6"/>
  <c r="Z25" i="6"/>
  <c r="AR71" i="6"/>
  <c r="AQ21" i="6"/>
  <c r="AV70" i="6"/>
  <c r="AU20" i="6"/>
  <c r="AY70" i="6"/>
  <c r="AX20" i="6"/>
  <c r="AW75" i="6"/>
  <c r="AV25" i="6"/>
  <c r="U70" i="6"/>
  <c r="U20" i="6"/>
  <c r="V77" i="6"/>
  <c r="V27" i="6"/>
  <c r="AF70" i="6"/>
  <c r="AF20" i="6"/>
  <c r="AB70" i="6"/>
  <c r="AB20" i="6"/>
  <c r="AO71" i="6"/>
  <c r="AN21" i="6"/>
  <c r="AG77" i="6"/>
  <c r="AG27" i="6"/>
  <c r="AS77" i="6"/>
  <c r="AR27" i="6"/>
  <c r="AD73" i="6"/>
  <c r="AD23" i="6"/>
  <c r="BA19" i="6"/>
  <c r="BC19" i="6"/>
  <c r="BB19" i="6"/>
  <c r="X70" i="6"/>
  <c r="X20" i="6"/>
  <c r="AX77" i="6"/>
  <c r="AW27" i="6"/>
  <c r="AQ70" i="6"/>
  <c r="AP20" i="6"/>
  <c r="AU70" i="6"/>
  <c r="AT20" i="6"/>
  <c r="AJ19" i="6"/>
  <c r="AH19" i="6"/>
  <c r="AI19" i="6"/>
  <c r="AC22" i="6"/>
  <c r="AC72" i="6"/>
  <c r="AP84" i="6"/>
  <c r="AO34" i="6"/>
  <c r="BA74" i="6"/>
  <c r="AZ24" i="6"/>
  <c r="AA76" i="6"/>
  <c r="AA26" i="6"/>
  <c r="AZ72" i="6"/>
  <c r="AY22" i="6"/>
  <c r="AE71" i="6" l="1"/>
  <c r="AE21" i="6"/>
  <c r="Y71" i="6"/>
  <c r="Y21" i="6"/>
  <c r="AT71" i="6"/>
  <c r="AS21" i="6"/>
  <c r="W71" i="6"/>
  <c r="W21" i="6"/>
  <c r="AU71" i="6"/>
  <c r="AT21" i="6"/>
  <c r="AS78" i="6"/>
  <c r="AR28" i="6"/>
  <c r="AO72" i="6"/>
  <c r="AN22" i="6"/>
  <c r="AF71" i="6"/>
  <c r="AF21" i="6"/>
  <c r="U21" i="6"/>
  <c r="U71" i="6"/>
  <c r="AY71" i="6"/>
  <c r="AX21" i="6"/>
  <c r="AR72" i="6"/>
  <c r="AQ22" i="6"/>
  <c r="BB20" i="6"/>
  <c r="BC20" i="6"/>
  <c r="BA20" i="6"/>
  <c r="X71" i="6"/>
  <c r="X21" i="6"/>
  <c r="V78" i="6"/>
  <c r="V28" i="6"/>
  <c r="AG78" i="6"/>
  <c r="AG28" i="6"/>
  <c r="AB71" i="6"/>
  <c r="AB21" i="6"/>
  <c r="AW76" i="6"/>
  <c r="AV26" i="6"/>
  <c r="AV71" i="6"/>
  <c r="AU21" i="6"/>
  <c r="Z76" i="6"/>
  <c r="Z26" i="6"/>
  <c r="AX78" i="6"/>
  <c r="AW28" i="6"/>
  <c r="AJ20" i="6"/>
  <c r="AH20" i="6"/>
  <c r="AI20" i="6"/>
  <c r="AQ71" i="6"/>
  <c r="AP21" i="6"/>
  <c r="BA21" i="6" s="1"/>
  <c r="AD74" i="6"/>
  <c r="AD24" i="6"/>
  <c r="BA75" i="6"/>
  <c r="AZ25" i="6"/>
  <c r="AP85" i="6"/>
  <c r="AO35" i="6"/>
  <c r="AC73" i="6"/>
  <c r="AC23" i="6"/>
  <c r="AZ73" i="6"/>
  <c r="AY23" i="6"/>
  <c r="AA77" i="6"/>
  <c r="AA27" i="6"/>
  <c r="Y72" i="6" l="1"/>
  <c r="Y22" i="6"/>
  <c r="AT72" i="6"/>
  <c r="AS22" i="6"/>
  <c r="AE72" i="6"/>
  <c r="AE22" i="6"/>
  <c r="W72" i="6"/>
  <c r="W22" i="6"/>
  <c r="AR73" i="6"/>
  <c r="AQ23" i="6"/>
  <c r="AH21" i="6"/>
  <c r="AI21" i="6"/>
  <c r="AJ21" i="6"/>
  <c r="AD75" i="6"/>
  <c r="AD25" i="6"/>
  <c r="AV72" i="6"/>
  <c r="AU22" i="6"/>
  <c r="AB72" i="6"/>
  <c r="AB22" i="6"/>
  <c r="X72" i="6"/>
  <c r="X22" i="6"/>
  <c r="AF72" i="6"/>
  <c r="AF22" i="6"/>
  <c r="AS79" i="6"/>
  <c r="AR29" i="6"/>
  <c r="BC21" i="6"/>
  <c r="BB21" i="6"/>
  <c r="AY72" i="6"/>
  <c r="AX22" i="6"/>
  <c r="AQ72" i="6"/>
  <c r="AP22" i="6"/>
  <c r="Z77" i="6"/>
  <c r="Z27" i="6"/>
  <c r="AW77" i="6"/>
  <c r="AV27" i="6"/>
  <c r="AG29" i="6"/>
  <c r="AG79" i="6"/>
  <c r="V79" i="6"/>
  <c r="V29" i="6"/>
  <c r="U72" i="6"/>
  <c r="U22" i="6"/>
  <c r="AO73" i="6"/>
  <c r="AN23" i="6"/>
  <c r="AX79" i="6"/>
  <c r="AW29" i="6"/>
  <c r="AU72" i="6"/>
  <c r="AT22" i="6"/>
  <c r="AC74" i="6"/>
  <c r="AC24" i="6"/>
  <c r="AP86" i="6"/>
  <c r="AO36" i="6"/>
  <c r="AA28" i="6"/>
  <c r="AA78" i="6"/>
  <c r="AZ74" i="6"/>
  <c r="AY24" i="6"/>
  <c r="BA76" i="6"/>
  <c r="AZ26" i="6"/>
  <c r="W73" i="6" l="1"/>
  <c r="W23" i="6"/>
  <c r="AT73" i="6"/>
  <c r="AS23" i="6"/>
  <c r="AE23" i="6"/>
  <c r="AE73" i="6"/>
  <c r="Y73" i="6"/>
  <c r="Y23" i="6"/>
  <c r="BB22" i="6"/>
  <c r="V80" i="6"/>
  <c r="V30" i="6"/>
  <c r="AW78" i="6"/>
  <c r="AV28" i="6"/>
  <c r="AS80" i="6"/>
  <c r="AR30" i="6"/>
  <c r="X73" i="6"/>
  <c r="X23" i="6"/>
  <c r="AB73" i="6"/>
  <c r="AB23" i="6"/>
  <c r="AD76" i="6"/>
  <c r="AD26" i="6"/>
  <c r="AU73" i="6"/>
  <c r="AT23" i="6"/>
  <c r="AP23" i="6"/>
  <c r="AQ73" i="6"/>
  <c r="AI22" i="6"/>
  <c r="AH22" i="6"/>
  <c r="AJ22" i="6"/>
  <c r="AG30" i="6"/>
  <c r="AG80" i="6"/>
  <c r="AR74" i="6"/>
  <c r="AQ24" i="6"/>
  <c r="BC22" i="6"/>
  <c r="BA22" i="6"/>
  <c r="AO74" i="6"/>
  <c r="AN24" i="6"/>
  <c r="AY73" i="6"/>
  <c r="AX23" i="6"/>
  <c r="AX80" i="6"/>
  <c r="AW30" i="6"/>
  <c r="U73" i="6"/>
  <c r="U23" i="6"/>
  <c r="Z78" i="6"/>
  <c r="Z28" i="6"/>
  <c r="AF73" i="6"/>
  <c r="AF23" i="6"/>
  <c r="AV73" i="6"/>
  <c r="AU23" i="6"/>
  <c r="AZ75" i="6"/>
  <c r="AY25" i="6"/>
  <c r="AP87" i="6"/>
  <c r="AO37" i="6"/>
  <c r="BA77" i="6"/>
  <c r="AZ27" i="6"/>
  <c r="AA79" i="6"/>
  <c r="AA29" i="6"/>
  <c r="AC75" i="6"/>
  <c r="AC25" i="6"/>
  <c r="Y74" i="6" l="1"/>
  <c r="Y24" i="6"/>
  <c r="AT74" i="6"/>
  <c r="AS24" i="6"/>
  <c r="AE24" i="6"/>
  <c r="AE74" i="6"/>
  <c r="W74" i="6"/>
  <c r="W24" i="6"/>
  <c r="BB23" i="6"/>
  <c r="AH23" i="6"/>
  <c r="AI23" i="6"/>
  <c r="AJ23" i="6"/>
  <c r="AD77" i="6"/>
  <c r="AD27" i="6"/>
  <c r="X74" i="6"/>
  <c r="X24" i="6"/>
  <c r="AW79" i="6"/>
  <c r="AV29" i="6"/>
  <c r="AF74" i="6"/>
  <c r="AF24" i="6"/>
  <c r="U24" i="6"/>
  <c r="U74" i="6"/>
  <c r="AY74" i="6"/>
  <c r="AX24" i="6"/>
  <c r="AU74" i="6"/>
  <c r="AT24" i="6"/>
  <c r="AP24" i="6"/>
  <c r="AQ74" i="6"/>
  <c r="AB74" i="6"/>
  <c r="AB24" i="6"/>
  <c r="AS81" i="6"/>
  <c r="AR31" i="6"/>
  <c r="V81" i="6"/>
  <c r="V31" i="6"/>
  <c r="AV74" i="6"/>
  <c r="AU24" i="6"/>
  <c r="Z79" i="6"/>
  <c r="Z29" i="6"/>
  <c r="AX81" i="6"/>
  <c r="AW31" i="6"/>
  <c r="AO75" i="6"/>
  <c r="AN25" i="6"/>
  <c r="AR75" i="6"/>
  <c r="AQ25" i="6"/>
  <c r="AG81" i="6"/>
  <c r="AG31" i="6"/>
  <c r="BA23" i="6"/>
  <c r="BC23" i="6"/>
  <c r="AC76" i="6"/>
  <c r="AC26" i="6"/>
  <c r="AZ76" i="6"/>
  <c r="AY26" i="6"/>
  <c r="BA78" i="6"/>
  <c r="AZ28" i="6"/>
  <c r="AA80" i="6"/>
  <c r="AA30" i="6"/>
  <c r="AP88" i="6"/>
  <c r="AO38" i="6"/>
  <c r="W75" i="6" l="1"/>
  <c r="W25" i="6"/>
  <c r="AT75" i="6"/>
  <c r="AS25" i="6"/>
  <c r="AE75" i="6"/>
  <c r="AE25" i="6"/>
  <c r="Y25" i="6"/>
  <c r="Y75" i="6"/>
  <c r="AR76" i="6"/>
  <c r="AQ26" i="6"/>
  <c r="AB75" i="6"/>
  <c r="AB25" i="6"/>
  <c r="AG82" i="6"/>
  <c r="AG32" i="6"/>
  <c r="AO76" i="6"/>
  <c r="AN26" i="6"/>
  <c r="Z80" i="6"/>
  <c r="Z30" i="6"/>
  <c r="AV75" i="6"/>
  <c r="AU25" i="6"/>
  <c r="AS82" i="6"/>
  <c r="AR32" i="6"/>
  <c r="AQ75" i="6"/>
  <c r="AP25" i="6"/>
  <c r="U75" i="6"/>
  <c r="U25" i="6"/>
  <c r="BC24" i="6"/>
  <c r="BA24" i="6"/>
  <c r="BB24" i="6"/>
  <c r="AU75" i="6"/>
  <c r="AT25" i="6"/>
  <c r="AI24" i="6"/>
  <c r="AJ24" i="6"/>
  <c r="AH24" i="6"/>
  <c r="X75" i="6"/>
  <c r="X25" i="6"/>
  <c r="V82" i="6"/>
  <c r="V32" i="6"/>
  <c r="AX82" i="6"/>
  <c r="AW32" i="6"/>
  <c r="AY75" i="6"/>
  <c r="AX25" i="6"/>
  <c r="AF75" i="6"/>
  <c r="AF25" i="6"/>
  <c r="AW80" i="6"/>
  <c r="AV30" i="6"/>
  <c r="AD78" i="6"/>
  <c r="AD28" i="6"/>
  <c r="BA79" i="6"/>
  <c r="AZ29" i="6"/>
  <c r="AZ77" i="6"/>
  <c r="AY27" i="6"/>
  <c r="AA81" i="6"/>
  <c r="AA31" i="6"/>
  <c r="AO42" i="6"/>
  <c r="AO41" i="6"/>
  <c r="AO40" i="6"/>
  <c r="AC77" i="6"/>
  <c r="AC27" i="6"/>
  <c r="Y26" i="6" l="1"/>
  <c r="Y76" i="6"/>
  <c r="AT76" i="6"/>
  <c r="AS26" i="6"/>
  <c r="AE76" i="6"/>
  <c r="AE26" i="6"/>
  <c r="W76" i="6"/>
  <c r="W26" i="6"/>
  <c r="AX83" i="6"/>
  <c r="AW33" i="6"/>
  <c r="U26" i="6"/>
  <c r="U76" i="6"/>
  <c r="AS83" i="6"/>
  <c r="AR33" i="6"/>
  <c r="Z81" i="6"/>
  <c r="Z31" i="6"/>
  <c r="AG33" i="6"/>
  <c r="AG83" i="6"/>
  <c r="AR77" i="6"/>
  <c r="AQ27" i="6"/>
  <c r="BA25" i="6"/>
  <c r="BB25" i="6"/>
  <c r="BC25" i="6"/>
  <c r="AW81" i="6"/>
  <c r="AV31" i="6"/>
  <c r="AY76" i="6"/>
  <c r="AX26" i="6"/>
  <c r="X76" i="6"/>
  <c r="X26" i="6"/>
  <c r="V83" i="6"/>
  <c r="V33" i="6"/>
  <c r="AQ76" i="6"/>
  <c r="AP26" i="6"/>
  <c r="AV76" i="6"/>
  <c r="AU26" i="6"/>
  <c r="AO77" i="6"/>
  <c r="AN27" i="6"/>
  <c r="AB76" i="6"/>
  <c r="AB26" i="6"/>
  <c r="AD79" i="6"/>
  <c r="AD29" i="6"/>
  <c r="AF76" i="6"/>
  <c r="AF26" i="6"/>
  <c r="AU76" i="6"/>
  <c r="AT26" i="6"/>
  <c r="AI25" i="6"/>
  <c r="AH25" i="6"/>
  <c r="AJ25" i="6"/>
  <c r="BA80" i="6"/>
  <c r="AZ30" i="6"/>
  <c r="AC78" i="6"/>
  <c r="AC28" i="6"/>
  <c r="AA82" i="6"/>
  <c r="AA32" i="6"/>
  <c r="AZ78" i="6"/>
  <c r="AY28" i="6"/>
  <c r="Y77" i="6" l="1"/>
  <c r="Y27" i="6"/>
  <c r="AE77" i="6"/>
  <c r="AE27" i="6"/>
  <c r="W77" i="6"/>
  <c r="W27" i="6"/>
  <c r="AT77" i="6"/>
  <c r="AS27" i="6"/>
  <c r="AF77" i="6"/>
  <c r="AF27" i="6"/>
  <c r="AB77" i="6"/>
  <c r="AB27" i="6"/>
  <c r="AV77" i="6"/>
  <c r="AU27" i="6"/>
  <c r="V84" i="6"/>
  <c r="V34" i="6"/>
  <c r="AY77" i="6"/>
  <c r="AX27" i="6"/>
  <c r="AG84" i="6"/>
  <c r="AG34" i="6"/>
  <c r="BB26" i="6"/>
  <c r="BA26" i="6"/>
  <c r="BC26" i="6"/>
  <c r="AS84" i="6"/>
  <c r="AR34" i="6"/>
  <c r="AX84" i="6"/>
  <c r="AW34" i="6"/>
  <c r="AU77" i="6"/>
  <c r="AT27" i="6"/>
  <c r="AD80" i="6"/>
  <c r="AD30" i="6"/>
  <c r="AO78" i="6"/>
  <c r="AN28" i="6"/>
  <c r="AQ77" i="6"/>
  <c r="AP27" i="6"/>
  <c r="X77" i="6"/>
  <c r="X27" i="6"/>
  <c r="AW82" i="6"/>
  <c r="AV32" i="6"/>
  <c r="U77" i="6"/>
  <c r="U27" i="6"/>
  <c r="AR78" i="6"/>
  <c r="AQ28" i="6"/>
  <c r="Z82" i="6"/>
  <c r="Z32" i="6"/>
  <c r="AI26" i="6"/>
  <c r="AJ26" i="6"/>
  <c r="AH26" i="6"/>
  <c r="AC79" i="6"/>
  <c r="AC29" i="6"/>
  <c r="BA81" i="6"/>
  <c r="AZ31" i="6"/>
  <c r="AZ79" i="6"/>
  <c r="AY29" i="6"/>
  <c r="AA83" i="6"/>
  <c r="AA33" i="6"/>
  <c r="W78" i="6" l="1"/>
  <c r="W28" i="6"/>
  <c r="Y28" i="6"/>
  <c r="Y78" i="6"/>
  <c r="AT78" i="6"/>
  <c r="AS28" i="6"/>
  <c r="AE78" i="6"/>
  <c r="AE28" i="6"/>
  <c r="AR79" i="6"/>
  <c r="AQ29" i="6"/>
  <c r="AW83" i="6"/>
  <c r="AV33" i="6"/>
  <c r="AQ78" i="6"/>
  <c r="AP28" i="6"/>
  <c r="AD81" i="6"/>
  <c r="AD31" i="6"/>
  <c r="Z83" i="6"/>
  <c r="Z33" i="6"/>
  <c r="U78" i="6"/>
  <c r="U28" i="6"/>
  <c r="X78" i="6"/>
  <c r="X28" i="6"/>
  <c r="AO79" i="6"/>
  <c r="AN29" i="6"/>
  <c r="AU78" i="6"/>
  <c r="AT28" i="6"/>
  <c r="AG35" i="6"/>
  <c r="AG85" i="6"/>
  <c r="V35" i="6"/>
  <c r="V85" i="6"/>
  <c r="AB78" i="6"/>
  <c r="AB28" i="6"/>
  <c r="BC27" i="6"/>
  <c r="BA27" i="6"/>
  <c r="AS85" i="6"/>
  <c r="AR35" i="6"/>
  <c r="AY78" i="6"/>
  <c r="AX28" i="6"/>
  <c r="AV78" i="6"/>
  <c r="AU28" i="6"/>
  <c r="AF78" i="6"/>
  <c r="AF28" i="6"/>
  <c r="AI27" i="6"/>
  <c r="AJ27" i="6"/>
  <c r="AH27" i="6"/>
  <c r="AX85" i="6"/>
  <c r="AW35" i="6"/>
  <c r="BB27" i="6"/>
  <c r="AZ80" i="6"/>
  <c r="AY30" i="6"/>
  <c r="AC80" i="6"/>
  <c r="AC30" i="6"/>
  <c r="AA84" i="6"/>
  <c r="AA34" i="6"/>
  <c r="BA82" i="6"/>
  <c r="AZ32" i="6"/>
  <c r="Y79" i="6" l="1"/>
  <c r="Y29" i="6"/>
  <c r="AE29" i="6"/>
  <c r="AE79" i="6"/>
  <c r="AT79" i="6"/>
  <c r="AS29" i="6"/>
  <c r="W79" i="6"/>
  <c r="W29" i="6"/>
  <c r="BC28" i="6"/>
  <c r="BA28" i="6"/>
  <c r="AF79" i="6"/>
  <c r="AF29" i="6"/>
  <c r="X79" i="6"/>
  <c r="X29" i="6"/>
  <c r="AQ79" i="6"/>
  <c r="AP29" i="6"/>
  <c r="AG86" i="6"/>
  <c r="AG36" i="6"/>
  <c r="AI28" i="6"/>
  <c r="AH28" i="6"/>
  <c r="AJ28" i="6"/>
  <c r="AV79" i="6"/>
  <c r="AU29" i="6"/>
  <c r="AS86" i="6"/>
  <c r="AR36" i="6"/>
  <c r="AB79" i="6"/>
  <c r="AB29" i="6"/>
  <c r="AO80" i="6"/>
  <c r="AN30" i="6"/>
  <c r="U79" i="6"/>
  <c r="U29" i="6"/>
  <c r="AD82" i="6"/>
  <c r="AD32" i="6"/>
  <c r="AW84" i="6"/>
  <c r="AV34" i="6"/>
  <c r="AY79" i="6"/>
  <c r="AX29" i="6"/>
  <c r="AU79" i="6"/>
  <c r="AT29" i="6"/>
  <c r="AR80" i="6"/>
  <c r="AQ30" i="6"/>
  <c r="V86" i="6"/>
  <c r="V36" i="6"/>
  <c r="Z84" i="6"/>
  <c r="Z34" i="6"/>
  <c r="AX86" i="6"/>
  <c r="AW36" i="6"/>
  <c r="BB28" i="6"/>
  <c r="AC81" i="6"/>
  <c r="AC31" i="6"/>
  <c r="AA85" i="6"/>
  <c r="AA35" i="6"/>
  <c r="AZ81" i="6"/>
  <c r="AY31" i="6"/>
  <c r="BA83" i="6"/>
  <c r="AZ33" i="6"/>
  <c r="AE80" i="6" l="1"/>
  <c r="AE30" i="6"/>
  <c r="W80" i="6"/>
  <c r="W30" i="6"/>
  <c r="AT80" i="6"/>
  <c r="AS30" i="6"/>
  <c r="Y80" i="6"/>
  <c r="Y30" i="6"/>
  <c r="X80" i="6"/>
  <c r="X30" i="6"/>
  <c r="AD83" i="6"/>
  <c r="AD33" i="6"/>
  <c r="AJ29" i="6"/>
  <c r="AH29" i="6"/>
  <c r="AI29" i="6"/>
  <c r="AQ80" i="6"/>
  <c r="AP30" i="6"/>
  <c r="AF80" i="6"/>
  <c r="AF30" i="6"/>
  <c r="Z85" i="6"/>
  <c r="Z35" i="6"/>
  <c r="AY80" i="6"/>
  <c r="AX30" i="6"/>
  <c r="AO81" i="6"/>
  <c r="AN31" i="6"/>
  <c r="AS87" i="6"/>
  <c r="AR37" i="6"/>
  <c r="BA29" i="6"/>
  <c r="BC29" i="6"/>
  <c r="AW37" i="6"/>
  <c r="AX87" i="6"/>
  <c r="V87" i="6"/>
  <c r="V37" i="6"/>
  <c r="AU80" i="6"/>
  <c r="AT30" i="6"/>
  <c r="AW85" i="6"/>
  <c r="AV35" i="6"/>
  <c r="U30" i="6"/>
  <c r="U80" i="6"/>
  <c r="AB80" i="6"/>
  <c r="AB30" i="6"/>
  <c r="AV80" i="6"/>
  <c r="AU30" i="6"/>
  <c r="BB30" i="6" s="1"/>
  <c r="AG87" i="6"/>
  <c r="AG37" i="6"/>
  <c r="AR81" i="6"/>
  <c r="AQ31" i="6"/>
  <c r="BB29" i="6"/>
  <c r="AA86" i="6"/>
  <c r="AA36" i="6"/>
  <c r="AC82" i="6"/>
  <c r="AC32" i="6"/>
  <c r="BA84" i="6"/>
  <c r="AZ34" i="6"/>
  <c r="AZ82" i="6"/>
  <c r="AY32" i="6"/>
  <c r="BA30" i="6" l="1"/>
  <c r="Y81" i="6"/>
  <c r="Y31" i="6"/>
  <c r="W81" i="6"/>
  <c r="W31" i="6"/>
  <c r="AT81" i="6"/>
  <c r="AS31" i="6"/>
  <c r="AE81" i="6"/>
  <c r="AE31" i="6"/>
  <c r="AQ32" i="6"/>
  <c r="AR82" i="6"/>
  <c r="AV81" i="6"/>
  <c r="AU31" i="6"/>
  <c r="AJ30" i="6"/>
  <c r="AH30" i="6"/>
  <c r="AI30" i="6"/>
  <c r="AU81" i="6"/>
  <c r="AT31" i="6"/>
  <c r="BC30" i="6"/>
  <c r="AG88" i="6"/>
  <c r="AG38" i="6"/>
  <c r="AB81" i="6"/>
  <c r="AB31" i="6"/>
  <c r="AW86" i="6"/>
  <c r="AV36" i="6"/>
  <c r="V88" i="6"/>
  <c r="V38" i="6"/>
  <c r="AO82" i="6"/>
  <c r="AN32" i="6"/>
  <c r="Z86" i="6"/>
  <c r="Z36" i="6"/>
  <c r="AQ81" i="6"/>
  <c r="AP31" i="6"/>
  <c r="X81" i="6"/>
  <c r="X31" i="6"/>
  <c r="U81" i="6"/>
  <c r="U31" i="6"/>
  <c r="AX88" i="6"/>
  <c r="AW38" i="6"/>
  <c r="AS88" i="6"/>
  <c r="AR38" i="6"/>
  <c r="AY81" i="6"/>
  <c r="AX31" i="6"/>
  <c r="AF81" i="6"/>
  <c r="AF31" i="6"/>
  <c r="AD84" i="6"/>
  <c r="AD34" i="6"/>
  <c r="AZ83" i="6"/>
  <c r="AY33" i="6"/>
  <c r="AA87" i="6"/>
  <c r="AA37" i="6"/>
  <c r="BA85" i="6"/>
  <c r="AZ35" i="6"/>
  <c r="AC83" i="6"/>
  <c r="AC33" i="6"/>
  <c r="AE82" i="6" l="1"/>
  <c r="AE32" i="6"/>
  <c r="W82" i="6"/>
  <c r="W32" i="6"/>
  <c r="AT82" i="6"/>
  <c r="AS32" i="6"/>
  <c r="Y82" i="6"/>
  <c r="Y32" i="6"/>
  <c r="AW40" i="6"/>
  <c r="AW41" i="6"/>
  <c r="AW42" i="6"/>
  <c r="V42" i="6"/>
  <c r="V41" i="6"/>
  <c r="V40" i="6"/>
  <c r="AV82" i="6"/>
  <c r="AU32" i="6"/>
  <c r="AY82" i="6"/>
  <c r="AX32" i="6"/>
  <c r="X82" i="6"/>
  <c r="X32" i="6"/>
  <c r="AB82" i="6"/>
  <c r="AB32" i="6"/>
  <c r="AR41" i="6"/>
  <c r="AR42" i="6"/>
  <c r="AR40" i="6"/>
  <c r="BC31" i="6"/>
  <c r="BB31" i="6"/>
  <c r="BA31" i="6"/>
  <c r="AG41" i="6"/>
  <c r="AG42" i="6"/>
  <c r="AG40" i="6"/>
  <c r="AD85" i="6"/>
  <c r="AD35" i="6"/>
  <c r="Z87" i="6"/>
  <c r="Z37" i="6"/>
  <c r="AR83" i="6"/>
  <c r="AQ33" i="6"/>
  <c r="AH31" i="6"/>
  <c r="AI31" i="6"/>
  <c r="AJ31" i="6"/>
  <c r="AF82" i="6"/>
  <c r="AF32" i="6"/>
  <c r="U32" i="6"/>
  <c r="U82" i="6"/>
  <c r="AQ82" i="6"/>
  <c r="AP32" i="6"/>
  <c r="AO83" i="6"/>
  <c r="AN33" i="6"/>
  <c r="AW87" i="6"/>
  <c r="AV37" i="6"/>
  <c r="AU82" i="6"/>
  <c r="AT32" i="6"/>
  <c r="BA86" i="6"/>
  <c r="AZ36" i="6"/>
  <c r="AA88" i="6"/>
  <c r="AA38" i="6"/>
  <c r="AZ84" i="6"/>
  <c r="AY34" i="6"/>
  <c r="AC84" i="6"/>
  <c r="AC34" i="6"/>
  <c r="Y83" i="6" l="1"/>
  <c r="Y33" i="6"/>
  <c r="W33" i="6"/>
  <c r="W83" i="6"/>
  <c r="AS33" i="6"/>
  <c r="AT83" i="6"/>
  <c r="AE33" i="6"/>
  <c r="AE83" i="6"/>
  <c r="BB32" i="6"/>
  <c r="BA32" i="6"/>
  <c r="Z38" i="6"/>
  <c r="Z88" i="6"/>
  <c r="AB33" i="6"/>
  <c r="AB83" i="6"/>
  <c r="AX33" i="6"/>
  <c r="AY83" i="6"/>
  <c r="AW88" i="6"/>
  <c r="AV38" i="6"/>
  <c r="AF83" i="6"/>
  <c r="AF33" i="6"/>
  <c r="AD86" i="6"/>
  <c r="AD36" i="6"/>
  <c r="AP33" i="6"/>
  <c r="AQ83" i="6"/>
  <c r="U83" i="6"/>
  <c r="U33" i="6"/>
  <c r="AR84" i="6"/>
  <c r="AQ34" i="6"/>
  <c r="AT33" i="6"/>
  <c r="AU83" i="6"/>
  <c r="AO84" i="6"/>
  <c r="AN34" i="6"/>
  <c r="AI32" i="6"/>
  <c r="AH32" i="6"/>
  <c r="AJ32" i="6"/>
  <c r="X83" i="6"/>
  <c r="X33" i="6"/>
  <c r="AV83" i="6"/>
  <c r="AU33" i="6"/>
  <c r="BC32" i="6"/>
  <c r="AC85" i="6"/>
  <c r="AC35" i="6"/>
  <c r="AA42" i="6"/>
  <c r="AA40" i="6"/>
  <c r="AA41" i="6"/>
  <c r="BA87" i="6"/>
  <c r="AZ37" i="6"/>
  <c r="AZ85" i="6"/>
  <c r="AY35" i="6"/>
  <c r="W84" i="6" l="1"/>
  <c r="W34" i="6"/>
  <c r="AS34" i="6"/>
  <c r="AT84" i="6"/>
  <c r="AE84" i="6"/>
  <c r="AE34" i="6"/>
  <c r="Y84" i="6"/>
  <c r="Y34" i="6"/>
  <c r="AV84" i="6"/>
  <c r="AU34" i="6"/>
  <c r="AU84" i="6"/>
  <c r="AT34" i="6"/>
  <c r="AI33" i="6"/>
  <c r="AH33" i="6"/>
  <c r="AJ33" i="6"/>
  <c r="AV42" i="6"/>
  <c r="AV40" i="6"/>
  <c r="AB34" i="6"/>
  <c r="AB84" i="6"/>
  <c r="AD87" i="6"/>
  <c r="AD37" i="6"/>
  <c r="X34" i="6"/>
  <c r="X84" i="6"/>
  <c r="AQ84" i="6"/>
  <c r="AP34" i="6"/>
  <c r="AY84" i="6"/>
  <c r="AX34" i="6"/>
  <c r="AV41" i="6"/>
  <c r="U34" i="6"/>
  <c r="U84" i="6"/>
  <c r="AO85" i="6"/>
  <c r="AN35" i="6"/>
  <c r="AR85" i="6"/>
  <c r="AQ35" i="6"/>
  <c r="BB33" i="6"/>
  <c r="BC33" i="6"/>
  <c r="AF84" i="6"/>
  <c r="AF34" i="6"/>
  <c r="Z40" i="6"/>
  <c r="Z42" i="6"/>
  <c r="Z41" i="6"/>
  <c r="BA33" i="6"/>
  <c r="AZ86" i="6"/>
  <c r="AY36" i="6"/>
  <c r="BA88" i="6"/>
  <c r="AZ38" i="6"/>
  <c r="AC86" i="6"/>
  <c r="AC36" i="6"/>
  <c r="Y85" i="6" l="1"/>
  <c r="Y35" i="6"/>
  <c r="AT85" i="6"/>
  <c r="AS35" i="6"/>
  <c r="AE85" i="6"/>
  <c r="AE35" i="6"/>
  <c r="W85" i="6"/>
  <c r="W35" i="6"/>
  <c r="AQ85" i="6"/>
  <c r="AP35" i="6"/>
  <c r="AD88" i="6"/>
  <c r="AD38" i="6"/>
  <c r="X85" i="6"/>
  <c r="X35" i="6"/>
  <c r="AB35" i="6"/>
  <c r="AB85" i="6"/>
  <c r="AU85" i="6"/>
  <c r="AT35" i="6"/>
  <c r="U35" i="6"/>
  <c r="U85" i="6"/>
  <c r="AX35" i="6"/>
  <c r="AY85" i="6"/>
  <c r="AO86" i="6"/>
  <c r="AN36" i="6"/>
  <c r="AF35" i="6"/>
  <c r="AF85" i="6"/>
  <c r="AR86" i="6"/>
  <c r="AQ36" i="6"/>
  <c r="AJ34" i="6"/>
  <c r="AI34" i="6"/>
  <c r="AH34" i="6"/>
  <c r="BC34" i="6"/>
  <c r="BA34" i="6"/>
  <c r="BB34" i="6"/>
  <c r="AV85" i="6"/>
  <c r="AU35" i="6"/>
  <c r="AZ87" i="6"/>
  <c r="AY37" i="6"/>
  <c r="AC87" i="6"/>
  <c r="AC37" i="6"/>
  <c r="AZ42" i="6"/>
  <c r="AZ41" i="6"/>
  <c r="AZ40" i="6"/>
  <c r="W86" i="6" l="1"/>
  <c r="W36" i="6"/>
  <c r="AT86" i="6"/>
  <c r="AS36" i="6"/>
  <c r="AE86" i="6"/>
  <c r="AE36" i="6"/>
  <c r="Y86" i="6"/>
  <c r="Y36" i="6"/>
  <c r="AV86" i="6"/>
  <c r="AU36" i="6"/>
  <c r="AR87" i="6"/>
  <c r="AQ37" i="6"/>
  <c r="AO87" i="6"/>
  <c r="AN37" i="6"/>
  <c r="AI35" i="6"/>
  <c r="AJ35" i="6"/>
  <c r="AH35" i="6"/>
  <c r="AF86" i="6"/>
  <c r="AF36" i="6"/>
  <c r="AX36" i="6"/>
  <c r="AY86" i="6"/>
  <c r="BC35" i="6"/>
  <c r="BA35" i="6"/>
  <c r="AU86" i="6"/>
  <c r="AT36" i="6"/>
  <c r="X86" i="6"/>
  <c r="X36" i="6"/>
  <c r="AQ86" i="6"/>
  <c r="AP36" i="6"/>
  <c r="U86" i="6"/>
  <c r="U36" i="6"/>
  <c r="AB86" i="6"/>
  <c r="AB36" i="6"/>
  <c r="AD42" i="6"/>
  <c r="AD40" i="6"/>
  <c r="AD41" i="6"/>
  <c r="BB35" i="6"/>
  <c r="AZ88" i="6"/>
  <c r="AY38" i="6"/>
  <c r="AC88" i="6"/>
  <c r="AC38" i="6"/>
  <c r="AE87" i="6" l="1"/>
  <c r="AE37" i="6"/>
  <c r="W87" i="6"/>
  <c r="W37" i="6"/>
  <c r="Y37" i="6"/>
  <c r="Y87" i="6"/>
  <c r="AT87" i="6"/>
  <c r="AS37" i="6"/>
  <c r="BC36" i="6"/>
  <c r="BB36" i="6"/>
  <c r="BA36" i="6"/>
  <c r="AB87" i="6"/>
  <c r="AB37" i="6"/>
  <c r="AQ87" i="6"/>
  <c r="AP37" i="6"/>
  <c r="AU87" i="6"/>
  <c r="AT37" i="6"/>
  <c r="AR88" i="6"/>
  <c r="AQ38" i="6"/>
  <c r="AI36" i="6"/>
  <c r="AJ36" i="6"/>
  <c r="AH36" i="6"/>
  <c r="AF37" i="6"/>
  <c r="AF87" i="6"/>
  <c r="U87" i="6"/>
  <c r="U37" i="6"/>
  <c r="X37" i="6"/>
  <c r="X87" i="6"/>
  <c r="AY87" i="6"/>
  <c r="AX37" i="6"/>
  <c r="AO88" i="6"/>
  <c r="AN38" i="6"/>
  <c r="AV87" i="6"/>
  <c r="AU37" i="6"/>
  <c r="AC41" i="6"/>
  <c r="AC42" i="6"/>
  <c r="AC40" i="6"/>
  <c r="AY42" i="6"/>
  <c r="AY40" i="6"/>
  <c r="AY41" i="6"/>
  <c r="AT88" i="6" l="1"/>
  <c r="AS38" i="6"/>
  <c r="AE88" i="6"/>
  <c r="AE38" i="6"/>
  <c r="Y38" i="6"/>
  <c r="Y40" i="6" s="1"/>
  <c r="Y88" i="6"/>
  <c r="W88" i="6"/>
  <c r="W38" i="6"/>
  <c r="AU38" i="6"/>
  <c r="AV88" i="6"/>
  <c r="AY88" i="6"/>
  <c r="AX38" i="6"/>
  <c r="U38" i="6"/>
  <c r="U41" i="6" s="1"/>
  <c r="U88" i="6"/>
  <c r="AQ88" i="6"/>
  <c r="AP38" i="6"/>
  <c r="BB38" i="6" s="1"/>
  <c r="BB41" i="6" s="1"/>
  <c r="AN40" i="6"/>
  <c r="AN41" i="6"/>
  <c r="AN42" i="6"/>
  <c r="X88" i="6"/>
  <c r="X38" i="6"/>
  <c r="AF88" i="6"/>
  <c r="AF38" i="6"/>
  <c r="AQ42" i="6"/>
  <c r="AQ40" i="6"/>
  <c r="AQ41" i="6"/>
  <c r="AT38" i="6"/>
  <c r="AU88" i="6"/>
  <c r="AB88" i="6"/>
  <c r="AB38" i="6"/>
  <c r="AH37" i="6"/>
  <c r="AI37" i="6"/>
  <c r="AJ37" i="6"/>
  <c r="BC37" i="6"/>
  <c r="BB37" i="6"/>
  <c r="AP42" i="6"/>
  <c r="BA37" i="6"/>
  <c r="Y42" i="6" l="1"/>
  <c r="BB42" i="6"/>
  <c r="Y41" i="6"/>
  <c r="AS41" i="6"/>
  <c r="AS42" i="6"/>
  <c r="AS40" i="6"/>
  <c r="AE42" i="6"/>
  <c r="AE40" i="6"/>
  <c r="W41" i="6"/>
  <c r="W40" i="6"/>
  <c r="W42" i="6"/>
  <c r="AE41" i="6"/>
  <c r="BB40" i="6"/>
  <c r="AT41" i="6"/>
  <c r="AT42" i="6"/>
  <c r="AT40" i="6"/>
  <c r="AF42" i="6"/>
  <c r="AF40" i="6"/>
  <c r="AF41" i="6"/>
  <c r="AB41" i="6"/>
  <c r="AB40" i="6"/>
  <c r="AB42" i="6"/>
  <c r="X42" i="6"/>
  <c r="X41" i="6"/>
  <c r="X40" i="6"/>
  <c r="AJ38" i="6"/>
  <c r="AJ41" i="6" s="1"/>
  <c r="U42" i="6"/>
  <c r="U40" i="6"/>
  <c r="AI38" i="6"/>
  <c r="AH38" i="6"/>
  <c r="AU41" i="6"/>
  <c r="AU42" i="6"/>
  <c r="AU40" i="6"/>
  <c r="AP41" i="6"/>
  <c r="BC38" i="6"/>
  <c r="AP40" i="6"/>
  <c r="AX40" i="6"/>
  <c r="AX41" i="6"/>
  <c r="AX42" i="6"/>
  <c r="BA38" i="6"/>
  <c r="BA41" i="6" s="1"/>
  <c r="BA60" i="5"/>
  <c r="BA61" i="5" s="1"/>
  <c r="BA62" i="5" s="1"/>
  <c r="AZ13" i="5" s="1"/>
  <c r="AZ60" i="5"/>
  <c r="AZ61" i="5" s="1"/>
  <c r="AZ62" i="5" s="1"/>
  <c r="AZ63" i="5" s="1"/>
  <c r="AZ64" i="5" s="1"/>
  <c r="AZ65" i="5" s="1"/>
  <c r="AZ66" i="5" s="1"/>
  <c r="AZ67" i="5" s="1"/>
  <c r="AZ68" i="5" s="1"/>
  <c r="AY60" i="5"/>
  <c r="AY61" i="5" s="1"/>
  <c r="AX60" i="5"/>
  <c r="AX61" i="5" s="1"/>
  <c r="AX62" i="5" s="1"/>
  <c r="AW60" i="5"/>
  <c r="AW61" i="5" s="1"/>
  <c r="AW62" i="5" s="1"/>
  <c r="AW63" i="5" s="1"/>
  <c r="AW64" i="5" s="1"/>
  <c r="AW65" i="5" s="1"/>
  <c r="AW66" i="5" s="1"/>
  <c r="AV60" i="5"/>
  <c r="AV61" i="5" s="1"/>
  <c r="AV62" i="5" s="1"/>
  <c r="AV63" i="5" s="1"/>
  <c r="AV64" i="5" s="1"/>
  <c r="AV65" i="5" s="1"/>
  <c r="AV66" i="5" s="1"/>
  <c r="AV67" i="5" s="1"/>
  <c r="AV68" i="5" s="1"/>
  <c r="AV69" i="5" s="1"/>
  <c r="AV70" i="5" s="1"/>
  <c r="AV71" i="5" s="1"/>
  <c r="AV72" i="5" s="1"/>
  <c r="AV73" i="5" s="1"/>
  <c r="AV74" i="5" s="1"/>
  <c r="AV75" i="5" s="1"/>
  <c r="AV76" i="5" s="1"/>
  <c r="AV77" i="5" s="1"/>
  <c r="AU60" i="5"/>
  <c r="AU61" i="5" s="1"/>
  <c r="AU62" i="5" s="1"/>
  <c r="AU63" i="5" s="1"/>
  <c r="AT60" i="5"/>
  <c r="AS11" i="5" s="1"/>
  <c r="AS60" i="5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R60" i="5"/>
  <c r="AR61" i="5" s="1"/>
  <c r="AR62" i="5" s="1"/>
  <c r="AQ60" i="5"/>
  <c r="AQ61" i="5" s="1"/>
  <c r="AP60" i="5"/>
  <c r="AP61" i="5" s="1"/>
  <c r="AO60" i="5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G60" i="5"/>
  <c r="AG61" i="5" s="1"/>
  <c r="AG62" i="5" s="1"/>
  <c r="AF60" i="5"/>
  <c r="AF61" i="5" s="1"/>
  <c r="AF62" i="5" s="1"/>
  <c r="AE60" i="5"/>
  <c r="AE61" i="5" s="1"/>
  <c r="AE62" i="5" s="1"/>
  <c r="AE63" i="5" s="1"/>
  <c r="AD60" i="5"/>
  <c r="AD61" i="5" s="1"/>
  <c r="AD62" i="5" s="1"/>
  <c r="AD63" i="5" s="1"/>
  <c r="AC60" i="5"/>
  <c r="AC61" i="5" s="1"/>
  <c r="AC62" i="5" s="1"/>
  <c r="AB60" i="5"/>
  <c r="AB61" i="5" s="1"/>
  <c r="AA60" i="5"/>
  <c r="AA61" i="5" s="1"/>
  <c r="Z60" i="5"/>
  <c r="Z61" i="5" s="1"/>
  <c r="Z62" i="5" s="1"/>
  <c r="Z63" i="5" s="1"/>
  <c r="Z64" i="5" s="1"/>
  <c r="Z65" i="5" s="1"/>
  <c r="Y60" i="5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X60" i="5"/>
  <c r="X61" i="5" s="1"/>
  <c r="X62" i="5" s="1"/>
  <c r="X63" i="5" s="1"/>
  <c r="W60" i="5"/>
  <c r="W61" i="5" s="1"/>
  <c r="V60" i="5"/>
  <c r="V61" i="5" s="1"/>
  <c r="V62" i="5" s="1"/>
  <c r="V63" i="5" s="1"/>
  <c r="V64" i="5" s="1"/>
  <c r="V65" i="5" s="1"/>
  <c r="V66" i="5" s="1"/>
  <c r="V67" i="5" s="1"/>
  <c r="V68" i="5" s="1"/>
  <c r="U60" i="5"/>
  <c r="U61" i="5" s="1"/>
  <c r="U62" i="5" s="1"/>
  <c r="U63" i="5" s="1"/>
  <c r="U64" i="5" s="1"/>
  <c r="U65" i="5" s="1"/>
  <c r="U66" i="5" s="1"/>
  <c r="N52" i="5"/>
  <c r="AG52" i="5" s="1"/>
  <c r="AZ52" i="5" s="1"/>
  <c r="C52" i="5"/>
  <c r="V52" i="5" s="1"/>
  <c r="AO52" i="5" s="1"/>
  <c r="N51" i="5"/>
  <c r="AG51" i="5" s="1"/>
  <c r="AZ51" i="5" s="1"/>
  <c r="C51" i="5"/>
  <c r="V51" i="5" s="1"/>
  <c r="AO51" i="5" s="1"/>
  <c r="V46" i="5"/>
  <c r="AO46" i="5" s="1"/>
  <c r="N45" i="5"/>
  <c r="AG45" i="5" s="1"/>
  <c r="AZ45" i="5" s="1"/>
  <c r="C45" i="5"/>
  <c r="V45" i="5" s="1"/>
  <c r="AO45" i="5" s="1"/>
  <c r="C44" i="5"/>
  <c r="V44" i="5" s="1"/>
  <c r="AO44" i="5" s="1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V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V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U12" i="5"/>
  <c r="U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G11" i="5"/>
  <c r="AC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N9" i="5"/>
  <c r="M9" i="5"/>
  <c r="L9" i="5"/>
  <c r="K9" i="5"/>
  <c r="J9" i="5"/>
  <c r="I9" i="5"/>
  <c r="H9" i="5"/>
  <c r="G9" i="5"/>
  <c r="F9" i="5"/>
  <c r="E9" i="5"/>
  <c r="D9" i="5"/>
  <c r="C9" i="5"/>
  <c r="B9" i="5"/>
  <c r="M6" i="5"/>
  <c r="AF6" i="5" s="1"/>
  <c r="AY6" i="5" s="1"/>
  <c r="D4" i="5"/>
  <c r="W4" i="5" s="1"/>
  <c r="AP4" i="5" s="1"/>
  <c r="Y1" i="5"/>
  <c r="AR1" i="5" s="1"/>
  <c r="AY11" i="5" l="1"/>
  <c r="AY12" i="5"/>
  <c r="Y17" i="5"/>
  <c r="AH41" i="6"/>
  <c r="AH42" i="6"/>
  <c r="AH40" i="6"/>
  <c r="AJ42" i="6"/>
  <c r="AJ40" i="6"/>
  <c r="BA40" i="6"/>
  <c r="AI40" i="6"/>
  <c r="AI42" i="6"/>
  <c r="AI41" i="6"/>
  <c r="BC40" i="6"/>
  <c r="BC42" i="6"/>
  <c r="BC41" i="6"/>
  <c r="BA42" i="6"/>
  <c r="AQ11" i="5"/>
  <c r="AC12" i="5"/>
  <c r="Y16" i="5"/>
  <c r="Y21" i="5"/>
  <c r="U11" i="5"/>
  <c r="AG12" i="5"/>
  <c r="AU14" i="5"/>
  <c r="AQ12" i="5"/>
  <c r="AU13" i="5"/>
  <c r="V15" i="5"/>
  <c r="Y11" i="5"/>
  <c r="AU11" i="5"/>
  <c r="Y12" i="5"/>
  <c r="AT12" i="5"/>
  <c r="Y13" i="5"/>
  <c r="Y14" i="5"/>
  <c r="Y15" i="5"/>
  <c r="Y19" i="5"/>
  <c r="Y18" i="5"/>
  <c r="Y20" i="5"/>
  <c r="AF12" i="5"/>
  <c r="AT13" i="5"/>
  <c r="Y22" i="5"/>
  <c r="X11" i="5"/>
  <c r="AT11" i="5"/>
  <c r="AF11" i="5"/>
  <c r="AB11" i="5"/>
  <c r="AP11" i="5"/>
  <c r="AX11" i="5"/>
  <c r="X12" i="5"/>
  <c r="AO11" i="5"/>
  <c r="AN19" i="5"/>
  <c r="P13" i="5"/>
  <c r="AF63" i="5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AF74" i="5" s="1"/>
  <c r="AF13" i="5"/>
  <c r="Y76" i="5"/>
  <c r="Y77" i="5" s="1"/>
  <c r="Y78" i="5" s="1"/>
  <c r="Y79" i="5" s="1"/>
  <c r="Y30" i="5" s="1"/>
  <c r="Y26" i="5"/>
  <c r="AR63" i="5"/>
  <c r="AQ13" i="5"/>
  <c r="AZ69" i="5"/>
  <c r="AZ70" i="5" s="1"/>
  <c r="AY21" i="5" s="1"/>
  <c r="AY19" i="5"/>
  <c r="AA62" i="5"/>
  <c r="AA12" i="5"/>
  <c r="AE64" i="5"/>
  <c r="AE14" i="5"/>
  <c r="AW13" i="5"/>
  <c r="AX63" i="5"/>
  <c r="BC9" i="5"/>
  <c r="AI10" i="5"/>
  <c r="O11" i="5"/>
  <c r="AE11" i="5"/>
  <c r="P21" i="5"/>
  <c r="AA11" i="5"/>
  <c r="AW11" i="5"/>
  <c r="P18" i="5"/>
  <c r="AT61" i="5"/>
  <c r="P9" i="5"/>
  <c r="W11" i="5"/>
  <c r="P15" i="5"/>
  <c r="P24" i="5"/>
  <c r="P30" i="5"/>
  <c r="W62" i="5"/>
  <c r="W12" i="5"/>
  <c r="AP62" i="5"/>
  <c r="AO12" i="5"/>
  <c r="AB62" i="5"/>
  <c r="AB12" i="5"/>
  <c r="AQ62" i="5"/>
  <c r="AP12" i="5"/>
  <c r="AU64" i="5"/>
  <c r="AT14" i="5"/>
  <c r="AY62" i="5"/>
  <c r="AX12" i="5"/>
  <c r="AC63" i="5"/>
  <c r="AC13" i="5"/>
  <c r="AG63" i="5"/>
  <c r="AG13" i="5"/>
  <c r="AV78" i="5"/>
  <c r="AV79" i="5" s="1"/>
  <c r="AU28" i="5"/>
  <c r="AD14" i="5"/>
  <c r="AD64" i="5"/>
  <c r="AO77" i="5"/>
  <c r="AO78" i="5" s="1"/>
  <c r="AO79" i="5" s="1"/>
  <c r="AO80" i="5" s="1"/>
  <c r="AN27" i="5"/>
  <c r="V12" i="5"/>
  <c r="Z12" i="5"/>
  <c r="AD12" i="5"/>
  <c r="AN12" i="5"/>
  <c r="AR12" i="5"/>
  <c r="AV12" i="5"/>
  <c r="AZ12" i="5"/>
  <c r="AY13" i="5"/>
  <c r="AY15" i="5"/>
  <c r="AN16" i="5"/>
  <c r="AR16" i="5"/>
  <c r="V17" i="5"/>
  <c r="V18" i="5"/>
  <c r="AN20" i="5"/>
  <c r="P37" i="5"/>
  <c r="BA63" i="5"/>
  <c r="BA64" i="5" s="1"/>
  <c r="V11" i="5"/>
  <c r="Z11" i="5"/>
  <c r="AD11" i="5"/>
  <c r="AN11" i="5"/>
  <c r="AR11" i="5"/>
  <c r="AV11" i="5"/>
  <c r="AZ11" i="5"/>
  <c r="AE12" i="5"/>
  <c r="AW12" i="5"/>
  <c r="Z13" i="5"/>
  <c r="AD13" i="5"/>
  <c r="AN13" i="5"/>
  <c r="AR13" i="5"/>
  <c r="AV13" i="5"/>
  <c r="AY14" i="5"/>
  <c r="AV15" i="5"/>
  <c r="P17" i="5"/>
  <c r="AN17" i="5"/>
  <c r="AR17" i="5"/>
  <c r="AN18" i="5"/>
  <c r="AY18" i="5"/>
  <c r="O36" i="5"/>
  <c r="V13" i="5"/>
  <c r="AE13" i="5"/>
  <c r="Z14" i="5"/>
  <c r="AN14" i="5"/>
  <c r="AR14" i="5"/>
  <c r="AV14" i="5"/>
  <c r="Z15" i="5"/>
  <c r="AN15" i="5"/>
  <c r="AR15" i="5"/>
  <c r="P16" i="5"/>
  <c r="V16" i="5"/>
  <c r="AY16" i="5"/>
  <c r="AY17" i="5"/>
  <c r="Q31" i="5"/>
  <c r="Q33" i="5"/>
  <c r="BB10" i="5"/>
  <c r="P12" i="5"/>
  <c r="P14" i="5"/>
  <c r="O22" i="5"/>
  <c r="P25" i="5"/>
  <c r="P28" i="5"/>
  <c r="J40" i="5"/>
  <c r="Q30" i="5"/>
  <c r="O33" i="5"/>
  <c r="P34" i="5"/>
  <c r="Q9" i="5"/>
  <c r="J42" i="5"/>
  <c r="BB9" i="5"/>
  <c r="AH10" i="5"/>
  <c r="P11" i="5"/>
  <c r="O17" i="5"/>
  <c r="O19" i="5"/>
  <c r="P23" i="5"/>
  <c r="Q26" i="5"/>
  <c r="Q27" i="5"/>
  <c r="Q29" i="5"/>
  <c r="O34" i="5"/>
  <c r="Q34" i="5"/>
  <c r="O39" i="5"/>
  <c r="Q36" i="5"/>
  <c r="P10" i="5"/>
  <c r="O15" i="5"/>
  <c r="P19" i="5"/>
  <c r="P20" i="5"/>
  <c r="P22" i="5"/>
  <c r="O25" i="5"/>
  <c r="O29" i="5"/>
  <c r="P32" i="5"/>
  <c r="Q35" i="5"/>
  <c r="P36" i="5"/>
  <c r="O13" i="5"/>
  <c r="O14" i="5"/>
  <c r="O20" i="5"/>
  <c r="O21" i="5"/>
  <c r="O23" i="5"/>
  <c r="V69" i="5"/>
  <c r="V19" i="5"/>
  <c r="Z66" i="5"/>
  <c r="Z16" i="5"/>
  <c r="AW67" i="5"/>
  <c r="AV17" i="5"/>
  <c r="O16" i="5"/>
  <c r="O18" i="5"/>
  <c r="O24" i="5"/>
  <c r="D40" i="5"/>
  <c r="D41" i="5"/>
  <c r="D42" i="5"/>
  <c r="O10" i="5"/>
  <c r="O12" i="5"/>
  <c r="X64" i="5"/>
  <c r="X14" i="5"/>
  <c r="U67" i="5"/>
  <c r="U17" i="5"/>
  <c r="AS75" i="5"/>
  <c r="AR25" i="5"/>
  <c r="H42" i="5"/>
  <c r="H41" i="5"/>
  <c r="H40" i="5"/>
  <c r="L42" i="5"/>
  <c r="L41" i="5"/>
  <c r="L40" i="5"/>
  <c r="AJ9" i="5"/>
  <c r="BA10" i="5"/>
  <c r="AI9" i="5"/>
  <c r="O35" i="5"/>
  <c r="E42" i="5"/>
  <c r="E41" i="5"/>
  <c r="E40" i="5"/>
  <c r="I42" i="5"/>
  <c r="I41" i="5"/>
  <c r="I40" i="5"/>
  <c r="M42" i="5"/>
  <c r="M41" i="5"/>
  <c r="M40" i="5"/>
  <c r="Q10" i="5"/>
  <c r="AJ10" i="5"/>
  <c r="BC10" i="5"/>
  <c r="Q11" i="5"/>
  <c r="Q12" i="5"/>
  <c r="Q13" i="5"/>
  <c r="X13" i="5"/>
  <c r="Q14" i="5"/>
  <c r="Q15" i="5"/>
  <c r="AU15" i="5"/>
  <c r="Q16" i="5"/>
  <c r="AU16" i="5"/>
  <c r="Q17" i="5"/>
  <c r="AU17" i="5"/>
  <c r="Q18" i="5"/>
  <c r="AU18" i="5"/>
  <c r="Q19" i="5"/>
  <c r="AU19" i="5"/>
  <c r="Q20" i="5"/>
  <c r="AU20" i="5"/>
  <c r="Q21" i="5"/>
  <c r="AU21" i="5"/>
  <c r="Q22" i="5"/>
  <c r="AU22" i="5"/>
  <c r="Q23" i="5"/>
  <c r="AU23" i="5"/>
  <c r="Q24" i="5"/>
  <c r="AU24" i="5"/>
  <c r="Q25" i="5"/>
  <c r="AU25" i="5"/>
  <c r="AN26" i="5"/>
  <c r="P27" i="5"/>
  <c r="AU27" i="5"/>
  <c r="O28" i="5"/>
  <c r="P31" i="5"/>
  <c r="O32" i="5"/>
  <c r="J41" i="5"/>
  <c r="B42" i="5"/>
  <c r="B41" i="5"/>
  <c r="B40" i="5"/>
  <c r="F42" i="5"/>
  <c r="F41" i="5"/>
  <c r="F40" i="5"/>
  <c r="N42" i="5"/>
  <c r="N41" i="5"/>
  <c r="N40" i="5"/>
  <c r="U13" i="5"/>
  <c r="U14" i="5"/>
  <c r="U15" i="5"/>
  <c r="U16" i="5"/>
  <c r="AR18" i="5"/>
  <c r="AR19" i="5"/>
  <c r="AR20" i="5"/>
  <c r="AN21" i="5"/>
  <c r="AR21" i="5"/>
  <c r="AN22" i="5"/>
  <c r="AR22" i="5"/>
  <c r="Y23" i="5"/>
  <c r="AN23" i="5"/>
  <c r="AR23" i="5"/>
  <c r="Y24" i="5"/>
  <c r="AN24" i="5"/>
  <c r="AR24" i="5"/>
  <c r="Y25" i="5"/>
  <c r="AN25" i="5"/>
  <c r="P26" i="5"/>
  <c r="AU26" i="5"/>
  <c r="O27" i="5"/>
  <c r="Q28" i="5"/>
  <c r="O31" i="5"/>
  <c r="Q32" i="5"/>
  <c r="Q38" i="5"/>
  <c r="P38" i="5"/>
  <c r="O38" i="5"/>
  <c r="C42" i="5"/>
  <c r="C41" i="5"/>
  <c r="C40" i="5"/>
  <c r="G42" i="5"/>
  <c r="G41" i="5"/>
  <c r="G40" i="5"/>
  <c r="K42" i="5"/>
  <c r="K41" i="5"/>
  <c r="K40" i="5"/>
  <c r="O9" i="5"/>
  <c r="AH9" i="5"/>
  <c r="BA9" i="5"/>
  <c r="O26" i="5"/>
  <c r="P29" i="5"/>
  <c r="O30" i="5"/>
  <c r="P33" i="5"/>
  <c r="P35" i="5"/>
  <c r="P39" i="5"/>
  <c r="Q37" i="5"/>
  <c r="O37" i="5"/>
  <c r="Q39" i="5"/>
  <c r="BA60" i="4"/>
  <c r="BA61" i="4" s="1"/>
  <c r="BA62" i="4" s="1"/>
  <c r="BA63" i="4" s="1"/>
  <c r="AZ60" i="4"/>
  <c r="AZ61" i="4" s="1"/>
  <c r="AZ62" i="4" s="1"/>
  <c r="AZ63" i="4" s="1"/>
  <c r="AZ64" i="4" s="1"/>
  <c r="AZ65" i="4" s="1"/>
  <c r="AZ66" i="4" s="1"/>
  <c r="AZ67" i="4" s="1"/>
  <c r="AZ68" i="4" s="1"/>
  <c r="AZ69" i="4" s="1"/>
  <c r="AY60" i="4"/>
  <c r="AY61" i="4" s="1"/>
  <c r="AY62" i="4" s="1"/>
  <c r="AY63" i="4" s="1"/>
  <c r="AY64" i="4" s="1"/>
  <c r="AY65" i="4" s="1"/>
  <c r="AY66" i="4" s="1"/>
  <c r="AY67" i="4" s="1"/>
  <c r="AY68" i="4" s="1"/>
  <c r="AY69" i="4" s="1"/>
  <c r="AY70" i="4" s="1"/>
  <c r="AY71" i="4" s="1"/>
  <c r="AY72" i="4" s="1"/>
  <c r="AY73" i="4" s="1"/>
  <c r="AY74" i="4" s="1"/>
  <c r="AY75" i="4" s="1"/>
  <c r="AY76" i="4" s="1"/>
  <c r="AY77" i="4" s="1"/>
  <c r="AY78" i="4" s="1"/>
  <c r="AY79" i="4" s="1"/>
  <c r="AY80" i="4" s="1"/>
  <c r="AY81" i="4" s="1"/>
  <c r="AY82" i="4" s="1"/>
  <c r="AY83" i="4" s="1"/>
  <c r="AY84" i="4" s="1"/>
  <c r="AX60" i="4"/>
  <c r="AW60" i="4"/>
  <c r="AW61" i="4" s="1"/>
  <c r="AV60" i="4"/>
  <c r="AV61" i="4" s="1"/>
  <c r="AV62" i="4" s="1"/>
  <c r="AV63" i="4" s="1"/>
  <c r="AV64" i="4" s="1"/>
  <c r="AV65" i="4" s="1"/>
  <c r="AV66" i="4" s="1"/>
  <c r="AV67" i="4" s="1"/>
  <c r="AV68" i="4" s="1"/>
  <c r="AV69" i="4" s="1"/>
  <c r="AU60" i="4"/>
  <c r="AU61" i="4" s="1"/>
  <c r="AU62" i="4" s="1"/>
  <c r="AU63" i="4" s="1"/>
  <c r="AU64" i="4" s="1"/>
  <c r="AU65" i="4" s="1"/>
  <c r="AU66" i="4" s="1"/>
  <c r="AU67" i="4" s="1"/>
  <c r="AU68" i="4" s="1"/>
  <c r="AU69" i="4" s="1"/>
  <c r="AU70" i="4" s="1"/>
  <c r="AU71" i="4" s="1"/>
  <c r="AU72" i="4" s="1"/>
  <c r="AU73" i="4" s="1"/>
  <c r="AU74" i="4" s="1"/>
  <c r="AU75" i="4" s="1"/>
  <c r="AU76" i="4" s="1"/>
  <c r="AU77" i="4" s="1"/>
  <c r="AU78" i="4" s="1"/>
  <c r="AU79" i="4" s="1"/>
  <c r="AU80" i="4" s="1"/>
  <c r="AU81" i="4" s="1"/>
  <c r="AU82" i="4" s="1"/>
  <c r="AU83" i="4" s="1"/>
  <c r="AU84" i="4" s="1"/>
  <c r="AT60" i="4"/>
  <c r="AS60" i="4"/>
  <c r="AS61" i="4" s="1"/>
  <c r="AS62" i="4" s="1"/>
  <c r="AR60" i="4"/>
  <c r="AR61" i="4" s="1"/>
  <c r="AR62" i="4" s="1"/>
  <c r="AR63" i="4" s="1"/>
  <c r="AR64" i="4" s="1"/>
  <c r="AR65" i="4" s="1"/>
  <c r="AR66" i="4" s="1"/>
  <c r="AR67" i="4" s="1"/>
  <c r="AR68" i="4" s="1"/>
  <c r="AR69" i="4" s="1"/>
  <c r="AQ60" i="4"/>
  <c r="AQ61" i="4" s="1"/>
  <c r="AQ62" i="4" s="1"/>
  <c r="AQ63" i="4" s="1"/>
  <c r="AQ64" i="4" s="1"/>
  <c r="AQ65" i="4" s="1"/>
  <c r="AQ66" i="4" s="1"/>
  <c r="AQ67" i="4" s="1"/>
  <c r="AQ68" i="4" s="1"/>
  <c r="AQ69" i="4" s="1"/>
  <c r="AQ70" i="4" s="1"/>
  <c r="AQ71" i="4" s="1"/>
  <c r="AQ72" i="4" s="1"/>
  <c r="AQ73" i="4" s="1"/>
  <c r="AQ74" i="4" s="1"/>
  <c r="AQ75" i="4" s="1"/>
  <c r="AQ76" i="4" s="1"/>
  <c r="AQ77" i="4" s="1"/>
  <c r="AQ78" i="4" s="1"/>
  <c r="AQ79" i="4" s="1"/>
  <c r="AQ80" i="4" s="1"/>
  <c r="AQ81" i="4" s="1"/>
  <c r="AQ82" i="4" s="1"/>
  <c r="AQ83" i="4" s="1"/>
  <c r="AQ84" i="4" s="1"/>
  <c r="AP60" i="4"/>
  <c r="AO60" i="4"/>
  <c r="AO61" i="4" s="1"/>
  <c r="AO62" i="4" s="1"/>
  <c r="AO63" i="4" s="1"/>
  <c r="AO64" i="4" s="1"/>
  <c r="AO65" i="4" s="1"/>
  <c r="AG60" i="4"/>
  <c r="AG61" i="4" s="1"/>
  <c r="AG62" i="4" s="1"/>
  <c r="AG63" i="4" s="1"/>
  <c r="AG64" i="4" s="1"/>
  <c r="AG65" i="4" s="1"/>
  <c r="AG66" i="4" s="1"/>
  <c r="AG67" i="4" s="1"/>
  <c r="AG68" i="4" s="1"/>
  <c r="AG69" i="4" s="1"/>
  <c r="AF60" i="4"/>
  <c r="AF61" i="4" s="1"/>
  <c r="AF62" i="4" s="1"/>
  <c r="AF63" i="4" s="1"/>
  <c r="AF64" i="4" s="1"/>
  <c r="AF65" i="4" s="1"/>
  <c r="AF66" i="4" s="1"/>
  <c r="AF67" i="4" s="1"/>
  <c r="AF68" i="4" s="1"/>
  <c r="AF69" i="4" s="1"/>
  <c r="AF70" i="4" s="1"/>
  <c r="AF71" i="4" s="1"/>
  <c r="AF72" i="4" s="1"/>
  <c r="AF73" i="4" s="1"/>
  <c r="AF74" i="4" s="1"/>
  <c r="AF75" i="4" s="1"/>
  <c r="AF76" i="4" s="1"/>
  <c r="AF77" i="4" s="1"/>
  <c r="AE60" i="4"/>
  <c r="AD60" i="4"/>
  <c r="AD61" i="4" s="1"/>
  <c r="AD62" i="4" s="1"/>
  <c r="AD63" i="4" s="1"/>
  <c r="AD64" i="4" s="1"/>
  <c r="AD65" i="4" s="1"/>
  <c r="AD66" i="4" s="1"/>
  <c r="AD67" i="4" s="1"/>
  <c r="AD68" i="4" s="1"/>
  <c r="AD69" i="4" s="1"/>
  <c r="AD70" i="4" s="1"/>
  <c r="AC60" i="4"/>
  <c r="AC61" i="4" s="1"/>
  <c r="AC62" i="4" s="1"/>
  <c r="AB60" i="4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A60" i="4"/>
  <c r="Z60" i="4"/>
  <c r="Z61" i="4" s="1"/>
  <c r="Y60" i="4"/>
  <c r="Y61" i="4" s="1"/>
  <c r="Y62" i="4" s="1"/>
  <c r="Y63" i="4" s="1"/>
  <c r="Y64" i="4" s="1"/>
  <c r="Y65" i="4" s="1"/>
  <c r="Y66" i="4" s="1"/>
  <c r="Y67" i="4" s="1"/>
  <c r="Y68" i="4" s="1"/>
  <c r="Y69" i="4" s="1"/>
  <c r="X60" i="4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W60" i="4"/>
  <c r="V60" i="4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U60" i="4"/>
  <c r="U61" i="4" s="1"/>
  <c r="N52" i="4"/>
  <c r="AG52" i="4" s="1"/>
  <c r="AZ52" i="4" s="1"/>
  <c r="C52" i="4"/>
  <c r="V52" i="4" s="1"/>
  <c r="AO52" i="4" s="1"/>
  <c r="N51" i="4"/>
  <c r="AG51" i="4" s="1"/>
  <c r="AZ51" i="4" s="1"/>
  <c r="C51" i="4"/>
  <c r="V51" i="4" s="1"/>
  <c r="AO51" i="4" s="1"/>
  <c r="C46" i="4"/>
  <c r="V46" i="4" s="1"/>
  <c r="AO46" i="4" s="1"/>
  <c r="N45" i="4"/>
  <c r="AG45" i="4" s="1"/>
  <c r="AZ45" i="4" s="1"/>
  <c r="C45" i="4"/>
  <c r="V45" i="4" s="1"/>
  <c r="AO45" i="4" s="1"/>
  <c r="C44" i="4"/>
  <c r="V44" i="4" s="1"/>
  <c r="AO44" i="4" s="1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X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N9" i="4"/>
  <c r="M9" i="4"/>
  <c r="L9" i="4"/>
  <c r="K9" i="4"/>
  <c r="J9" i="4"/>
  <c r="I9" i="4"/>
  <c r="H9" i="4"/>
  <c r="G9" i="4"/>
  <c r="F9" i="4"/>
  <c r="E9" i="4"/>
  <c r="D9" i="4"/>
  <c r="C9" i="4"/>
  <c r="B9" i="4"/>
  <c r="M6" i="4"/>
  <c r="AF6" i="4" s="1"/>
  <c r="AY6" i="4" s="1"/>
  <c r="D4" i="4"/>
  <c r="W4" i="4" s="1"/>
  <c r="AP4" i="4" s="1"/>
  <c r="F1" i="4"/>
  <c r="Y1" i="4" s="1"/>
  <c r="AR1" i="4" s="1"/>
  <c r="AX13" i="4" l="1"/>
  <c r="AX20" i="4"/>
  <c r="AF15" i="4"/>
  <c r="AQ11" i="4"/>
  <c r="V19" i="4"/>
  <c r="AZ11" i="4"/>
  <c r="AX24" i="4"/>
  <c r="AP11" i="4"/>
  <c r="AB12" i="4"/>
  <c r="AP17" i="4"/>
  <c r="AT19" i="4"/>
  <c r="AT23" i="4"/>
  <c r="AX11" i="4"/>
  <c r="AX12" i="4"/>
  <c r="AF14" i="4"/>
  <c r="AP16" i="4"/>
  <c r="AT18" i="4"/>
  <c r="AF21" i="4"/>
  <c r="AX28" i="4"/>
  <c r="AB20" i="4"/>
  <c r="AB24" i="4"/>
  <c r="AT26" i="4"/>
  <c r="AF19" i="5"/>
  <c r="AF22" i="5"/>
  <c r="AU29" i="5"/>
  <c r="AN29" i="5"/>
  <c r="AD13" i="4"/>
  <c r="X18" i="4"/>
  <c r="X19" i="4"/>
  <c r="AP22" i="4"/>
  <c r="AT25" i="4"/>
  <c r="AT27" i="4"/>
  <c r="AR11" i="4"/>
  <c r="AD15" i="4"/>
  <c r="X23" i="4"/>
  <c r="AF21" i="5"/>
  <c r="AF18" i="5"/>
  <c r="AT31" i="4"/>
  <c r="BC11" i="5"/>
  <c r="AT33" i="4"/>
  <c r="X11" i="4"/>
  <c r="AP14" i="4"/>
  <c r="X15" i="4"/>
  <c r="AP15" i="4"/>
  <c r="X16" i="4"/>
  <c r="AT16" i="4"/>
  <c r="X17" i="4"/>
  <c r="AT17" i="4"/>
  <c r="AB18" i="4"/>
  <c r="AX18" i="4"/>
  <c r="AB19" i="4"/>
  <c r="AX19" i="4"/>
  <c r="AF20" i="4"/>
  <c r="AT22" i="4"/>
  <c r="AX23" i="4"/>
  <c r="AF24" i="4"/>
  <c r="AX26" i="4"/>
  <c r="AZ71" i="5"/>
  <c r="AY22" i="5" s="1"/>
  <c r="AB11" i="4"/>
  <c r="AP12" i="4"/>
  <c r="X13" i="4"/>
  <c r="AP13" i="4"/>
  <c r="X14" i="4"/>
  <c r="AT14" i="4"/>
  <c r="AB15" i="4"/>
  <c r="AT15" i="4"/>
  <c r="AB16" i="4"/>
  <c r="AU16" i="4"/>
  <c r="AB17" i="4"/>
  <c r="AX17" i="4"/>
  <c r="AF18" i="4"/>
  <c r="AF19" i="4"/>
  <c r="AP20" i="4"/>
  <c r="X21" i="4"/>
  <c r="AT21" i="4"/>
  <c r="AB22" i="4"/>
  <c r="AX22" i="4"/>
  <c r="AF23" i="4"/>
  <c r="AP24" i="4"/>
  <c r="AF25" i="4"/>
  <c r="AT29" i="4"/>
  <c r="AX30" i="4"/>
  <c r="AP32" i="4"/>
  <c r="AF12" i="4"/>
  <c r="AF13" i="4"/>
  <c r="AP21" i="4"/>
  <c r="X22" i="4"/>
  <c r="AB23" i="4"/>
  <c r="AX25" i="4"/>
  <c r="AX27" i="4"/>
  <c r="AT30" i="4"/>
  <c r="AX33" i="4"/>
  <c r="AF11" i="4"/>
  <c r="AT11" i="4"/>
  <c r="X12" i="4"/>
  <c r="AT12" i="4"/>
  <c r="AB13" i="4"/>
  <c r="AT13" i="4"/>
  <c r="AB14" i="4"/>
  <c r="AX14" i="4"/>
  <c r="AX15" i="4"/>
  <c r="AF16" i="4"/>
  <c r="AX16" i="4"/>
  <c r="AF17" i="4"/>
  <c r="AP18" i="4"/>
  <c r="AP19" i="4"/>
  <c r="X20" i="4"/>
  <c r="AT20" i="4"/>
  <c r="AB21" i="4"/>
  <c r="AX21" i="4"/>
  <c r="AF22" i="4"/>
  <c r="AP23" i="4"/>
  <c r="X24" i="4"/>
  <c r="AT24" i="4"/>
  <c r="AP25" i="4"/>
  <c r="AP26" i="4"/>
  <c r="AP27" i="4"/>
  <c r="AP28" i="4"/>
  <c r="AX29" i="4"/>
  <c r="AT34" i="4"/>
  <c r="AG13" i="4"/>
  <c r="AQ17" i="4"/>
  <c r="Y17" i="4"/>
  <c r="Y80" i="5"/>
  <c r="Y81" i="5" s="1"/>
  <c r="U11" i="4"/>
  <c r="Y12" i="4"/>
  <c r="V14" i="4"/>
  <c r="V17" i="4"/>
  <c r="AD17" i="4"/>
  <c r="AD20" i="4"/>
  <c r="AN28" i="5"/>
  <c r="AF17" i="5"/>
  <c r="AF24" i="5"/>
  <c r="AF16" i="5"/>
  <c r="V15" i="4"/>
  <c r="AN11" i="4"/>
  <c r="V13" i="4"/>
  <c r="AD16" i="4"/>
  <c r="AV11" i="4"/>
  <c r="V12" i="4"/>
  <c r="AD12" i="4"/>
  <c r="AZ13" i="4"/>
  <c r="V16" i="4"/>
  <c r="AD18" i="4"/>
  <c r="V21" i="4"/>
  <c r="V22" i="4"/>
  <c r="Z11" i="4"/>
  <c r="V20" i="4"/>
  <c r="V11" i="4"/>
  <c r="AD11" i="4"/>
  <c r="AZ12" i="4"/>
  <c r="AD14" i="4"/>
  <c r="V18" i="4"/>
  <c r="AD19" i="4"/>
  <c r="Y27" i="5"/>
  <c r="Y28" i="5"/>
  <c r="Y29" i="5"/>
  <c r="AO66" i="4"/>
  <c r="AO67" i="4" s="1"/>
  <c r="AO68" i="4" s="1"/>
  <c r="AO69" i="4" s="1"/>
  <c r="AO70" i="4" s="1"/>
  <c r="AN21" i="4" s="1"/>
  <c r="AN16" i="4"/>
  <c r="AF15" i="5"/>
  <c r="AF23" i="5"/>
  <c r="AP30" i="4"/>
  <c r="AP31" i="4"/>
  <c r="AX32" i="4"/>
  <c r="AN30" i="5"/>
  <c r="AF20" i="5"/>
  <c r="AF14" i="5"/>
  <c r="BB11" i="5"/>
  <c r="U62" i="4"/>
  <c r="U63" i="4" s="1"/>
  <c r="U12" i="4"/>
  <c r="Z62" i="4"/>
  <c r="Z12" i="4"/>
  <c r="AS63" i="4"/>
  <c r="AS64" i="4" s="1"/>
  <c r="AR13" i="4"/>
  <c r="AW62" i="4"/>
  <c r="AV12" i="4"/>
  <c r="BA64" i="4"/>
  <c r="AZ14" i="4"/>
  <c r="AG11" i="4"/>
  <c r="AQ12" i="4"/>
  <c r="AN13" i="4"/>
  <c r="AY13" i="4"/>
  <c r="AQ14" i="4"/>
  <c r="AY14" i="4"/>
  <c r="AQ15" i="4"/>
  <c r="AY15" i="4"/>
  <c r="AG17" i="4"/>
  <c r="AY17" i="4"/>
  <c r="AQ18" i="4"/>
  <c r="AY18" i="4"/>
  <c r="AQ19" i="4"/>
  <c r="AY19" i="4"/>
  <c r="Q34" i="4"/>
  <c r="AZ14" i="5"/>
  <c r="AT62" i="5"/>
  <c r="AS12" i="5"/>
  <c r="BC12" i="5" s="1"/>
  <c r="AE65" i="5"/>
  <c r="AE15" i="5"/>
  <c r="AC11" i="4"/>
  <c r="AY11" i="4"/>
  <c r="AG12" i="4"/>
  <c r="AY12" i="4"/>
  <c r="AU13" i="4"/>
  <c r="Y14" i="4"/>
  <c r="AG14" i="4"/>
  <c r="Y15" i="4"/>
  <c r="AG15" i="4"/>
  <c r="Y16" i="4"/>
  <c r="AQ16" i="4"/>
  <c r="AU17" i="4"/>
  <c r="Y18" i="4"/>
  <c r="AG18" i="4"/>
  <c r="Y19" i="4"/>
  <c r="AG19" i="4"/>
  <c r="AX64" i="5"/>
  <c r="AW14" i="5"/>
  <c r="Y11" i="4"/>
  <c r="AU11" i="4"/>
  <c r="AC12" i="4"/>
  <c r="AN12" i="4"/>
  <c r="AU12" i="4"/>
  <c r="Y13" i="4"/>
  <c r="AQ13" i="4"/>
  <c r="AN14" i="4"/>
  <c r="AU14" i="4"/>
  <c r="AN15" i="4"/>
  <c r="AU15" i="4"/>
  <c r="AG16" i="4"/>
  <c r="AY16" i="4"/>
  <c r="AU18" i="4"/>
  <c r="AU19" i="4"/>
  <c r="BA11" i="5"/>
  <c r="AH11" i="5"/>
  <c r="AY20" i="5"/>
  <c r="AI12" i="5"/>
  <c r="AA63" i="5"/>
  <c r="AA13" i="5"/>
  <c r="AR64" i="5"/>
  <c r="AQ14" i="5"/>
  <c r="AC63" i="4"/>
  <c r="AC13" i="4"/>
  <c r="AR12" i="4"/>
  <c r="W61" i="4"/>
  <c r="W11" i="4"/>
  <c r="AA61" i="4"/>
  <c r="AA11" i="4"/>
  <c r="AE61" i="4"/>
  <c r="AE11" i="4"/>
  <c r="AP61" i="4"/>
  <c r="AO11" i="4"/>
  <c r="AT61" i="4"/>
  <c r="AS11" i="4"/>
  <c r="AX61" i="4"/>
  <c r="AW11" i="4"/>
  <c r="Q35" i="4"/>
  <c r="Y70" i="4"/>
  <c r="Y20" i="4"/>
  <c r="AG70" i="4"/>
  <c r="AG20" i="4"/>
  <c r="AR70" i="4"/>
  <c r="AQ20" i="4"/>
  <c r="AV70" i="4"/>
  <c r="AU20" i="4"/>
  <c r="AZ70" i="4"/>
  <c r="AY20" i="4"/>
  <c r="AD65" i="5"/>
  <c r="AD15" i="5"/>
  <c r="AV80" i="5"/>
  <c r="AU30" i="5"/>
  <c r="AC64" i="5"/>
  <c r="AC14" i="5"/>
  <c r="AY63" i="5"/>
  <c r="AX13" i="5"/>
  <c r="AD71" i="4"/>
  <c r="AD21" i="4"/>
  <c r="AI11" i="5"/>
  <c r="AJ11" i="5"/>
  <c r="AH12" i="5"/>
  <c r="AJ12" i="5"/>
  <c r="AQ63" i="5"/>
  <c r="AP13" i="5"/>
  <c r="AP63" i="5"/>
  <c r="AO13" i="5"/>
  <c r="V73" i="4"/>
  <c r="V23" i="4"/>
  <c r="BA65" i="5"/>
  <c r="AZ15" i="5"/>
  <c r="AG64" i="5"/>
  <c r="AG14" i="5"/>
  <c r="AU65" i="5"/>
  <c r="AT15" i="5"/>
  <c r="AB63" i="5"/>
  <c r="AB13" i="5"/>
  <c r="W63" i="5"/>
  <c r="W13" i="5"/>
  <c r="AO81" i="5"/>
  <c r="AN31" i="5"/>
  <c r="Q42" i="5"/>
  <c r="P42" i="5"/>
  <c r="P15" i="4"/>
  <c r="P19" i="4"/>
  <c r="P29" i="4"/>
  <c r="AF75" i="5"/>
  <c r="AF25" i="5"/>
  <c r="X65" i="5"/>
  <c r="X15" i="5"/>
  <c r="Q40" i="5"/>
  <c r="P40" i="5"/>
  <c r="Z67" i="5"/>
  <c r="Z17" i="5"/>
  <c r="AS76" i="5"/>
  <c r="AR26" i="5"/>
  <c r="U68" i="5"/>
  <c r="U18" i="5"/>
  <c r="Q41" i="5"/>
  <c r="AW68" i="5"/>
  <c r="AV18" i="5"/>
  <c r="V70" i="5"/>
  <c r="V20" i="5"/>
  <c r="P41" i="5"/>
  <c r="O42" i="5"/>
  <c r="O41" i="5"/>
  <c r="O40" i="5"/>
  <c r="P18" i="4"/>
  <c r="P22" i="4"/>
  <c r="P17" i="4"/>
  <c r="P21" i="4"/>
  <c r="P25" i="4"/>
  <c r="O29" i="4"/>
  <c r="P32" i="4"/>
  <c r="P33" i="4"/>
  <c r="O38" i="4"/>
  <c r="P23" i="4"/>
  <c r="Q30" i="4"/>
  <c r="P16" i="4"/>
  <c r="P20" i="4"/>
  <c r="P24" i="4"/>
  <c r="P26" i="4"/>
  <c r="P27" i="4"/>
  <c r="P28" i="4"/>
  <c r="O36" i="4"/>
  <c r="Q31" i="4"/>
  <c r="O33" i="4"/>
  <c r="O10" i="4"/>
  <c r="Q10" i="4"/>
  <c r="P10" i="4"/>
  <c r="P14" i="4"/>
  <c r="O14" i="4"/>
  <c r="Q14" i="4"/>
  <c r="B42" i="4"/>
  <c r="B41" i="4"/>
  <c r="B40" i="4"/>
  <c r="P9" i="4"/>
  <c r="O9" i="4"/>
  <c r="Q9" i="4"/>
  <c r="J42" i="4"/>
  <c r="J41" i="4"/>
  <c r="J40" i="4"/>
  <c r="N42" i="4"/>
  <c r="N41" i="4"/>
  <c r="N40" i="4"/>
  <c r="AI10" i="4"/>
  <c r="AH10" i="4"/>
  <c r="AJ10" i="4"/>
  <c r="P13" i="4"/>
  <c r="O13" i="4"/>
  <c r="Q13" i="4"/>
  <c r="AI9" i="4"/>
  <c r="AJ9" i="4"/>
  <c r="AH9" i="4"/>
  <c r="BA10" i="4"/>
  <c r="BC10" i="4"/>
  <c r="BB10" i="4"/>
  <c r="P12" i="4"/>
  <c r="O12" i="4"/>
  <c r="Q12" i="4"/>
  <c r="BA9" i="4"/>
  <c r="BC9" i="4"/>
  <c r="BB9" i="4"/>
  <c r="P11" i="4"/>
  <c r="O11" i="4"/>
  <c r="Q11" i="4"/>
  <c r="F42" i="4"/>
  <c r="F41" i="4"/>
  <c r="F40" i="4"/>
  <c r="G42" i="4"/>
  <c r="G41" i="4"/>
  <c r="G40" i="4"/>
  <c r="K42" i="4"/>
  <c r="K41" i="4"/>
  <c r="D42" i="4"/>
  <c r="D41" i="4"/>
  <c r="D40" i="4"/>
  <c r="L42" i="4"/>
  <c r="L41" i="4"/>
  <c r="L40" i="4"/>
  <c r="E42" i="4"/>
  <c r="E41" i="4"/>
  <c r="E40" i="4"/>
  <c r="I42" i="4"/>
  <c r="I41" i="4"/>
  <c r="I40" i="4"/>
  <c r="M42" i="4"/>
  <c r="M41" i="4"/>
  <c r="M40" i="4"/>
  <c r="Q15" i="4"/>
  <c r="Q16" i="4"/>
  <c r="Q17" i="4"/>
  <c r="Q18" i="4"/>
  <c r="Q19" i="4"/>
  <c r="Q20" i="4"/>
  <c r="Q21" i="4"/>
  <c r="Q22" i="4"/>
  <c r="Q23" i="4"/>
  <c r="Q24" i="4"/>
  <c r="Q25" i="4"/>
  <c r="X25" i="4"/>
  <c r="AB25" i="4"/>
  <c r="Q26" i="4"/>
  <c r="X26" i="4"/>
  <c r="AB26" i="4"/>
  <c r="AF26" i="4"/>
  <c r="Q27" i="4"/>
  <c r="X27" i="4"/>
  <c r="AB27" i="4"/>
  <c r="AF27" i="4"/>
  <c r="Q28" i="4"/>
  <c r="X28" i="4"/>
  <c r="AB28" i="4"/>
  <c r="AT28" i="4"/>
  <c r="AP29" i="4"/>
  <c r="P30" i="4"/>
  <c r="AX31" i="4"/>
  <c r="Q32" i="4"/>
  <c r="AT32" i="4"/>
  <c r="AP33" i="4"/>
  <c r="P34" i="4"/>
  <c r="O32" i="4"/>
  <c r="P37" i="4"/>
  <c r="Q37" i="4"/>
  <c r="K40" i="4"/>
  <c r="C42" i="4"/>
  <c r="C41" i="4"/>
  <c r="C40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31" i="4"/>
  <c r="O35" i="4"/>
  <c r="O37" i="4"/>
  <c r="X79" i="4"/>
  <c r="X29" i="4"/>
  <c r="AB79" i="4"/>
  <c r="AB29" i="4"/>
  <c r="AF78" i="4"/>
  <c r="AF28" i="4"/>
  <c r="AP35" i="4"/>
  <c r="AQ85" i="4"/>
  <c r="AU85" i="4"/>
  <c r="AT35" i="4"/>
  <c r="AY85" i="4"/>
  <c r="AX35" i="4"/>
  <c r="H42" i="4"/>
  <c r="H41" i="4"/>
  <c r="H40" i="4"/>
  <c r="Q29" i="4"/>
  <c r="O30" i="4"/>
  <c r="P31" i="4"/>
  <c r="Q33" i="4"/>
  <c r="O34" i="4"/>
  <c r="AP34" i="4"/>
  <c r="P35" i="4"/>
  <c r="P36" i="4"/>
  <c r="Q36" i="4"/>
  <c r="Q38" i="4"/>
  <c r="P38" i="4"/>
  <c r="BA60" i="3"/>
  <c r="BA61" i="3" s="1"/>
  <c r="BA62" i="3" s="1"/>
  <c r="BA63" i="3" s="1"/>
  <c r="BA64" i="3" s="1"/>
  <c r="AZ60" i="3"/>
  <c r="AZ61" i="3" s="1"/>
  <c r="AZ62" i="3" s="1"/>
  <c r="AY60" i="3"/>
  <c r="AY61" i="3" s="1"/>
  <c r="AY62" i="3" s="1"/>
  <c r="AX13" i="3" s="1"/>
  <c r="AX60" i="3"/>
  <c r="AX61" i="3" s="1"/>
  <c r="AX62" i="3" s="1"/>
  <c r="AW60" i="3"/>
  <c r="AW61" i="3" s="1"/>
  <c r="AW62" i="3" s="1"/>
  <c r="AW63" i="3" s="1"/>
  <c r="AW64" i="3" s="1"/>
  <c r="AV60" i="3"/>
  <c r="AV61" i="3" s="1"/>
  <c r="AV62" i="3" s="1"/>
  <c r="AV63" i="3" s="1"/>
  <c r="AV64" i="3" s="1"/>
  <c r="AV65" i="3" s="1"/>
  <c r="AV66" i="3" s="1"/>
  <c r="AV67" i="3" s="1"/>
  <c r="AV68" i="3" s="1"/>
  <c r="AV69" i="3" s="1"/>
  <c r="AV70" i="3" s="1"/>
  <c r="AV71" i="3" s="1"/>
  <c r="AV72" i="3" s="1"/>
  <c r="AV73" i="3" s="1"/>
  <c r="AV74" i="3" s="1"/>
  <c r="AU60" i="3"/>
  <c r="AT11" i="3" s="1"/>
  <c r="AT60" i="3"/>
  <c r="AT61" i="3" s="1"/>
  <c r="AT62" i="3" s="1"/>
  <c r="AS60" i="3"/>
  <c r="AS61" i="3" s="1"/>
  <c r="AS62" i="3" s="1"/>
  <c r="AR60" i="3"/>
  <c r="AR61" i="3" s="1"/>
  <c r="AR62" i="3" s="1"/>
  <c r="AR63" i="3" s="1"/>
  <c r="AR64" i="3" s="1"/>
  <c r="AR65" i="3" s="1"/>
  <c r="AR66" i="3" s="1"/>
  <c r="AR67" i="3" s="1"/>
  <c r="AR68" i="3" s="1"/>
  <c r="AR69" i="3" s="1"/>
  <c r="AR70" i="3" s="1"/>
  <c r="AR71" i="3" s="1"/>
  <c r="AR72" i="3" s="1"/>
  <c r="AR73" i="3" s="1"/>
  <c r="AR74" i="3" s="1"/>
  <c r="AR75" i="3" s="1"/>
  <c r="AQ60" i="3"/>
  <c r="AQ61" i="3" s="1"/>
  <c r="AP60" i="3"/>
  <c r="AP61" i="3" s="1"/>
  <c r="AP62" i="3" s="1"/>
  <c r="AO60" i="3"/>
  <c r="AO61" i="3" s="1"/>
  <c r="AO62" i="3" s="1"/>
  <c r="AG60" i="3"/>
  <c r="AG61" i="3" s="1"/>
  <c r="AG62" i="3" s="1"/>
  <c r="AG63" i="3" s="1"/>
  <c r="AG64" i="3" s="1"/>
  <c r="AG65" i="3" s="1"/>
  <c r="AG66" i="3" s="1"/>
  <c r="AG67" i="3" s="1"/>
  <c r="AG68" i="3" s="1"/>
  <c r="AG69" i="3" s="1"/>
  <c r="AF60" i="3"/>
  <c r="AF61" i="3" s="1"/>
  <c r="AF62" i="3" s="1"/>
  <c r="AF63" i="3" s="1"/>
  <c r="AF64" i="3" s="1"/>
  <c r="AF65" i="3" s="1"/>
  <c r="AE60" i="3"/>
  <c r="AE61" i="3" s="1"/>
  <c r="AE62" i="3" s="1"/>
  <c r="AE63" i="3" s="1"/>
  <c r="AD60" i="3"/>
  <c r="AD61" i="3" s="1"/>
  <c r="AD62" i="3" s="1"/>
  <c r="AC60" i="3"/>
  <c r="AC61" i="3" s="1"/>
  <c r="AC62" i="3" s="1"/>
  <c r="AC63" i="3" s="1"/>
  <c r="AC64" i="3" s="1"/>
  <c r="AC65" i="3" s="1"/>
  <c r="AC66" i="3" s="1"/>
  <c r="AC67" i="3" s="1"/>
  <c r="AC68" i="3" s="1"/>
  <c r="AC69" i="3" s="1"/>
  <c r="AC70" i="3" s="1"/>
  <c r="AC71" i="3" s="1"/>
  <c r="AC72" i="3" s="1"/>
  <c r="AB60" i="3"/>
  <c r="AB61" i="3" s="1"/>
  <c r="AB62" i="3" s="1"/>
  <c r="AB63" i="3" s="1"/>
  <c r="AB64" i="3" s="1"/>
  <c r="AB65" i="3" s="1"/>
  <c r="AA60" i="3"/>
  <c r="AA61" i="3" s="1"/>
  <c r="AA62" i="3" s="1"/>
  <c r="AA63" i="3" s="1"/>
  <c r="Z60" i="3"/>
  <c r="Z61" i="3" s="1"/>
  <c r="Z62" i="3" s="1"/>
  <c r="Y60" i="3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X60" i="3"/>
  <c r="X61" i="3" s="1"/>
  <c r="W60" i="3"/>
  <c r="W61" i="3" s="1"/>
  <c r="W62" i="3" s="1"/>
  <c r="V60" i="3"/>
  <c r="V61" i="3" s="1"/>
  <c r="V62" i="3" s="1"/>
  <c r="U60" i="3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N52" i="3"/>
  <c r="AG52" i="3" s="1"/>
  <c r="AZ52" i="3" s="1"/>
  <c r="C52" i="3"/>
  <c r="V52" i="3" s="1"/>
  <c r="AO52" i="3" s="1"/>
  <c r="N51" i="3"/>
  <c r="AG51" i="3" s="1"/>
  <c r="AZ51" i="3" s="1"/>
  <c r="C51" i="3"/>
  <c r="V51" i="3" s="1"/>
  <c r="AO51" i="3" s="1"/>
  <c r="C46" i="3"/>
  <c r="V46" i="3" s="1"/>
  <c r="AO46" i="3" s="1"/>
  <c r="N45" i="3"/>
  <c r="AG45" i="3" s="1"/>
  <c r="AZ45" i="3" s="1"/>
  <c r="C45" i="3"/>
  <c r="V45" i="3" s="1"/>
  <c r="AO45" i="3" s="1"/>
  <c r="C44" i="3"/>
  <c r="V44" i="3" s="1"/>
  <c r="AO44" i="3" s="1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U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U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Q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U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N9" i="3"/>
  <c r="M9" i="3"/>
  <c r="L9" i="3"/>
  <c r="K9" i="3"/>
  <c r="J9" i="3"/>
  <c r="I9" i="3"/>
  <c r="H9" i="3"/>
  <c r="G9" i="3"/>
  <c r="F9" i="3"/>
  <c r="E9" i="3"/>
  <c r="D9" i="3"/>
  <c r="C9" i="3"/>
  <c r="B9" i="3"/>
  <c r="M6" i="3"/>
  <c r="AF6" i="3" s="1"/>
  <c r="AY6" i="3" s="1"/>
  <c r="W4" i="3"/>
  <c r="AP4" i="3" s="1"/>
  <c r="F1" i="3"/>
  <c r="Y1" i="3" s="1"/>
  <c r="AR1" i="3" s="1"/>
  <c r="AG12" i="3" l="1"/>
  <c r="Y19" i="3"/>
  <c r="AG11" i="3"/>
  <c r="AG17" i="3"/>
  <c r="U13" i="3"/>
  <c r="AC15" i="3"/>
  <c r="AY11" i="3"/>
  <c r="AU12" i="3"/>
  <c r="AG14" i="3"/>
  <c r="AQ16" i="3"/>
  <c r="AQ18" i="3"/>
  <c r="AU20" i="3"/>
  <c r="AU11" i="3"/>
  <c r="AC12" i="3"/>
  <c r="AU13" i="3"/>
  <c r="AU14" i="3"/>
  <c r="AQ15" i="3"/>
  <c r="U18" i="3"/>
  <c r="AQ19" i="3"/>
  <c r="Y22" i="3"/>
  <c r="AU24" i="3"/>
  <c r="Y11" i="3"/>
  <c r="AQ12" i="3"/>
  <c r="AC13" i="3"/>
  <c r="Y14" i="3"/>
  <c r="U15" i="3"/>
  <c r="AC16" i="3"/>
  <c r="AU17" i="3"/>
  <c r="AC20" i="3"/>
  <c r="AU21" i="3"/>
  <c r="AU23" i="3"/>
  <c r="U11" i="3"/>
  <c r="AQ11" i="3"/>
  <c r="AE12" i="3"/>
  <c r="AG13" i="3"/>
  <c r="U14" i="3"/>
  <c r="AQ14" i="3"/>
  <c r="Y15" i="3"/>
  <c r="AU15" i="3"/>
  <c r="AG16" i="3"/>
  <c r="AC17" i="3"/>
  <c r="AU18" i="3"/>
  <c r="AG19" i="3"/>
  <c r="Y20" i="3"/>
  <c r="U23" i="3"/>
  <c r="AS11" i="3"/>
  <c r="AC11" i="3"/>
  <c r="Y12" i="3"/>
  <c r="Y13" i="3"/>
  <c r="AC14" i="3"/>
  <c r="AG15" i="3"/>
  <c r="Y16" i="3"/>
  <c r="AU16" i="3"/>
  <c r="AQ17" i="3"/>
  <c r="AG18" i="3"/>
  <c r="U19" i="3"/>
  <c r="AU19" i="3"/>
  <c r="AQ20" i="3"/>
  <c r="AQ21" i="3"/>
  <c r="AC22" i="3"/>
  <c r="U26" i="3"/>
  <c r="AZ72" i="5"/>
  <c r="AZ73" i="5" s="1"/>
  <c r="BA12" i="5"/>
  <c r="BB12" i="5"/>
  <c r="U17" i="3"/>
  <c r="Y18" i="3"/>
  <c r="AC19" i="3"/>
  <c r="Y21" i="3"/>
  <c r="AQ22" i="3"/>
  <c r="Y23" i="3"/>
  <c r="U24" i="3"/>
  <c r="U25" i="3"/>
  <c r="U16" i="3"/>
  <c r="Y17" i="3"/>
  <c r="AC18" i="3"/>
  <c r="U20" i="3"/>
  <c r="AC21" i="3"/>
  <c r="U22" i="3"/>
  <c r="AU22" i="3"/>
  <c r="AQ23" i="3"/>
  <c r="AQ24" i="3"/>
  <c r="AQ25" i="3"/>
  <c r="AD12" i="3"/>
  <c r="AO71" i="4"/>
  <c r="AO72" i="4" s="1"/>
  <c r="AR14" i="4"/>
  <c r="AN19" i="4"/>
  <c r="AE11" i="3"/>
  <c r="AW12" i="3"/>
  <c r="AA13" i="3"/>
  <c r="U13" i="4"/>
  <c r="W11" i="3"/>
  <c r="AO12" i="3"/>
  <c r="U27" i="3"/>
  <c r="U29" i="3"/>
  <c r="AA11" i="3"/>
  <c r="AO11" i="3"/>
  <c r="AW11" i="3"/>
  <c r="V12" i="3"/>
  <c r="AA12" i="3"/>
  <c r="AR12" i="3"/>
  <c r="Y31" i="5"/>
  <c r="Z12" i="3"/>
  <c r="W12" i="3"/>
  <c r="AN12" i="3"/>
  <c r="AS12" i="3"/>
  <c r="AE13" i="3"/>
  <c r="AZ13" i="3"/>
  <c r="AV14" i="3"/>
  <c r="AF15" i="3"/>
  <c r="AN20" i="4"/>
  <c r="AN18" i="4"/>
  <c r="AP11" i="3"/>
  <c r="AN17" i="4"/>
  <c r="O28" i="3"/>
  <c r="O35" i="3"/>
  <c r="AJ13" i="5"/>
  <c r="BB11" i="4"/>
  <c r="AI13" i="5"/>
  <c r="BC9" i="3"/>
  <c r="AI10" i="3"/>
  <c r="P11" i="3"/>
  <c r="AQ62" i="3"/>
  <c r="AP12" i="3"/>
  <c r="AR65" i="5"/>
  <c r="AQ15" i="5"/>
  <c r="AF11" i="3"/>
  <c r="AX12" i="3"/>
  <c r="AF13" i="3"/>
  <c r="AF14" i="3"/>
  <c r="AU61" i="3"/>
  <c r="AU62" i="3" s="1"/>
  <c r="AU63" i="3" s="1"/>
  <c r="AT14" i="3" s="1"/>
  <c r="AE66" i="5"/>
  <c r="AE16" i="5"/>
  <c r="AW63" i="4"/>
  <c r="AV13" i="4"/>
  <c r="Z63" i="4"/>
  <c r="Z13" i="4"/>
  <c r="AY63" i="3"/>
  <c r="AB11" i="3"/>
  <c r="AX11" i="3"/>
  <c r="AB13" i="3"/>
  <c r="AB15" i="3"/>
  <c r="P39" i="3"/>
  <c r="AA64" i="5"/>
  <c r="AA14" i="5"/>
  <c r="AX65" i="5"/>
  <c r="AW15" i="5"/>
  <c r="X11" i="3"/>
  <c r="AB12" i="3"/>
  <c r="AF12" i="3"/>
  <c r="AB14" i="3"/>
  <c r="AT63" i="5"/>
  <c r="AS13" i="5"/>
  <c r="BC13" i="5" s="1"/>
  <c r="BA65" i="4"/>
  <c r="AZ15" i="4"/>
  <c r="W63" i="3"/>
  <c r="W13" i="3"/>
  <c r="V63" i="3"/>
  <c r="V13" i="3"/>
  <c r="AS63" i="3"/>
  <c r="AR13" i="3"/>
  <c r="AG70" i="3"/>
  <c r="AG20" i="3"/>
  <c r="AY13" i="3"/>
  <c r="AZ63" i="3"/>
  <c r="AT63" i="3"/>
  <c r="AS13" i="3"/>
  <c r="O15" i="3"/>
  <c r="BA65" i="3"/>
  <c r="AZ15" i="3"/>
  <c r="AH13" i="5"/>
  <c r="AZ71" i="4"/>
  <c r="AY21" i="4"/>
  <c r="AR71" i="4"/>
  <c r="AQ21" i="4"/>
  <c r="Y71" i="4"/>
  <c r="Y21" i="4"/>
  <c r="BA11" i="4"/>
  <c r="BC11" i="4"/>
  <c r="AH11" i="4"/>
  <c r="AJ11" i="4"/>
  <c r="V11" i="3"/>
  <c r="Z11" i="3"/>
  <c r="AD11" i="3"/>
  <c r="AN11" i="3"/>
  <c r="AR11" i="3"/>
  <c r="AV11" i="3"/>
  <c r="AZ11" i="3"/>
  <c r="AY12" i="3"/>
  <c r="AA64" i="3"/>
  <c r="AA65" i="3" s="1"/>
  <c r="AA14" i="3"/>
  <c r="AE64" i="3"/>
  <c r="AE14" i="3"/>
  <c r="AI11" i="4"/>
  <c r="V74" i="4"/>
  <c r="V24" i="4"/>
  <c r="AD72" i="4"/>
  <c r="AD22" i="4"/>
  <c r="AY64" i="5"/>
  <c r="AX14" i="5"/>
  <c r="AC65" i="5"/>
  <c r="AC15" i="5"/>
  <c r="AD66" i="5"/>
  <c r="AD16" i="5"/>
  <c r="AX62" i="4"/>
  <c r="AW12" i="4"/>
  <c r="AP62" i="4"/>
  <c r="AO12" i="4"/>
  <c r="AA62" i="4"/>
  <c r="AA12" i="4"/>
  <c r="AU64" i="3"/>
  <c r="Q27" i="3"/>
  <c r="P29" i="3"/>
  <c r="Z63" i="3"/>
  <c r="Z13" i="3"/>
  <c r="AD63" i="3"/>
  <c r="AD13" i="3"/>
  <c r="AO63" i="3"/>
  <c r="AN13" i="3"/>
  <c r="AV12" i="3"/>
  <c r="AZ12" i="3"/>
  <c r="AV13" i="3"/>
  <c r="AZ14" i="3"/>
  <c r="O18" i="3"/>
  <c r="Q32" i="3"/>
  <c r="AB66" i="3"/>
  <c r="AB16" i="3"/>
  <c r="AO82" i="5"/>
  <c r="AN32" i="5"/>
  <c r="AU66" i="5"/>
  <c r="AT16" i="5"/>
  <c r="BA66" i="5"/>
  <c r="AZ16" i="5"/>
  <c r="P25" i="3"/>
  <c r="W64" i="5"/>
  <c r="W14" i="5"/>
  <c r="AB64" i="5"/>
  <c r="AB14" i="5"/>
  <c r="AG65" i="5"/>
  <c r="AG15" i="5"/>
  <c r="AV71" i="4"/>
  <c r="AU21" i="4"/>
  <c r="AG71" i="4"/>
  <c r="AG21" i="4"/>
  <c r="AS65" i="4"/>
  <c r="AR15" i="4"/>
  <c r="P31" i="3"/>
  <c r="AP64" i="5"/>
  <c r="AO14" i="5"/>
  <c r="AQ64" i="5"/>
  <c r="AP14" i="5"/>
  <c r="AV81" i="5"/>
  <c r="AU31" i="5"/>
  <c r="U64" i="4"/>
  <c r="U14" i="4"/>
  <c r="AT62" i="4"/>
  <c r="AS12" i="4"/>
  <c r="AE62" i="4"/>
  <c r="AE12" i="4"/>
  <c r="W62" i="4"/>
  <c r="W12" i="4"/>
  <c r="AC64" i="4"/>
  <c r="AC14" i="4"/>
  <c r="P15" i="3"/>
  <c r="P18" i="3"/>
  <c r="P28" i="3"/>
  <c r="O11" i="3"/>
  <c r="P14" i="3"/>
  <c r="P16" i="3"/>
  <c r="Q20" i="3"/>
  <c r="Q24" i="3"/>
  <c r="Q26" i="3"/>
  <c r="O27" i="3"/>
  <c r="P27" i="3"/>
  <c r="P32" i="3"/>
  <c r="O33" i="3"/>
  <c r="Q37" i="3"/>
  <c r="F42" i="3"/>
  <c r="O10" i="3"/>
  <c r="P13" i="3"/>
  <c r="O20" i="3"/>
  <c r="Q22" i="3"/>
  <c r="P26" i="3"/>
  <c r="Q35" i="3"/>
  <c r="K41" i="3"/>
  <c r="AJ9" i="3"/>
  <c r="P10" i="3"/>
  <c r="AH10" i="3"/>
  <c r="BC10" i="3"/>
  <c r="Q12" i="3"/>
  <c r="Q14" i="3"/>
  <c r="Q15" i="3"/>
  <c r="P17" i="3"/>
  <c r="Q18" i="3"/>
  <c r="P21" i="3"/>
  <c r="O22" i="3"/>
  <c r="P22" i="3"/>
  <c r="P23" i="3"/>
  <c r="P24" i="3"/>
  <c r="Q28" i="3"/>
  <c r="O29" i="3"/>
  <c r="Q31" i="3"/>
  <c r="Q33" i="3"/>
  <c r="O37" i="3"/>
  <c r="Q17" i="3"/>
  <c r="Q23" i="3"/>
  <c r="P30" i="3"/>
  <c r="O31" i="3"/>
  <c r="Q9" i="3"/>
  <c r="P19" i="3"/>
  <c r="P20" i="3"/>
  <c r="O26" i="3"/>
  <c r="Q29" i="3"/>
  <c r="V71" i="5"/>
  <c r="V21" i="5"/>
  <c r="Z68" i="5"/>
  <c r="Z18" i="5"/>
  <c r="X66" i="5"/>
  <c r="X16" i="5"/>
  <c r="Y82" i="5"/>
  <c r="Y32" i="5"/>
  <c r="AF76" i="5"/>
  <c r="AF26" i="5"/>
  <c r="AW69" i="5"/>
  <c r="AV19" i="5"/>
  <c r="AS77" i="5"/>
  <c r="AR27" i="5"/>
  <c r="U69" i="5"/>
  <c r="U19" i="5"/>
  <c r="X80" i="4"/>
  <c r="X30" i="4"/>
  <c r="AQ86" i="4"/>
  <c r="AP36" i="4"/>
  <c r="O42" i="4"/>
  <c r="O41" i="4"/>
  <c r="O40" i="4"/>
  <c r="AY86" i="4"/>
  <c r="AX36" i="4"/>
  <c r="AB80" i="4"/>
  <c r="AB30" i="4"/>
  <c r="P42" i="4"/>
  <c r="P41" i="4"/>
  <c r="P40" i="4"/>
  <c r="AU86" i="4"/>
  <c r="AT36" i="4"/>
  <c r="AF79" i="4"/>
  <c r="AF29" i="4"/>
  <c r="Q42" i="4"/>
  <c r="Q41" i="4"/>
  <c r="Q40" i="4"/>
  <c r="D42" i="3"/>
  <c r="D41" i="3"/>
  <c r="D40" i="3"/>
  <c r="AI9" i="3"/>
  <c r="Q34" i="3"/>
  <c r="P34" i="3"/>
  <c r="Q38" i="3"/>
  <c r="P38" i="3"/>
  <c r="AP63" i="3"/>
  <c r="AO13" i="3"/>
  <c r="AX63" i="3"/>
  <c r="AW13" i="3"/>
  <c r="X62" i="3"/>
  <c r="X12" i="3"/>
  <c r="AV75" i="3"/>
  <c r="AU25" i="3"/>
  <c r="E42" i="3"/>
  <c r="E41" i="3"/>
  <c r="E40" i="3"/>
  <c r="I42" i="3"/>
  <c r="I41" i="3"/>
  <c r="I40" i="3"/>
  <c r="M42" i="3"/>
  <c r="M41" i="3"/>
  <c r="M40" i="3"/>
  <c r="AJ10" i="3"/>
  <c r="BA10" i="3"/>
  <c r="O12" i="3"/>
  <c r="P12" i="3"/>
  <c r="Q13" i="3"/>
  <c r="O14" i="3"/>
  <c r="O17" i="3"/>
  <c r="Q19" i="3"/>
  <c r="Q21" i="3"/>
  <c r="O23" i="3"/>
  <c r="O24" i="3"/>
  <c r="H42" i="3"/>
  <c r="H41" i="3"/>
  <c r="H40" i="3"/>
  <c r="P9" i="3"/>
  <c r="B42" i="3"/>
  <c r="B41" i="3"/>
  <c r="B40" i="3"/>
  <c r="F41" i="3"/>
  <c r="F40" i="3"/>
  <c r="J42" i="3"/>
  <c r="J41" i="3"/>
  <c r="J40" i="3"/>
  <c r="N42" i="3"/>
  <c r="N41" i="3"/>
  <c r="N40" i="3"/>
  <c r="Q10" i="3"/>
  <c r="BB10" i="3"/>
  <c r="O13" i="3"/>
  <c r="Q16" i="3"/>
  <c r="O19" i="3"/>
  <c r="O21" i="3"/>
  <c r="Q25" i="3"/>
  <c r="Q30" i="3"/>
  <c r="Q36" i="3"/>
  <c r="P36" i="3"/>
  <c r="AC73" i="3"/>
  <c r="AC23" i="3"/>
  <c r="AR76" i="3"/>
  <c r="AQ26" i="3"/>
  <c r="AF66" i="3"/>
  <c r="AF16" i="3"/>
  <c r="AW65" i="3"/>
  <c r="AV15" i="3"/>
  <c r="Y74" i="3"/>
  <c r="Y24" i="3"/>
  <c r="L42" i="3"/>
  <c r="L41" i="3"/>
  <c r="L40" i="3"/>
  <c r="BB9" i="3"/>
  <c r="C42" i="3"/>
  <c r="C41" i="3"/>
  <c r="C40" i="3"/>
  <c r="G42" i="3"/>
  <c r="G41" i="3"/>
  <c r="G40" i="3"/>
  <c r="K40" i="3"/>
  <c r="K42" i="3"/>
  <c r="O9" i="3"/>
  <c r="AH9" i="3"/>
  <c r="BA9" i="3"/>
  <c r="Q11" i="3"/>
  <c r="O16" i="3"/>
  <c r="O25" i="3"/>
  <c r="O30" i="3"/>
  <c r="P33" i="3"/>
  <c r="P35" i="3"/>
  <c r="P37" i="3"/>
  <c r="O32" i="3"/>
  <c r="O34" i="3"/>
  <c r="O36" i="3"/>
  <c r="O38" i="3"/>
  <c r="U80" i="3"/>
  <c r="U30" i="3"/>
  <c r="Q39" i="3"/>
  <c r="O39" i="3"/>
  <c r="AN22" i="4" l="1"/>
  <c r="AY23" i="5"/>
  <c r="AT13" i="3"/>
  <c r="AT12" i="3"/>
  <c r="BB12" i="3" s="1"/>
  <c r="AH12" i="3"/>
  <c r="AI12" i="3"/>
  <c r="BB13" i="5"/>
  <c r="BA11" i="3"/>
  <c r="BB11" i="3"/>
  <c r="BA13" i="5"/>
  <c r="AA65" i="5"/>
  <c r="AA15" i="5"/>
  <c r="AQ16" i="5"/>
  <c r="AR66" i="5"/>
  <c r="BC11" i="3"/>
  <c r="AI11" i="3"/>
  <c r="Z64" i="4"/>
  <c r="Z14" i="4"/>
  <c r="AE67" i="5"/>
  <c r="AE17" i="5"/>
  <c r="AH11" i="3"/>
  <c r="BA66" i="4"/>
  <c r="AZ16" i="4"/>
  <c r="AX66" i="5"/>
  <c r="AW16" i="5"/>
  <c r="AQ63" i="3"/>
  <c r="AP13" i="3"/>
  <c r="BC13" i="3" s="1"/>
  <c r="AT64" i="5"/>
  <c r="AS14" i="5"/>
  <c r="BA14" i="5" s="1"/>
  <c r="AY64" i="3"/>
  <c r="AX14" i="3"/>
  <c r="AW64" i="4"/>
  <c r="AV14" i="4"/>
  <c r="AI12" i="4"/>
  <c r="AH12" i="4"/>
  <c r="AJ12" i="4"/>
  <c r="AO83" i="5"/>
  <c r="AN33" i="5"/>
  <c r="AD67" i="5"/>
  <c r="AD17" i="5"/>
  <c r="V75" i="4"/>
  <c r="V25" i="4"/>
  <c r="AT63" i="4"/>
  <c r="AS13" i="4"/>
  <c r="AO73" i="4"/>
  <c r="AN23" i="4"/>
  <c r="AP65" i="5"/>
  <c r="AO15" i="5"/>
  <c r="AD64" i="3"/>
  <c r="AD14" i="3"/>
  <c r="AA66" i="3"/>
  <c r="AA16" i="3"/>
  <c r="AR72" i="4"/>
  <c r="AQ22" i="4"/>
  <c r="AT64" i="3"/>
  <c r="AS14" i="3"/>
  <c r="AG71" i="3"/>
  <c r="AG21" i="3"/>
  <c r="AA15" i="3"/>
  <c r="AG72" i="4"/>
  <c r="AG22" i="4"/>
  <c r="AH14" i="5"/>
  <c r="AJ14" i="5"/>
  <c r="AI14" i="5"/>
  <c r="BA67" i="5"/>
  <c r="AZ17" i="5"/>
  <c r="AA63" i="4"/>
  <c r="AA13" i="4"/>
  <c r="AX63" i="4"/>
  <c r="AW13" i="4"/>
  <c r="AC66" i="5"/>
  <c r="AC16" i="5"/>
  <c r="AD73" i="4"/>
  <c r="AD23" i="4"/>
  <c r="AZ16" i="3"/>
  <c r="BA66" i="3"/>
  <c r="AZ64" i="3"/>
  <c r="AY14" i="3"/>
  <c r="AS66" i="4"/>
  <c r="AR16" i="4"/>
  <c r="AV72" i="4"/>
  <c r="AU22" i="4"/>
  <c r="AU67" i="5"/>
  <c r="AT17" i="5"/>
  <c r="AP63" i="4"/>
  <c r="AO13" i="4"/>
  <c r="AY65" i="5"/>
  <c r="AX15" i="5"/>
  <c r="AJ11" i="3"/>
  <c r="W63" i="4"/>
  <c r="W13" i="4"/>
  <c r="AV82" i="5"/>
  <c r="AU32" i="5"/>
  <c r="AB65" i="5"/>
  <c r="AB15" i="5"/>
  <c r="V64" i="3"/>
  <c r="V14" i="3"/>
  <c r="Q41" i="3"/>
  <c r="AC65" i="4"/>
  <c r="AC15" i="4"/>
  <c r="AE63" i="4"/>
  <c r="AE13" i="4"/>
  <c r="U65" i="4"/>
  <c r="U15" i="4"/>
  <c r="AQ65" i="5"/>
  <c r="AP15" i="5"/>
  <c r="AG66" i="5"/>
  <c r="AG16" i="5"/>
  <c r="W65" i="5"/>
  <c r="W15" i="5"/>
  <c r="AB67" i="3"/>
  <c r="AB17" i="3"/>
  <c r="AO64" i="3"/>
  <c r="AN14" i="3"/>
  <c r="Z64" i="3"/>
  <c r="Z14" i="3"/>
  <c r="AU65" i="3"/>
  <c r="AT15" i="3"/>
  <c r="BC12" i="4"/>
  <c r="BB12" i="4"/>
  <c r="BA12" i="4"/>
  <c r="AE65" i="3"/>
  <c r="AE15" i="3"/>
  <c r="Y72" i="4"/>
  <c r="Y22" i="4"/>
  <c r="AZ72" i="4"/>
  <c r="AY22" i="4"/>
  <c r="AS64" i="3"/>
  <c r="AR14" i="3"/>
  <c r="W64" i="3"/>
  <c r="W14" i="3"/>
  <c r="AJ12" i="3"/>
  <c r="Q42" i="3"/>
  <c r="AZ74" i="5"/>
  <c r="AY24" i="5"/>
  <c r="Z69" i="5"/>
  <c r="Z19" i="5"/>
  <c r="U70" i="5"/>
  <c r="U20" i="5"/>
  <c r="X67" i="5"/>
  <c r="X17" i="5"/>
  <c r="AW70" i="5"/>
  <c r="AV20" i="5"/>
  <c r="Y83" i="5"/>
  <c r="Y33" i="5"/>
  <c r="V72" i="5"/>
  <c r="V22" i="5"/>
  <c r="AS78" i="5"/>
  <c r="AR28" i="5"/>
  <c r="AF77" i="5"/>
  <c r="AF27" i="5"/>
  <c r="AF80" i="4"/>
  <c r="AF30" i="4"/>
  <c r="AU87" i="4"/>
  <c r="AT37" i="4"/>
  <c r="AY87" i="4"/>
  <c r="AX37" i="4"/>
  <c r="AQ87" i="4"/>
  <c r="AP37" i="4"/>
  <c r="AB81" i="4"/>
  <c r="AB31" i="4"/>
  <c r="X81" i="4"/>
  <c r="X31" i="4"/>
  <c r="BA12" i="3"/>
  <c r="Y75" i="3"/>
  <c r="Y25" i="3"/>
  <c r="AF67" i="3"/>
  <c r="AF17" i="3"/>
  <c r="AC74" i="3"/>
  <c r="AC24" i="3"/>
  <c r="AV76" i="3"/>
  <c r="AU26" i="3"/>
  <c r="AX64" i="3"/>
  <c r="AW14" i="3"/>
  <c r="Q40" i="3"/>
  <c r="U31" i="3"/>
  <c r="U81" i="3"/>
  <c r="O42" i="3"/>
  <c r="O41" i="3"/>
  <c r="O40" i="3"/>
  <c r="AW66" i="3"/>
  <c r="AV16" i="3"/>
  <c r="AR77" i="3"/>
  <c r="AQ27" i="3"/>
  <c r="P42" i="3"/>
  <c r="P41" i="3"/>
  <c r="P40" i="3"/>
  <c r="X63" i="3"/>
  <c r="X13" i="3"/>
  <c r="AP64" i="3"/>
  <c r="AO14" i="3"/>
  <c r="BB13" i="3" l="1"/>
  <c r="BA13" i="3"/>
  <c r="BC12" i="3"/>
  <c r="BB14" i="5"/>
  <c r="AW65" i="4"/>
  <c r="AV15" i="4"/>
  <c r="Z65" i="4"/>
  <c r="Z15" i="4"/>
  <c r="AP14" i="3"/>
  <c r="BC14" i="3" s="1"/>
  <c r="AQ64" i="3"/>
  <c r="BA67" i="4"/>
  <c r="AZ17" i="4"/>
  <c r="BC14" i="5"/>
  <c r="AT65" i="5"/>
  <c r="AS15" i="5"/>
  <c r="BC15" i="5" s="1"/>
  <c r="AX67" i="5"/>
  <c r="AW17" i="5"/>
  <c r="AR67" i="5"/>
  <c r="AQ17" i="5"/>
  <c r="AY65" i="3"/>
  <c r="AX15" i="3"/>
  <c r="AE68" i="5"/>
  <c r="AE18" i="5"/>
  <c r="AA66" i="5"/>
  <c r="AA16" i="5"/>
  <c r="AI15" i="5"/>
  <c r="AH15" i="5"/>
  <c r="AJ15" i="5"/>
  <c r="BB13" i="4"/>
  <c r="BA13" i="4"/>
  <c r="BC13" i="4"/>
  <c r="AA64" i="4"/>
  <c r="AA14" i="4"/>
  <c r="AA67" i="3"/>
  <c r="AA17" i="3"/>
  <c r="AO74" i="4"/>
  <c r="AN24" i="4"/>
  <c r="W65" i="3"/>
  <c r="W15" i="3"/>
  <c r="AZ73" i="4"/>
  <c r="AY23" i="4"/>
  <c r="AE66" i="3"/>
  <c r="AE16" i="3"/>
  <c r="AI13" i="4"/>
  <c r="AH13" i="4"/>
  <c r="AJ13" i="4"/>
  <c r="AD74" i="4"/>
  <c r="AD24" i="4"/>
  <c r="AX64" i="4"/>
  <c r="AW14" i="4"/>
  <c r="V76" i="4"/>
  <c r="V26" i="4"/>
  <c r="AD68" i="5"/>
  <c r="AD18" i="5"/>
  <c r="AS65" i="3"/>
  <c r="AR15" i="3"/>
  <c r="Y73" i="4"/>
  <c r="Y23" i="4"/>
  <c r="AZ65" i="3"/>
  <c r="AY15" i="3"/>
  <c r="AC67" i="5"/>
  <c r="AC17" i="5"/>
  <c r="BA68" i="5"/>
  <c r="AZ18" i="5"/>
  <c r="AN34" i="5"/>
  <c r="AO84" i="5"/>
  <c r="Z65" i="3"/>
  <c r="Z15" i="3"/>
  <c r="W66" i="5"/>
  <c r="W16" i="5"/>
  <c r="AQ66" i="5"/>
  <c r="AP16" i="5"/>
  <c r="U66" i="4"/>
  <c r="U16" i="4"/>
  <c r="AC66" i="4"/>
  <c r="AC16" i="4"/>
  <c r="AV83" i="5"/>
  <c r="AU33" i="5"/>
  <c r="AP64" i="4"/>
  <c r="AO14" i="4"/>
  <c r="AV73" i="4"/>
  <c r="AU23" i="4"/>
  <c r="BA67" i="3"/>
  <c r="AZ17" i="3"/>
  <c r="AG73" i="4"/>
  <c r="AG23" i="4"/>
  <c r="AT65" i="3"/>
  <c r="AS15" i="3"/>
  <c r="AD65" i="3"/>
  <c r="AD15" i="3"/>
  <c r="AU66" i="3"/>
  <c r="AT16" i="3"/>
  <c r="AO65" i="3"/>
  <c r="AN15" i="3"/>
  <c r="AB18" i="3"/>
  <c r="AB68" i="3"/>
  <c r="AG67" i="5"/>
  <c r="AG17" i="5"/>
  <c r="AE64" i="4"/>
  <c r="AE14" i="4"/>
  <c r="V65" i="3"/>
  <c r="V15" i="3"/>
  <c r="AB66" i="5"/>
  <c r="AB16" i="5"/>
  <c r="W64" i="4"/>
  <c r="W14" i="4"/>
  <c r="AY66" i="5"/>
  <c r="AX16" i="5"/>
  <c r="AU68" i="5"/>
  <c r="AT18" i="5"/>
  <c r="AS67" i="4"/>
  <c r="AR17" i="4"/>
  <c r="AG72" i="3"/>
  <c r="AG22" i="3"/>
  <c r="AR73" i="4"/>
  <c r="AQ23" i="4"/>
  <c r="AP66" i="5"/>
  <c r="AO16" i="5"/>
  <c r="AT64" i="4"/>
  <c r="AS14" i="4"/>
  <c r="AF78" i="5"/>
  <c r="AF28" i="5"/>
  <c r="Y84" i="5"/>
  <c r="Y34" i="5"/>
  <c r="AW71" i="5"/>
  <c r="AV21" i="5"/>
  <c r="X68" i="5"/>
  <c r="X18" i="5"/>
  <c r="AZ75" i="5"/>
  <c r="AY25" i="5"/>
  <c r="AS79" i="5"/>
  <c r="AR29" i="5"/>
  <c r="V73" i="5"/>
  <c r="V23" i="5"/>
  <c r="U71" i="5"/>
  <c r="U21" i="5"/>
  <c r="Z70" i="5"/>
  <c r="Z20" i="5"/>
  <c r="AQ88" i="4"/>
  <c r="AP38" i="4"/>
  <c r="AP42" i="4" s="1"/>
  <c r="AY88" i="4"/>
  <c r="AX38" i="4"/>
  <c r="AX42" i="4" s="1"/>
  <c r="AB82" i="4"/>
  <c r="AB32" i="4"/>
  <c r="AF81" i="4"/>
  <c r="AF31" i="4"/>
  <c r="X82" i="4"/>
  <c r="X32" i="4"/>
  <c r="AU88" i="4"/>
  <c r="AT38" i="4"/>
  <c r="X64" i="3"/>
  <c r="X14" i="3"/>
  <c r="AW67" i="3"/>
  <c r="AV17" i="3"/>
  <c r="U82" i="3"/>
  <c r="U32" i="3"/>
  <c r="AV77" i="3"/>
  <c r="AU27" i="3"/>
  <c r="AF68" i="3"/>
  <c r="AF18" i="3"/>
  <c r="AP65" i="3"/>
  <c r="AO15" i="3"/>
  <c r="AR78" i="3"/>
  <c r="AQ28" i="3"/>
  <c r="AI13" i="3"/>
  <c r="AH13" i="3"/>
  <c r="AJ13" i="3"/>
  <c r="AX65" i="3"/>
  <c r="AW15" i="3"/>
  <c r="AC75" i="3"/>
  <c r="AC25" i="3"/>
  <c r="Y76" i="3"/>
  <c r="Y26" i="3"/>
  <c r="BA15" i="5" l="1"/>
  <c r="BB14" i="3"/>
  <c r="BB15" i="5"/>
  <c r="BA14" i="3"/>
  <c r="AX41" i="4"/>
  <c r="BA68" i="4"/>
  <c r="AZ18" i="4"/>
  <c r="Z66" i="4"/>
  <c r="Z16" i="4"/>
  <c r="AA67" i="5"/>
  <c r="AA17" i="5"/>
  <c r="AY66" i="3"/>
  <c r="AX16" i="3"/>
  <c r="AX68" i="5"/>
  <c r="AW18" i="5"/>
  <c r="AP41" i="4"/>
  <c r="AE69" i="5"/>
  <c r="AE19" i="5"/>
  <c r="AR68" i="5"/>
  <c r="AQ18" i="5"/>
  <c r="AT66" i="5"/>
  <c r="AS16" i="5"/>
  <c r="BC16" i="5" s="1"/>
  <c r="AP15" i="3"/>
  <c r="BA15" i="3" s="1"/>
  <c r="AQ65" i="3"/>
  <c r="AW66" i="4"/>
  <c r="AV16" i="4"/>
  <c r="AB19" i="3"/>
  <c r="AB69" i="3"/>
  <c r="AB67" i="5"/>
  <c r="AB17" i="5"/>
  <c r="AP67" i="5"/>
  <c r="AO17" i="5"/>
  <c r="AR74" i="4"/>
  <c r="AQ24" i="4"/>
  <c r="AC68" i="5"/>
  <c r="AC18" i="5"/>
  <c r="AD69" i="5"/>
  <c r="AD19" i="5"/>
  <c r="AU69" i="5"/>
  <c r="AT19" i="5"/>
  <c r="AT66" i="3"/>
  <c r="AS16" i="3"/>
  <c r="AQ67" i="5"/>
  <c r="AP17" i="5"/>
  <c r="AA68" i="3"/>
  <c r="AA18" i="3"/>
  <c r="AA65" i="4"/>
  <c r="AA15" i="4"/>
  <c r="AS68" i="4"/>
  <c r="AR18" i="4"/>
  <c r="AY67" i="5"/>
  <c r="AX17" i="5"/>
  <c r="AE65" i="4"/>
  <c r="AE15" i="4"/>
  <c r="AG18" i="5"/>
  <c r="AG68" i="5"/>
  <c r="AO66" i="3"/>
  <c r="AN16" i="3"/>
  <c r="AD66" i="3"/>
  <c r="AD16" i="3"/>
  <c r="BA68" i="3"/>
  <c r="AZ18" i="3"/>
  <c r="AP65" i="4"/>
  <c r="AO15" i="4"/>
  <c r="U67" i="4"/>
  <c r="U17" i="4"/>
  <c r="W67" i="5"/>
  <c r="W17" i="5"/>
  <c r="Z66" i="3"/>
  <c r="Z16" i="3"/>
  <c r="AO75" i="4"/>
  <c r="AN25" i="4"/>
  <c r="AH14" i="4"/>
  <c r="AI14" i="4"/>
  <c r="AJ14" i="4"/>
  <c r="AG74" i="4"/>
  <c r="AG24" i="4"/>
  <c r="Y74" i="4"/>
  <c r="Y24" i="4"/>
  <c r="AD75" i="4"/>
  <c r="AD25" i="4"/>
  <c r="AZ74" i="4"/>
  <c r="AY24" i="4"/>
  <c r="W65" i="4"/>
  <c r="W15" i="4"/>
  <c r="V16" i="3"/>
  <c r="V66" i="3"/>
  <c r="AU67" i="3"/>
  <c r="AT17" i="3"/>
  <c r="AV74" i="4"/>
  <c r="AU24" i="4"/>
  <c r="AV84" i="5"/>
  <c r="AU34" i="5"/>
  <c r="AC67" i="4"/>
  <c r="AC17" i="4"/>
  <c r="AO85" i="5"/>
  <c r="AN35" i="5"/>
  <c r="AT65" i="4"/>
  <c r="AS15" i="4"/>
  <c r="AG73" i="3"/>
  <c r="AG23" i="3"/>
  <c r="BA14" i="4"/>
  <c r="BB14" i="4"/>
  <c r="BC14" i="4"/>
  <c r="AI16" i="5"/>
  <c r="AJ16" i="5"/>
  <c r="AH16" i="5"/>
  <c r="BA69" i="5"/>
  <c r="AZ19" i="5"/>
  <c r="AZ66" i="3"/>
  <c r="AY16" i="3"/>
  <c r="AS66" i="3"/>
  <c r="AR16" i="3"/>
  <c r="V77" i="4"/>
  <c r="V27" i="4"/>
  <c r="AX65" i="4"/>
  <c r="AW15" i="4"/>
  <c r="AE67" i="3"/>
  <c r="AE17" i="3"/>
  <c r="W66" i="3"/>
  <c r="W16" i="3"/>
  <c r="V74" i="5"/>
  <c r="V24" i="5"/>
  <c r="AS80" i="5"/>
  <c r="AR30" i="5"/>
  <c r="AF79" i="5"/>
  <c r="AF29" i="5"/>
  <c r="U72" i="5"/>
  <c r="U22" i="5"/>
  <c r="AW72" i="5"/>
  <c r="AV22" i="5"/>
  <c r="Z71" i="5"/>
  <c r="Z21" i="5"/>
  <c r="AZ76" i="5"/>
  <c r="AY26" i="5"/>
  <c r="X69" i="5"/>
  <c r="X19" i="5"/>
  <c r="Y85" i="5"/>
  <c r="Y35" i="5"/>
  <c r="AX40" i="4"/>
  <c r="AP40" i="4"/>
  <c r="AT40" i="4"/>
  <c r="X83" i="4"/>
  <c r="X33" i="4"/>
  <c r="AF82" i="4"/>
  <c r="AF32" i="4"/>
  <c r="AT42" i="4"/>
  <c r="AB83" i="4"/>
  <c r="AB33" i="4"/>
  <c r="AT41" i="4"/>
  <c r="U83" i="3"/>
  <c r="U33" i="3"/>
  <c r="X65" i="3"/>
  <c r="X15" i="3"/>
  <c r="Y77" i="3"/>
  <c r="Y27" i="3"/>
  <c r="AX66" i="3"/>
  <c r="AW16" i="3"/>
  <c r="AR79" i="3"/>
  <c r="AQ29" i="3"/>
  <c r="AP66" i="3"/>
  <c r="AO16" i="3"/>
  <c r="AC76" i="3"/>
  <c r="AC26" i="3"/>
  <c r="AV78" i="3"/>
  <c r="AU28" i="3"/>
  <c r="AV18" i="3"/>
  <c r="AW68" i="3"/>
  <c r="AF69" i="3"/>
  <c r="AF19" i="3"/>
  <c r="AI14" i="3"/>
  <c r="AH14" i="3"/>
  <c r="AJ14" i="3"/>
  <c r="BA16" i="5" l="1"/>
  <c r="BB16" i="5"/>
  <c r="AX69" i="5"/>
  <c r="AW19" i="5"/>
  <c r="AA68" i="5"/>
  <c r="AA18" i="5"/>
  <c r="BA69" i="4"/>
  <c r="AZ19" i="4"/>
  <c r="AR69" i="5"/>
  <c r="AQ19" i="5"/>
  <c r="BB15" i="3"/>
  <c r="BC15" i="3"/>
  <c r="AW67" i="4"/>
  <c r="AV17" i="4"/>
  <c r="AT67" i="5"/>
  <c r="AS17" i="5"/>
  <c r="BA17" i="5" s="1"/>
  <c r="AE70" i="5"/>
  <c r="AE20" i="5"/>
  <c r="AP16" i="3"/>
  <c r="BB16" i="3" s="1"/>
  <c r="AQ66" i="3"/>
  <c r="AX17" i="3"/>
  <c r="AY67" i="3"/>
  <c r="Z67" i="4"/>
  <c r="Z17" i="4"/>
  <c r="W67" i="3"/>
  <c r="W17" i="3"/>
  <c r="AU68" i="3"/>
  <c r="AT18" i="3"/>
  <c r="AD76" i="4"/>
  <c r="AD26" i="4"/>
  <c r="AS67" i="3"/>
  <c r="AR17" i="3"/>
  <c r="BA70" i="5"/>
  <c r="AZ20" i="5"/>
  <c r="V67" i="3"/>
  <c r="V17" i="3"/>
  <c r="AZ75" i="4"/>
  <c r="AY25" i="4"/>
  <c r="AY68" i="5"/>
  <c r="AX18" i="5"/>
  <c r="AQ68" i="5"/>
  <c r="AP18" i="5"/>
  <c r="AD70" i="5"/>
  <c r="AD20" i="5"/>
  <c r="AR75" i="4"/>
  <c r="AQ25" i="4"/>
  <c r="AB20" i="3"/>
  <c r="AB70" i="3"/>
  <c r="AV85" i="5"/>
  <c r="AU35" i="5"/>
  <c r="W66" i="4"/>
  <c r="W16" i="4"/>
  <c r="AE68" i="3"/>
  <c r="AE18" i="3"/>
  <c r="AG74" i="3"/>
  <c r="AG24" i="3"/>
  <c r="AT66" i="4"/>
  <c r="AS16" i="4"/>
  <c r="AO86" i="5"/>
  <c r="AN36" i="5"/>
  <c r="AC68" i="4"/>
  <c r="AC18" i="4"/>
  <c r="AV75" i="4"/>
  <c r="AU25" i="4"/>
  <c r="AG75" i="4"/>
  <c r="AG25" i="4"/>
  <c r="Z17" i="3"/>
  <c r="Z67" i="3"/>
  <c r="U68" i="4"/>
  <c r="U18" i="4"/>
  <c r="BA69" i="3"/>
  <c r="AZ19" i="3"/>
  <c r="AA69" i="3"/>
  <c r="AA19" i="3"/>
  <c r="AX66" i="4"/>
  <c r="AW16" i="4"/>
  <c r="Y75" i="4"/>
  <c r="Y25" i="4"/>
  <c r="V78" i="4"/>
  <c r="V28" i="4"/>
  <c r="AZ67" i="3"/>
  <c r="AY17" i="3"/>
  <c r="AJ15" i="4"/>
  <c r="AH15" i="4"/>
  <c r="AI15" i="4"/>
  <c r="AO76" i="4"/>
  <c r="AN26" i="4"/>
  <c r="AJ17" i="5"/>
  <c r="AI17" i="5"/>
  <c r="AH17" i="5"/>
  <c r="BB15" i="4"/>
  <c r="BC15" i="4"/>
  <c r="BA15" i="4"/>
  <c r="AO67" i="3"/>
  <c r="AN17" i="3"/>
  <c r="AE66" i="4"/>
  <c r="AE16" i="4"/>
  <c r="AS69" i="4"/>
  <c r="AR19" i="4"/>
  <c r="AT67" i="3"/>
  <c r="AS17" i="3"/>
  <c r="AU70" i="5"/>
  <c r="AT20" i="5"/>
  <c r="AC69" i="5"/>
  <c r="AC19" i="5"/>
  <c r="AP68" i="5"/>
  <c r="AO18" i="5"/>
  <c r="AB68" i="5"/>
  <c r="AB18" i="5"/>
  <c r="W68" i="5"/>
  <c r="W18" i="5"/>
  <c r="AP66" i="4"/>
  <c r="AO16" i="4"/>
  <c r="AD17" i="3"/>
  <c r="AD67" i="3"/>
  <c r="AG69" i="5"/>
  <c r="AG19" i="5"/>
  <c r="AA66" i="4"/>
  <c r="AA16" i="4"/>
  <c r="AS81" i="5"/>
  <c r="AR31" i="5"/>
  <c r="AF80" i="5"/>
  <c r="AF30" i="5"/>
  <c r="Y36" i="5"/>
  <c r="Y86" i="5"/>
  <c r="V75" i="5"/>
  <c r="V25" i="5"/>
  <c r="Z72" i="5"/>
  <c r="Z22" i="5"/>
  <c r="AW73" i="5"/>
  <c r="AV23" i="5"/>
  <c r="X70" i="5"/>
  <c r="X20" i="5"/>
  <c r="U73" i="5"/>
  <c r="U23" i="5"/>
  <c r="AZ77" i="5"/>
  <c r="AY27" i="5"/>
  <c r="X84" i="4"/>
  <c r="X34" i="4"/>
  <c r="AB84" i="4"/>
  <c r="AB34" i="4"/>
  <c r="AF83" i="4"/>
  <c r="AF33" i="4"/>
  <c r="AC77" i="3"/>
  <c r="AC27" i="3"/>
  <c r="AP67" i="3"/>
  <c r="AO17" i="3"/>
  <c r="Y78" i="3"/>
  <c r="Y28" i="3"/>
  <c r="AW69" i="3"/>
  <c r="AV19" i="3"/>
  <c r="AV79" i="3"/>
  <c r="AU29" i="3"/>
  <c r="AR80" i="3"/>
  <c r="AQ30" i="3"/>
  <c r="AX67" i="3"/>
  <c r="AW17" i="3"/>
  <c r="X66" i="3"/>
  <c r="X16" i="3"/>
  <c r="U84" i="3"/>
  <c r="U34" i="3"/>
  <c r="AI15" i="3"/>
  <c r="AJ15" i="3"/>
  <c r="AH15" i="3"/>
  <c r="AF70" i="3"/>
  <c r="AF20" i="3"/>
  <c r="BB17" i="5" l="1"/>
  <c r="BC17" i="5"/>
  <c r="BC16" i="3"/>
  <c r="Z18" i="4"/>
  <c r="Z68" i="4"/>
  <c r="AT68" i="5"/>
  <c r="AS18" i="5"/>
  <c r="BA18" i="5" s="1"/>
  <c r="BA16" i="3"/>
  <c r="AX18" i="3"/>
  <c r="AY68" i="3"/>
  <c r="BA70" i="4"/>
  <c r="AZ20" i="4"/>
  <c r="AW20" i="5"/>
  <c r="AX70" i="5"/>
  <c r="AE71" i="5"/>
  <c r="AE21" i="5"/>
  <c r="AW68" i="4"/>
  <c r="AV18" i="4"/>
  <c r="AR70" i="5"/>
  <c r="AQ20" i="5"/>
  <c r="AP17" i="3"/>
  <c r="BC17" i="3" s="1"/>
  <c r="AQ67" i="3"/>
  <c r="AA69" i="5"/>
  <c r="AA19" i="5"/>
  <c r="AS18" i="3"/>
  <c r="AT68" i="3"/>
  <c r="AV76" i="4"/>
  <c r="AU26" i="4"/>
  <c r="BC16" i="4"/>
  <c r="BA16" i="4"/>
  <c r="BB16" i="4"/>
  <c r="AP69" i="5"/>
  <c r="AO19" i="5"/>
  <c r="V79" i="4"/>
  <c r="V29" i="4"/>
  <c r="BA70" i="3"/>
  <c r="AZ20" i="3"/>
  <c r="AJ16" i="4"/>
  <c r="AI16" i="4"/>
  <c r="AH16" i="4"/>
  <c r="AR76" i="4"/>
  <c r="AQ26" i="4"/>
  <c r="AD21" i="5"/>
  <c r="AD71" i="5"/>
  <c r="AQ69" i="5"/>
  <c r="AP19" i="5"/>
  <c r="V18" i="3"/>
  <c r="V68" i="3"/>
  <c r="AA67" i="4"/>
  <c r="AA17" i="4"/>
  <c r="AC70" i="5"/>
  <c r="AC20" i="5"/>
  <c r="Z18" i="3"/>
  <c r="Z68" i="3"/>
  <c r="AG70" i="5"/>
  <c r="AG20" i="5"/>
  <c r="AP67" i="4"/>
  <c r="AO17" i="4"/>
  <c r="AT21" i="5"/>
  <c r="AU71" i="5"/>
  <c r="AE67" i="4"/>
  <c r="AE17" i="4"/>
  <c r="AO77" i="4"/>
  <c r="AN27" i="4"/>
  <c r="AX67" i="4"/>
  <c r="AW17" i="4"/>
  <c r="AC69" i="4"/>
  <c r="AC19" i="4"/>
  <c r="AT67" i="4"/>
  <c r="AS17" i="4"/>
  <c r="W67" i="4"/>
  <c r="W17" i="4"/>
  <c r="AZ76" i="4"/>
  <c r="AY26" i="4"/>
  <c r="AR18" i="3"/>
  <c r="AS68" i="3"/>
  <c r="AU69" i="3"/>
  <c r="AT19" i="3"/>
  <c r="W68" i="3"/>
  <c r="W18" i="3"/>
  <c r="W69" i="5"/>
  <c r="W19" i="5"/>
  <c r="AS70" i="4"/>
  <c r="AR20" i="4"/>
  <c r="AD18" i="3"/>
  <c r="AD68" i="3"/>
  <c r="AH18" i="5"/>
  <c r="AI18" i="5"/>
  <c r="AJ18" i="5"/>
  <c r="AB69" i="5"/>
  <c r="AB19" i="5"/>
  <c r="AZ68" i="3"/>
  <c r="AY18" i="3"/>
  <c r="AA70" i="3"/>
  <c r="AA20" i="3"/>
  <c r="U69" i="4"/>
  <c r="U19" i="4"/>
  <c r="AG76" i="4"/>
  <c r="AG26" i="4"/>
  <c r="AY69" i="5"/>
  <c r="AX19" i="5"/>
  <c r="AN18" i="3"/>
  <c r="AO68" i="3"/>
  <c r="Y76" i="4"/>
  <c r="Y26" i="4"/>
  <c r="AN37" i="5"/>
  <c r="AO87" i="5"/>
  <c r="AG75" i="3"/>
  <c r="AG25" i="3"/>
  <c r="AE69" i="3"/>
  <c r="AE19" i="3"/>
  <c r="AU36" i="5"/>
  <c r="AV86" i="5"/>
  <c r="AB21" i="3"/>
  <c r="AB71" i="3"/>
  <c r="BA71" i="5"/>
  <c r="AZ21" i="5"/>
  <c r="AD77" i="4"/>
  <c r="AD27" i="4"/>
  <c r="V76" i="5"/>
  <c r="V26" i="5"/>
  <c r="U74" i="5"/>
  <c r="U24" i="5"/>
  <c r="AF81" i="5"/>
  <c r="AF31" i="5"/>
  <c r="AZ78" i="5"/>
  <c r="AY28" i="5"/>
  <c r="X71" i="5"/>
  <c r="X21" i="5"/>
  <c r="Z73" i="5"/>
  <c r="Z23" i="5"/>
  <c r="Y87" i="5"/>
  <c r="Y37" i="5"/>
  <c r="AS82" i="5"/>
  <c r="AR32" i="5"/>
  <c r="AW74" i="5"/>
  <c r="AV24" i="5"/>
  <c r="AF84" i="4"/>
  <c r="AF34" i="4"/>
  <c r="AB85" i="4"/>
  <c r="AB35" i="4"/>
  <c r="X85" i="4"/>
  <c r="X35" i="4"/>
  <c r="AV80" i="3"/>
  <c r="AU30" i="3"/>
  <c r="AP68" i="3"/>
  <c r="AO18" i="3"/>
  <c r="AR81" i="3"/>
  <c r="AQ31" i="3"/>
  <c r="AF71" i="3"/>
  <c r="AF21" i="3"/>
  <c r="AW70" i="3"/>
  <c r="AV20" i="3"/>
  <c r="Y79" i="3"/>
  <c r="Y29" i="3"/>
  <c r="AC78" i="3"/>
  <c r="AC28" i="3"/>
  <c r="X67" i="3"/>
  <c r="X17" i="3"/>
  <c r="U85" i="3"/>
  <c r="U35" i="3"/>
  <c r="AI16" i="3"/>
  <c r="AJ16" i="3"/>
  <c r="AH16" i="3"/>
  <c r="AX68" i="3"/>
  <c r="AW18" i="3"/>
  <c r="BB18" i="5" l="1"/>
  <c r="BC18" i="5"/>
  <c r="Z69" i="4"/>
  <c r="Z19" i="4"/>
  <c r="AW69" i="4"/>
  <c r="AV19" i="4"/>
  <c r="AX19" i="3"/>
  <c r="AY69" i="3"/>
  <c r="BB17" i="3"/>
  <c r="AR71" i="5"/>
  <c r="AQ21" i="5"/>
  <c r="AE72" i="5"/>
  <c r="AE22" i="5"/>
  <c r="AZ21" i="4"/>
  <c r="BA71" i="4"/>
  <c r="AT69" i="5"/>
  <c r="AS19" i="5"/>
  <c r="BC19" i="5" s="1"/>
  <c r="BA17" i="3"/>
  <c r="AA70" i="5"/>
  <c r="AA20" i="5"/>
  <c r="AP18" i="3"/>
  <c r="BB18" i="3" s="1"/>
  <c r="AQ68" i="3"/>
  <c r="AW21" i="5"/>
  <c r="AX71" i="5"/>
  <c r="AD78" i="4"/>
  <c r="AD28" i="4"/>
  <c r="AE70" i="3"/>
  <c r="AE20" i="3"/>
  <c r="AG77" i="4"/>
  <c r="AG27" i="4"/>
  <c r="AA71" i="3"/>
  <c r="AA21" i="3"/>
  <c r="AJ19" i="5"/>
  <c r="AI19" i="5"/>
  <c r="AH19" i="5"/>
  <c r="W69" i="3"/>
  <c r="W19" i="3"/>
  <c r="BB17" i="4"/>
  <c r="BA17" i="4"/>
  <c r="BC17" i="4"/>
  <c r="Z69" i="3"/>
  <c r="Z19" i="3"/>
  <c r="AU37" i="5"/>
  <c r="AV87" i="5"/>
  <c r="W70" i="5"/>
  <c r="W20" i="5"/>
  <c r="AT68" i="4"/>
  <c r="AS18" i="4"/>
  <c r="AE68" i="4"/>
  <c r="AE18" i="4"/>
  <c r="AP68" i="4"/>
  <c r="AO18" i="4"/>
  <c r="AA68" i="4"/>
  <c r="AA18" i="4"/>
  <c r="AQ70" i="5"/>
  <c r="AP20" i="5"/>
  <c r="AR77" i="4"/>
  <c r="AQ27" i="4"/>
  <c r="AV77" i="4"/>
  <c r="AU27" i="4"/>
  <c r="U70" i="4"/>
  <c r="U20" i="4"/>
  <c r="AZ69" i="3"/>
  <c r="AY19" i="3"/>
  <c r="AU70" i="3"/>
  <c r="AT20" i="3"/>
  <c r="AZ77" i="4"/>
  <c r="AY27" i="4"/>
  <c r="AJ17" i="4"/>
  <c r="AH17" i="4"/>
  <c r="AI17" i="4"/>
  <c r="AO78" i="4"/>
  <c r="AN28" i="4"/>
  <c r="AU72" i="5"/>
  <c r="AT22" i="5"/>
  <c r="V69" i="3"/>
  <c r="V19" i="3"/>
  <c r="AD72" i="5"/>
  <c r="AD22" i="5"/>
  <c r="AT69" i="3"/>
  <c r="AS19" i="3"/>
  <c r="BA72" i="5"/>
  <c r="AZ22" i="5"/>
  <c r="AG76" i="3"/>
  <c r="AG26" i="3"/>
  <c r="Y77" i="4"/>
  <c r="Y27" i="4"/>
  <c r="AB22" i="3"/>
  <c r="AB72" i="3"/>
  <c r="AO88" i="5"/>
  <c r="AN39" i="5" s="1"/>
  <c r="AN38" i="5"/>
  <c r="AN19" i="3"/>
  <c r="AO69" i="3"/>
  <c r="AY70" i="5"/>
  <c r="AX20" i="5"/>
  <c r="AB20" i="5"/>
  <c r="AB70" i="5"/>
  <c r="AD69" i="3"/>
  <c r="AD19" i="3"/>
  <c r="AS71" i="4"/>
  <c r="AR21" i="4"/>
  <c r="AS69" i="3"/>
  <c r="AR19" i="3"/>
  <c r="W68" i="4"/>
  <c r="W18" i="4"/>
  <c r="AC70" i="4"/>
  <c r="AC20" i="4"/>
  <c r="AX68" i="4"/>
  <c r="AW18" i="4"/>
  <c r="AG71" i="5"/>
  <c r="AG21" i="5"/>
  <c r="AC71" i="5"/>
  <c r="AC21" i="5"/>
  <c r="BA71" i="3"/>
  <c r="AZ21" i="3"/>
  <c r="V80" i="4"/>
  <c r="V30" i="4"/>
  <c r="AP70" i="5"/>
  <c r="AO20" i="5"/>
  <c r="AZ79" i="5"/>
  <c r="AY29" i="5"/>
  <c r="Y88" i="5"/>
  <c r="Y39" i="5" s="1"/>
  <c r="Y38" i="5"/>
  <c r="U75" i="5"/>
  <c r="U25" i="5"/>
  <c r="AW75" i="5"/>
  <c r="AV25" i="5"/>
  <c r="X72" i="5"/>
  <c r="X22" i="5"/>
  <c r="AS83" i="5"/>
  <c r="AR33" i="5"/>
  <c r="Z74" i="5"/>
  <c r="Z24" i="5"/>
  <c r="AF82" i="5"/>
  <c r="AF32" i="5"/>
  <c r="V77" i="5"/>
  <c r="V27" i="5"/>
  <c r="AF85" i="4"/>
  <c r="AF35" i="4"/>
  <c r="X86" i="4"/>
  <c r="X36" i="4"/>
  <c r="AB86" i="4"/>
  <c r="AB36" i="4"/>
  <c r="AW19" i="3"/>
  <c r="AX69" i="3"/>
  <c r="AV81" i="3"/>
  <c r="AU31" i="3"/>
  <c r="AF72" i="3"/>
  <c r="AF22" i="3"/>
  <c r="AH17" i="3"/>
  <c r="AI17" i="3"/>
  <c r="AJ17" i="3"/>
  <c r="AW71" i="3"/>
  <c r="AV21" i="3"/>
  <c r="AR82" i="3"/>
  <c r="AQ32" i="3"/>
  <c r="AP69" i="3"/>
  <c r="AO19" i="3"/>
  <c r="AC79" i="3"/>
  <c r="AC29" i="3"/>
  <c r="BC18" i="3"/>
  <c r="U86" i="3"/>
  <c r="U36" i="3"/>
  <c r="X68" i="3"/>
  <c r="X18" i="3"/>
  <c r="Y80" i="3"/>
  <c r="Y30" i="3"/>
  <c r="AN41" i="5" l="1"/>
  <c r="AN42" i="5"/>
  <c r="AW70" i="4"/>
  <c r="AV20" i="4"/>
  <c r="BA19" i="5"/>
  <c r="AW22" i="5"/>
  <c r="AX72" i="5"/>
  <c r="AT70" i="5"/>
  <c r="AS20" i="5"/>
  <c r="BC20" i="5" s="1"/>
  <c r="AE73" i="5"/>
  <c r="AE23" i="5"/>
  <c r="AX20" i="3"/>
  <c r="AY70" i="3"/>
  <c r="BB19" i="5"/>
  <c r="AA21" i="5"/>
  <c r="AA71" i="5"/>
  <c r="BA72" i="4"/>
  <c r="AZ22" i="4"/>
  <c r="Z70" i="4"/>
  <c r="Z20" i="4"/>
  <c r="BA18" i="3"/>
  <c r="AP19" i="3"/>
  <c r="BC19" i="3" s="1"/>
  <c r="AQ69" i="3"/>
  <c r="AR72" i="5"/>
  <c r="AQ22" i="5"/>
  <c r="AB73" i="3"/>
  <c r="AB23" i="3"/>
  <c r="AO79" i="4"/>
  <c r="AN29" i="4"/>
  <c r="AX69" i="4"/>
  <c r="AW19" i="4"/>
  <c r="W69" i="4"/>
  <c r="W19" i="4"/>
  <c r="AB21" i="5"/>
  <c r="AB71" i="5"/>
  <c r="AS20" i="3"/>
  <c r="AT70" i="3"/>
  <c r="AU28" i="4"/>
  <c r="AV78" i="4"/>
  <c r="AP71" i="5"/>
  <c r="AO21" i="5"/>
  <c r="BA72" i="3"/>
  <c r="AZ22" i="3"/>
  <c r="AG72" i="5"/>
  <c r="AG22" i="5"/>
  <c r="AS72" i="4"/>
  <c r="AR22" i="4"/>
  <c r="AG77" i="3"/>
  <c r="AG27" i="3"/>
  <c r="AD73" i="5"/>
  <c r="AD23" i="5"/>
  <c r="AU73" i="5"/>
  <c r="AT23" i="5"/>
  <c r="AU71" i="3"/>
  <c r="AT21" i="3"/>
  <c r="AT69" i="4"/>
  <c r="AS19" i="4"/>
  <c r="W71" i="5"/>
  <c r="W21" i="5"/>
  <c r="Z70" i="3"/>
  <c r="Z20" i="3"/>
  <c r="V81" i="4"/>
  <c r="V31" i="4"/>
  <c r="AH18" i="4"/>
  <c r="AI18" i="4"/>
  <c r="AJ18" i="4"/>
  <c r="AD70" i="3"/>
  <c r="AD20" i="3"/>
  <c r="AO70" i="3"/>
  <c r="AN20" i="3"/>
  <c r="Y78" i="4"/>
  <c r="Y28" i="4"/>
  <c r="BA73" i="5"/>
  <c r="AZ23" i="5"/>
  <c r="V70" i="3"/>
  <c r="V20" i="3"/>
  <c r="BB20" i="5"/>
  <c r="AZ70" i="3"/>
  <c r="AY20" i="3"/>
  <c r="AQ71" i="5"/>
  <c r="AP21" i="5"/>
  <c r="AP69" i="4"/>
  <c r="AO19" i="4"/>
  <c r="AJ20" i="5"/>
  <c r="AH20" i="5"/>
  <c r="AI20" i="5"/>
  <c r="AE71" i="3"/>
  <c r="AE21" i="3"/>
  <c r="AC71" i="4"/>
  <c r="AC21" i="4"/>
  <c r="AY71" i="5"/>
  <c r="AX21" i="5"/>
  <c r="U71" i="4"/>
  <c r="U21" i="4"/>
  <c r="AR78" i="4"/>
  <c r="AQ28" i="4"/>
  <c r="AA69" i="4"/>
  <c r="AA19" i="4"/>
  <c r="AE69" i="4"/>
  <c r="AE19" i="4"/>
  <c r="AN40" i="5"/>
  <c r="W70" i="3"/>
  <c r="W20" i="3"/>
  <c r="AG78" i="4"/>
  <c r="AG28" i="4"/>
  <c r="AD79" i="4"/>
  <c r="AD29" i="4"/>
  <c r="BB18" i="4"/>
  <c r="BA18" i="4"/>
  <c r="BC18" i="4"/>
  <c r="AU38" i="5"/>
  <c r="AV88" i="5"/>
  <c r="AU39" i="5" s="1"/>
  <c r="AC72" i="5"/>
  <c r="AC22" i="5"/>
  <c r="AS70" i="3"/>
  <c r="AR20" i="3"/>
  <c r="AZ78" i="4"/>
  <c r="AY28" i="4"/>
  <c r="AA72" i="3"/>
  <c r="AA22" i="3"/>
  <c r="Z75" i="5"/>
  <c r="Z25" i="5"/>
  <c r="X73" i="5"/>
  <c r="X23" i="5"/>
  <c r="Y40" i="5"/>
  <c r="Y41" i="5"/>
  <c r="Y42" i="5"/>
  <c r="V78" i="5"/>
  <c r="V28" i="5"/>
  <c r="AF83" i="5"/>
  <c r="AF33" i="5"/>
  <c r="AS84" i="5"/>
  <c r="AR34" i="5"/>
  <c r="AW76" i="5"/>
  <c r="AV26" i="5"/>
  <c r="U76" i="5"/>
  <c r="U26" i="5"/>
  <c r="AZ80" i="5"/>
  <c r="AY30" i="5"/>
  <c r="AF86" i="4"/>
  <c r="AF36" i="4"/>
  <c r="X87" i="4"/>
  <c r="X37" i="4"/>
  <c r="AB87" i="4"/>
  <c r="AB37" i="4"/>
  <c r="U87" i="3"/>
  <c r="U37" i="3"/>
  <c r="AV82" i="3"/>
  <c r="AU32" i="3"/>
  <c r="AX70" i="3"/>
  <c r="AW20" i="3"/>
  <c r="X69" i="3"/>
  <c r="X19" i="3"/>
  <c r="AR83" i="3"/>
  <c r="AQ33" i="3"/>
  <c r="AW72" i="3"/>
  <c r="AV22" i="3"/>
  <c r="Y31" i="3"/>
  <c r="Y81" i="3"/>
  <c r="AP70" i="3"/>
  <c r="AO20" i="3"/>
  <c r="AF73" i="3"/>
  <c r="AF23" i="3"/>
  <c r="AI18" i="3"/>
  <c r="AJ18" i="3"/>
  <c r="AH18" i="3"/>
  <c r="AC80" i="3"/>
  <c r="AC30" i="3"/>
  <c r="BA20" i="5" l="1"/>
  <c r="AA72" i="5"/>
  <c r="AA22" i="5"/>
  <c r="AT71" i="5"/>
  <c r="AS21" i="5"/>
  <c r="BB21" i="5" s="1"/>
  <c r="BA19" i="3"/>
  <c r="AU41" i="5"/>
  <c r="AW23" i="5"/>
  <c r="AX73" i="5"/>
  <c r="AW71" i="4"/>
  <c r="AV21" i="4"/>
  <c r="AR73" i="5"/>
  <c r="AQ23" i="5"/>
  <c r="AE74" i="5"/>
  <c r="AE24" i="5"/>
  <c r="BB19" i="3"/>
  <c r="AQ70" i="3"/>
  <c r="AP20" i="3"/>
  <c r="BB20" i="3" s="1"/>
  <c r="Z71" i="4"/>
  <c r="Z21" i="4"/>
  <c r="AZ23" i="4"/>
  <c r="BA73" i="4"/>
  <c r="AY71" i="3"/>
  <c r="AX21" i="3"/>
  <c r="AA70" i="4"/>
  <c r="AA20" i="4"/>
  <c r="AE72" i="3"/>
  <c r="AE22" i="3"/>
  <c r="AU72" i="3"/>
  <c r="AT22" i="3"/>
  <c r="AR21" i="3"/>
  <c r="AS71" i="3"/>
  <c r="AG79" i="4"/>
  <c r="AG29" i="4"/>
  <c r="AC72" i="4"/>
  <c r="AC22" i="4"/>
  <c r="AQ72" i="5"/>
  <c r="AP22" i="5"/>
  <c r="AZ71" i="3"/>
  <c r="AY21" i="3"/>
  <c r="BA74" i="5"/>
  <c r="AZ24" i="5"/>
  <c r="AD74" i="5"/>
  <c r="AD24" i="5"/>
  <c r="AP72" i="5"/>
  <c r="AO22" i="5"/>
  <c r="AB22" i="5"/>
  <c r="AB72" i="5"/>
  <c r="AA73" i="3"/>
  <c r="AA23" i="3"/>
  <c r="AY29" i="4"/>
  <c r="AZ79" i="4"/>
  <c r="AE70" i="4"/>
  <c r="AE20" i="4"/>
  <c r="AR79" i="4"/>
  <c r="AQ29" i="4"/>
  <c r="BB19" i="4"/>
  <c r="BC19" i="4"/>
  <c r="BA19" i="4"/>
  <c r="AT70" i="4"/>
  <c r="AS20" i="4"/>
  <c r="AX70" i="4"/>
  <c r="AW20" i="4"/>
  <c r="AB74" i="3"/>
  <c r="AB24" i="3"/>
  <c r="V82" i="4"/>
  <c r="V32" i="4"/>
  <c r="U72" i="4"/>
  <c r="U22" i="4"/>
  <c r="AO71" i="3"/>
  <c r="AN21" i="3"/>
  <c r="AG78" i="3"/>
  <c r="AG28" i="3"/>
  <c r="AG73" i="5"/>
  <c r="AG23" i="5"/>
  <c r="AV79" i="4"/>
  <c r="AU29" i="4"/>
  <c r="AC73" i="5"/>
  <c r="AC23" i="5"/>
  <c r="AU42" i="5"/>
  <c r="AU40" i="5"/>
  <c r="AD80" i="4"/>
  <c r="AD30" i="4"/>
  <c r="W71" i="3"/>
  <c r="W21" i="3"/>
  <c r="AY72" i="5"/>
  <c r="AX22" i="5"/>
  <c r="AP70" i="4"/>
  <c r="AO20" i="4"/>
  <c r="V21" i="3"/>
  <c r="V71" i="3"/>
  <c r="Y79" i="4"/>
  <c r="Y29" i="4"/>
  <c r="AD21" i="3"/>
  <c r="AD71" i="3"/>
  <c r="Z71" i="3"/>
  <c r="Z21" i="3"/>
  <c r="AI21" i="5"/>
  <c r="AH21" i="5"/>
  <c r="AJ21" i="5"/>
  <c r="AU74" i="5"/>
  <c r="AT24" i="5"/>
  <c r="AS73" i="4"/>
  <c r="AR23" i="4"/>
  <c r="BA73" i="3"/>
  <c r="AZ23" i="3"/>
  <c r="AS21" i="3"/>
  <c r="AT71" i="3"/>
  <c r="AI19" i="4"/>
  <c r="AJ19" i="4"/>
  <c r="AH19" i="4"/>
  <c r="W72" i="5"/>
  <c r="W22" i="5"/>
  <c r="W70" i="4"/>
  <c r="W20" i="4"/>
  <c r="AO80" i="4"/>
  <c r="AN30" i="4"/>
  <c r="AS85" i="5"/>
  <c r="AR35" i="5"/>
  <c r="U77" i="5"/>
  <c r="U27" i="5"/>
  <c r="Z76" i="5"/>
  <c r="Z26" i="5"/>
  <c r="AW77" i="5"/>
  <c r="AV27" i="5"/>
  <c r="AF84" i="5"/>
  <c r="AF34" i="5"/>
  <c r="AZ81" i="5"/>
  <c r="AY31" i="5"/>
  <c r="V79" i="5"/>
  <c r="V29" i="5"/>
  <c r="X74" i="5"/>
  <c r="X24" i="5"/>
  <c r="AB88" i="4"/>
  <c r="AB38" i="4"/>
  <c r="X38" i="4"/>
  <c r="X88" i="4"/>
  <c r="AF87" i="4"/>
  <c r="AF37" i="4"/>
  <c r="AF74" i="3"/>
  <c r="AF24" i="3"/>
  <c r="AP71" i="3"/>
  <c r="AO21" i="3"/>
  <c r="AR84" i="3"/>
  <c r="AQ34" i="3"/>
  <c r="AV83" i="3"/>
  <c r="AU33" i="3"/>
  <c r="Y82" i="3"/>
  <c r="Y32" i="3"/>
  <c r="AH19" i="3"/>
  <c r="AJ19" i="3"/>
  <c r="AI19" i="3"/>
  <c r="AC81" i="3"/>
  <c r="AC31" i="3"/>
  <c r="AW73" i="3"/>
  <c r="AV23" i="3"/>
  <c r="X70" i="3"/>
  <c r="X20" i="3"/>
  <c r="AX71" i="3"/>
  <c r="AW21" i="3"/>
  <c r="U88" i="3"/>
  <c r="U39" i="3" s="1"/>
  <c r="U38" i="3"/>
  <c r="BC20" i="3" l="1"/>
  <c r="BA20" i="3"/>
  <c r="BC21" i="5"/>
  <c r="AZ24" i="4"/>
  <c r="BA74" i="4"/>
  <c r="AE75" i="5"/>
  <c r="AE25" i="5"/>
  <c r="AW72" i="4"/>
  <c r="AV22" i="4"/>
  <c r="AA73" i="5"/>
  <c r="AA23" i="5"/>
  <c r="AY72" i="3"/>
  <c r="AX22" i="3"/>
  <c r="Z72" i="4"/>
  <c r="Z22" i="4"/>
  <c r="AQ71" i="3"/>
  <c r="AP21" i="3"/>
  <c r="BA21" i="3" s="1"/>
  <c r="AW24" i="5"/>
  <c r="AX74" i="5"/>
  <c r="U42" i="3"/>
  <c r="BA21" i="5"/>
  <c r="AR74" i="5"/>
  <c r="AQ24" i="5"/>
  <c r="AT72" i="5"/>
  <c r="AS22" i="5"/>
  <c r="BA22" i="5" s="1"/>
  <c r="AG79" i="3"/>
  <c r="AG29" i="3"/>
  <c r="AZ80" i="4"/>
  <c r="AY30" i="4"/>
  <c r="AU73" i="3"/>
  <c r="AT23" i="3"/>
  <c r="AI22" i="5"/>
  <c r="AH22" i="5"/>
  <c r="AJ22" i="5"/>
  <c r="AT72" i="3"/>
  <c r="AS22" i="3"/>
  <c r="AO81" i="4"/>
  <c r="AN31" i="4"/>
  <c r="W73" i="5"/>
  <c r="W23" i="5"/>
  <c r="AZ24" i="3"/>
  <c r="BA74" i="3"/>
  <c r="AD22" i="3"/>
  <c r="AD72" i="3"/>
  <c r="V72" i="3"/>
  <c r="V22" i="3"/>
  <c r="AD81" i="4"/>
  <c r="AD31" i="4"/>
  <c r="AG74" i="5"/>
  <c r="AG24" i="5"/>
  <c r="AQ30" i="4"/>
  <c r="AR80" i="4"/>
  <c r="AJ20" i="4"/>
  <c r="AI20" i="4"/>
  <c r="AH20" i="4"/>
  <c r="AP71" i="4"/>
  <c r="AO21" i="4"/>
  <c r="AN22" i="3"/>
  <c r="AO72" i="3"/>
  <c r="V83" i="4"/>
  <c r="V33" i="4"/>
  <c r="AB75" i="3"/>
  <c r="AB25" i="3"/>
  <c r="AT71" i="4"/>
  <c r="AS21" i="4"/>
  <c r="AA74" i="3"/>
  <c r="AA24" i="3"/>
  <c r="AP73" i="5"/>
  <c r="AO23" i="5"/>
  <c r="BA75" i="5"/>
  <c r="AZ25" i="5"/>
  <c r="AQ73" i="5"/>
  <c r="AP23" i="5"/>
  <c r="AU75" i="5"/>
  <c r="AT25" i="5"/>
  <c r="W72" i="3"/>
  <c r="W22" i="3"/>
  <c r="AU30" i="4"/>
  <c r="AV80" i="4"/>
  <c r="AE71" i="4"/>
  <c r="AE21" i="4"/>
  <c r="AB73" i="5"/>
  <c r="AB23" i="5"/>
  <c r="Z72" i="3"/>
  <c r="Z22" i="3"/>
  <c r="Y80" i="4"/>
  <c r="Y30" i="4"/>
  <c r="AY73" i="5"/>
  <c r="AX23" i="5"/>
  <c r="U73" i="4"/>
  <c r="U23" i="4"/>
  <c r="AX71" i="4"/>
  <c r="AW21" i="4"/>
  <c r="AD75" i="5"/>
  <c r="AD25" i="5"/>
  <c r="AZ72" i="3"/>
  <c r="AY22" i="3"/>
  <c r="AC73" i="4"/>
  <c r="AC23" i="4"/>
  <c r="AG80" i="4"/>
  <c r="AG30" i="4"/>
  <c r="W71" i="4"/>
  <c r="W21" i="4"/>
  <c r="AS74" i="4"/>
  <c r="AR24" i="4"/>
  <c r="AA71" i="4"/>
  <c r="AA21" i="4"/>
  <c r="BC20" i="4"/>
  <c r="BA20" i="4"/>
  <c r="BB20" i="4"/>
  <c r="AC74" i="5"/>
  <c r="AC24" i="5"/>
  <c r="AS72" i="3"/>
  <c r="AR22" i="3"/>
  <c r="AE73" i="3"/>
  <c r="AE23" i="3"/>
  <c r="V80" i="5"/>
  <c r="V30" i="5"/>
  <c r="AZ82" i="5"/>
  <c r="AY32" i="5"/>
  <c r="AF85" i="5"/>
  <c r="AF35" i="5"/>
  <c r="AW78" i="5"/>
  <c r="AV28" i="5"/>
  <c r="Z77" i="5"/>
  <c r="Z27" i="5"/>
  <c r="X75" i="5"/>
  <c r="X25" i="5"/>
  <c r="U78" i="5"/>
  <c r="U28" i="5"/>
  <c r="AS86" i="5"/>
  <c r="AR36" i="5"/>
  <c r="AB42" i="4"/>
  <c r="AB41" i="4"/>
  <c r="AB40" i="4"/>
  <c r="AF88" i="4"/>
  <c r="AF38" i="4"/>
  <c r="X42" i="4"/>
  <c r="X40" i="4"/>
  <c r="X41" i="4"/>
  <c r="AV84" i="3"/>
  <c r="AU34" i="3"/>
  <c r="AP72" i="3"/>
  <c r="AO22" i="3"/>
  <c r="U40" i="3"/>
  <c r="AX72" i="3"/>
  <c r="AW22" i="3"/>
  <c r="X71" i="3"/>
  <c r="X21" i="3"/>
  <c r="U41" i="3"/>
  <c r="AR85" i="3"/>
  <c r="AQ35" i="3"/>
  <c r="AF75" i="3"/>
  <c r="AF25" i="3"/>
  <c r="AW74" i="3"/>
  <c r="AV24" i="3"/>
  <c r="AC82" i="3"/>
  <c r="AC32" i="3"/>
  <c r="Y83" i="3"/>
  <c r="Y33" i="3"/>
  <c r="AI20" i="3"/>
  <c r="AH20" i="3"/>
  <c r="AJ20" i="3"/>
  <c r="BC21" i="3"/>
  <c r="BC22" i="5" l="1"/>
  <c r="BB21" i="3"/>
  <c r="BB22" i="5"/>
  <c r="AR75" i="5"/>
  <c r="AQ25" i="5"/>
  <c r="AX75" i="5"/>
  <c r="AW25" i="5"/>
  <c r="Z23" i="4"/>
  <c r="Z73" i="4"/>
  <c r="AA24" i="5"/>
  <c r="AA74" i="5"/>
  <c r="AE76" i="5"/>
  <c r="AE26" i="5"/>
  <c r="AT73" i="5"/>
  <c r="AS23" i="5"/>
  <c r="BB23" i="5" s="1"/>
  <c r="BA75" i="4"/>
  <c r="AZ25" i="4"/>
  <c r="AQ72" i="3"/>
  <c r="AP22" i="3"/>
  <c r="BA22" i="3" s="1"/>
  <c r="AY73" i="3"/>
  <c r="AX23" i="3"/>
  <c r="AV23" i="4"/>
  <c r="AW73" i="4"/>
  <c r="AS73" i="3"/>
  <c r="AR23" i="3"/>
  <c r="AS75" i="4"/>
  <c r="AR25" i="4"/>
  <c r="AY23" i="3"/>
  <c r="AZ73" i="3"/>
  <c r="AX72" i="4"/>
  <c r="AW22" i="4"/>
  <c r="W73" i="3"/>
  <c r="W23" i="3"/>
  <c r="AP74" i="5"/>
  <c r="AO24" i="5"/>
  <c r="BB21" i="4"/>
  <c r="BA21" i="4"/>
  <c r="BC21" i="4"/>
  <c r="AJ21" i="4"/>
  <c r="AI21" i="4"/>
  <c r="AH21" i="4"/>
  <c r="AY74" i="5"/>
  <c r="AX24" i="5"/>
  <c r="Y81" i="4"/>
  <c r="Y31" i="4"/>
  <c r="AV81" i="4"/>
  <c r="AU31" i="4"/>
  <c r="AT72" i="4"/>
  <c r="AS22" i="4"/>
  <c r="V84" i="4"/>
  <c r="V34" i="4"/>
  <c r="AP72" i="4"/>
  <c r="AO22" i="4"/>
  <c r="AR81" i="4"/>
  <c r="AQ31" i="4"/>
  <c r="AD73" i="3"/>
  <c r="AD23" i="3"/>
  <c r="AU74" i="3"/>
  <c r="AT24" i="3"/>
  <c r="AE24" i="3"/>
  <c r="AE74" i="3"/>
  <c r="W72" i="4"/>
  <c r="W22" i="4"/>
  <c r="AC74" i="4"/>
  <c r="AC24" i="4"/>
  <c r="AD76" i="5"/>
  <c r="AD26" i="5"/>
  <c r="U74" i="4"/>
  <c r="U24" i="4"/>
  <c r="AB74" i="5"/>
  <c r="AB24" i="5"/>
  <c r="AU76" i="5"/>
  <c r="AT26" i="5"/>
  <c r="BA76" i="5"/>
  <c r="AZ26" i="5"/>
  <c r="AA75" i="3"/>
  <c r="AA25" i="3"/>
  <c r="AO73" i="3"/>
  <c r="AN23" i="3"/>
  <c r="AD82" i="4"/>
  <c r="AD32" i="4"/>
  <c r="AO82" i="4"/>
  <c r="AN32" i="4"/>
  <c r="AA72" i="4"/>
  <c r="AA22" i="4"/>
  <c r="Z73" i="3"/>
  <c r="Z23" i="3"/>
  <c r="AB26" i="3"/>
  <c r="AB76" i="3"/>
  <c r="BA75" i="3"/>
  <c r="AZ25" i="3"/>
  <c r="AH23" i="5"/>
  <c r="AJ23" i="5"/>
  <c r="AI23" i="5"/>
  <c r="AY31" i="4"/>
  <c r="AZ81" i="4"/>
  <c r="AG80" i="3"/>
  <c r="AG30" i="3"/>
  <c r="AC75" i="5"/>
  <c r="AC25" i="5"/>
  <c r="AG81" i="4"/>
  <c r="AG31" i="4"/>
  <c r="AE72" i="4"/>
  <c r="AE22" i="4"/>
  <c r="AP24" i="5"/>
  <c r="AQ74" i="5"/>
  <c r="AG75" i="5"/>
  <c r="AG25" i="5"/>
  <c r="V23" i="3"/>
  <c r="V73" i="3"/>
  <c r="W74" i="5"/>
  <c r="W24" i="5"/>
  <c r="AS23" i="3"/>
  <c r="AT73" i="3"/>
  <c r="AS87" i="5"/>
  <c r="AR37" i="5"/>
  <c r="U79" i="5"/>
  <c r="U29" i="5"/>
  <c r="Z78" i="5"/>
  <c r="Z28" i="5"/>
  <c r="AF86" i="5"/>
  <c r="AF36" i="5"/>
  <c r="V81" i="5"/>
  <c r="V31" i="5"/>
  <c r="X76" i="5"/>
  <c r="X26" i="5"/>
  <c r="AW79" i="5"/>
  <c r="AV29" i="5"/>
  <c r="AZ83" i="5"/>
  <c r="AY33" i="5"/>
  <c r="AF41" i="4"/>
  <c r="AF40" i="4"/>
  <c r="AF42" i="4"/>
  <c r="Y84" i="3"/>
  <c r="Y34" i="3"/>
  <c r="AW75" i="3"/>
  <c r="AV25" i="3"/>
  <c r="AC83" i="3"/>
  <c r="AC33" i="3"/>
  <c r="AF76" i="3"/>
  <c r="AF26" i="3"/>
  <c r="AX73" i="3"/>
  <c r="AW23" i="3"/>
  <c r="AO23" i="3"/>
  <c r="AP73" i="3"/>
  <c r="AV85" i="3"/>
  <c r="AU35" i="3"/>
  <c r="X72" i="3"/>
  <c r="X22" i="3"/>
  <c r="AR86" i="3"/>
  <c r="AQ36" i="3"/>
  <c r="AH21" i="3"/>
  <c r="AI21" i="3"/>
  <c r="AJ21" i="3"/>
  <c r="BC22" i="3" l="1"/>
  <c r="BB22" i="3"/>
  <c r="BC23" i="5"/>
  <c r="AV24" i="4"/>
  <c r="AW74" i="4"/>
  <c r="AA25" i="5"/>
  <c r="AA75" i="5"/>
  <c r="BA23" i="5"/>
  <c r="AQ73" i="3"/>
  <c r="AP23" i="3"/>
  <c r="BB23" i="3" s="1"/>
  <c r="AT74" i="5"/>
  <c r="AS24" i="5"/>
  <c r="BC24" i="5" s="1"/>
  <c r="AW26" i="5"/>
  <c r="AX76" i="5"/>
  <c r="Z74" i="4"/>
  <c r="Z24" i="4"/>
  <c r="AX24" i="3"/>
  <c r="AY74" i="3"/>
  <c r="AZ26" i="4"/>
  <c r="BA76" i="4"/>
  <c r="AE77" i="5"/>
  <c r="AE27" i="5"/>
  <c r="AR76" i="5"/>
  <c r="AQ26" i="5"/>
  <c r="AG81" i="3"/>
  <c r="AG31" i="3"/>
  <c r="AB77" i="3"/>
  <c r="AB27" i="3"/>
  <c r="AJ22" i="4"/>
  <c r="AH22" i="4"/>
  <c r="AI22" i="4"/>
  <c r="AN24" i="3"/>
  <c r="AO74" i="3"/>
  <c r="BA77" i="5"/>
  <c r="AZ27" i="5"/>
  <c r="AD77" i="5"/>
  <c r="AD27" i="5"/>
  <c r="Y82" i="4"/>
  <c r="Y32" i="4"/>
  <c r="W75" i="5"/>
  <c r="W25" i="5"/>
  <c r="AG76" i="5"/>
  <c r="AG26" i="5"/>
  <c r="AE73" i="4"/>
  <c r="AE23" i="4"/>
  <c r="Z74" i="3"/>
  <c r="Z24" i="3"/>
  <c r="AD74" i="3"/>
  <c r="AD24" i="3"/>
  <c r="BA22" i="4"/>
  <c r="BB22" i="4"/>
  <c r="BC22" i="4"/>
  <c r="AX73" i="4"/>
  <c r="AW23" i="4"/>
  <c r="AS76" i="4"/>
  <c r="AR26" i="4"/>
  <c r="AT74" i="3"/>
  <c r="AS24" i="3"/>
  <c r="V74" i="3"/>
  <c r="V24" i="3"/>
  <c r="AP25" i="5"/>
  <c r="AQ75" i="5"/>
  <c r="AZ26" i="3"/>
  <c r="BA76" i="3"/>
  <c r="AO83" i="4"/>
  <c r="AN33" i="4"/>
  <c r="AD83" i="4"/>
  <c r="AD33" i="4"/>
  <c r="AA76" i="3"/>
  <c r="AA26" i="3"/>
  <c r="AB75" i="5"/>
  <c r="AB25" i="5"/>
  <c r="U75" i="4"/>
  <c r="U25" i="4"/>
  <c r="AC75" i="4"/>
  <c r="AC25" i="4"/>
  <c r="AP73" i="4"/>
  <c r="AO23" i="4"/>
  <c r="AT73" i="4"/>
  <c r="AS23" i="4"/>
  <c r="AU32" i="4"/>
  <c r="AV82" i="4"/>
  <c r="AY75" i="5"/>
  <c r="AX25" i="5"/>
  <c r="AZ74" i="3"/>
  <c r="AY24" i="3"/>
  <c r="AR82" i="4"/>
  <c r="AQ32" i="4"/>
  <c r="AP75" i="5"/>
  <c r="AO25" i="5"/>
  <c r="W74" i="3"/>
  <c r="W24" i="3"/>
  <c r="AR24" i="3"/>
  <c r="AS74" i="3"/>
  <c r="AA73" i="4"/>
  <c r="AA23" i="4"/>
  <c r="AT27" i="5"/>
  <c r="AU77" i="5"/>
  <c r="W73" i="4"/>
  <c r="W23" i="4"/>
  <c r="AU75" i="3"/>
  <c r="AT25" i="3"/>
  <c r="V85" i="4"/>
  <c r="V35" i="4"/>
  <c r="AG82" i="4"/>
  <c r="AG32" i="4"/>
  <c r="AH24" i="5"/>
  <c r="AI24" i="5"/>
  <c r="AJ24" i="5"/>
  <c r="AY32" i="4"/>
  <c r="AZ82" i="4"/>
  <c r="AC76" i="5"/>
  <c r="AC26" i="5"/>
  <c r="AE75" i="3"/>
  <c r="AE25" i="3"/>
  <c r="X77" i="5"/>
  <c r="X27" i="5"/>
  <c r="Z79" i="5"/>
  <c r="Z29" i="5"/>
  <c r="AZ84" i="5"/>
  <c r="AY34" i="5"/>
  <c r="U80" i="5"/>
  <c r="U30" i="5"/>
  <c r="V82" i="5"/>
  <c r="V32" i="5"/>
  <c r="AF87" i="5"/>
  <c r="AF37" i="5"/>
  <c r="AW80" i="5"/>
  <c r="AV30" i="5"/>
  <c r="AS88" i="5"/>
  <c r="AR39" i="5" s="1"/>
  <c r="AR38" i="5"/>
  <c r="X73" i="3"/>
  <c r="X23" i="3"/>
  <c r="AX74" i="3"/>
  <c r="AW24" i="3"/>
  <c r="AC84" i="3"/>
  <c r="AC34" i="3"/>
  <c r="AW76" i="3"/>
  <c r="AV26" i="3"/>
  <c r="AV86" i="3"/>
  <c r="AU36" i="3"/>
  <c r="AF77" i="3"/>
  <c r="AF27" i="3"/>
  <c r="AR87" i="3"/>
  <c r="AQ37" i="3"/>
  <c r="AJ22" i="3"/>
  <c r="AH22" i="3"/>
  <c r="AI22" i="3"/>
  <c r="AP74" i="3"/>
  <c r="AO24" i="3"/>
  <c r="Y85" i="3"/>
  <c r="Y35" i="3"/>
  <c r="BA24" i="5" l="1"/>
  <c r="BB24" i="5"/>
  <c r="BC23" i="3"/>
  <c r="BA23" i="3"/>
  <c r="AR77" i="5"/>
  <c r="AQ27" i="5"/>
  <c r="AT75" i="5"/>
  <c r="AS25" i="5"/>
  <c r="BC25" i="5" s="1"/>
  <c r="AY75" i="3"/>
  <c r="AX25" i="3"/>
  <c r="AX77" i="5"/>
  <c r="AW27" i="5"/>
  <c r="AE28" i="5"/>
  <c r="AE78" i="5"/>
  <c r="AQ74" i="3"/>
  <c r="AP24" i="3"/>
  <c r="BB24" i="3" s="1"/>
  <c r="AW75" i="4"/>
  <c r="AV25" i="4"/>
  <c r="Z75" i="4"/>
  <c r="Z25" i="4"/>
  <c r="AA26" i="5"/>
  <c r="AA76" i="5"/>
  <c r="BA77" i="4"/>
  <c r="AZ27" i="4"/>
  <c r="AU33" i="4"/>
  <c r="AV83" i="4"/>
  <c r="AZ83" i="4"/>
  <c r="AY33" i="4"/>
  <c r="AI23" i="4"/>
  <c r="AH23" i="4"/>
  <c r="AJ23" i="4"/>
  <c r="AC76" i="4"/>
  <c r="AC26" i="4"/>
  <c r="AB76" i="5"/>
  <c r="AB26" i="5"/>
  <c r="AA77" i="3"/>
  <c r="AA27" i="3"/>
  <c r="AO84" i="4"/>
  <c r="AN34" i="4"/>
  <c r="V75" i="3"/>
  <c r="V25" i="3"/>
  <c r="AS77" i="4"/>
  <c r="AR27" i="4"/>
  <c r="AE76" i="3"/>
  <c r="AE26" i="3"/>
  <c r="V86" i="4"/>
  <c r="V36" i="4"/>
  <c r="W74" i="4"/>
  <c r="W24" i="4"/>
  <c r="AA74" i="4"/>
  <c r="AA24" i="4"/>
  <c r="W75" i="3"/>
  <c r="W25" i="3"/>
  <c r="AR83" i="4"/>
  <c r="AQ33" i="4"/>
  <c r="AY25" i="3"/>
  <c r="AZ75" i="3"/>
  <c r="BA77" i="3"/>
  <c r="AZ27" i="3"/>
  <c r="AP26" i="5"/>
  <c r="AQ76" i="5"/>
  <c r="AD75" i="3"/>
  <c r="AD25" i="3"/>
  <c r="AE74" i="4"/>
  <c r="AE24" i="4"/>
  <c r="W76" i="5"/>
  <c r="W26" i="5"/>
  <c r="AD78" i="5"/>
  <c r="AD28" i="5"/>
  <c r="BA78" i="5"/>
  <c r="AZ28" i="5"/>
  <c r="AG83" i="4"/>
  <c r="AG33" i="4"/>
  <c r="AU78" i="5"/>
  <c r="AT28" i="5"/>
  <c r="AS75" i="3"/>
  <c r="AR25" i="3"/>
  <c r="AX26" i="5"/>
  <c r="AY76" i="5"/>
  <c r="AT74" i="4"/>
  <c r="AS24" i="4"/>
  <c r="U76" i="4"/>
  <c r="U26" i="4"/>
  <c r="AD84" i="4"/>
  <c r="AD34" i="4"/>
  <c r="AT75" i="3"/>
  <c r="AS25" i="3"/>
  <c r="AX74" i="4"/>
  <c r="AW24" i="4"/>
  <c r="AN25" i="3"/>
  <c r="AO75" i="3"/>
  <c r="AB78" i="3"/>
  <c r="AB28" i="3"/>
  <c r="Z25" i="3"/>
  <c r="Z75" i="3"/>
  <c r="AG77" i="5"/>
  <c r="AG27" i="5"/>
  <c r="AJ25" i="5"/>
  <c r="AI25" i="5"/>
  <c r="AH25" i="5"/>
  <c r="Y83" i="4"/>
  <c r="Y33" i="4"/>
  <c r="AG82" i="3"/>
  <c r="AG32" i="3"/>
  <c r="AC77" i="5"/>
  <c r="AC27" i="5"/>
  <c r="AU76" i="3"/>
  <c r="AT26" i="3"/>
  <c r="AP76" i="5"/>
  <c r="AO26" i="5"/>
  <c r="BB23" i="4"/>
  <c r="BC23" i="4"/>
  <c r="BA23" i="4"/>
  <c r="AP74" i="4"/>
  <c r="AO24" i="4"/>
  <c r="AW81" i="5"/>
  <c r="AV31" i="5"/>
  <c r="AF88" i="5"/>
  <c r="AF39" i="5" s="1"/>
  <c r="AF38" i="5"/>
  <c r="Z80" i="5"/>
  <c r="Z30" i="5"/>
  <c r="U81" i="5"/>
  <c r="U31" i="5"/>
  <c r="AR42" i="5"/>
  <c r="AR40" i="5"/>
  <c r="AR41" i="5"/>
  <c r="V83" i="5"/>
  <c r="V33" i="5"/>
  <c r="AZ85" i="5"/>
  <c r="AY35" i="5"/>
  <c r="X78" i="5"/>
  <c r="X28" i="5"/>
  <c r="AJ23" i="3"/>
  <c r="AH23" i="3"/>
  <c r="AI23" i="3"/>
  <c r="AF78" i="3"/>
  <c r="AF28" i="3"/>
  <c r="AC35" i="3"/>
  <c r="AC85" i="3"/>
  <c r="AP75" i="3"/>
  <c r="AO25" i="3"/>
  <c r="Y86" i="3"/>
  <c r="Y36" i="3"/>
  <c r="AR88" i="3"/>
  <c r="AQ39" i="3" s="1"/>
  <c r="AQ38" i="3"/>
  <c r="AU37" i="3"/>
  <c r="AV87" i="3"/>
  <c r="AW77" i="3"/>
  <c r="AV27" i="3"/>
  <c r="AX75" i="3"/>
  <c r="AW25" i="3"/>
  <c r="X74" i="3"/>
  <c r="X24" i="3"/>
  <c r="BA24" i="3" l="1"/>
  <c r="BA25" i="5"/>
  <c r="BB25" i="5"/>
  <c r="BC24" i="3"/>
  <c r="AE79" i="5"/>
  <c r="AE29" i="5"/>
  <c r="AT76" i="5"/>
  <c r="AS26" i="5"/>
  <c r="BA26" i="5" s="1"/>
  <c r="AV26" i="4"/>
  <c r="AW76" i="4"/>
  <c r="AY76" i="3"/>
  <c r="AX26" i="3"/>
  <c r="AR78" i="5"/>
  <c r="AQ28" i="5"/>
  <c r="AA27" i="5"/>
  <c r="AA77" i="5"/>
  <c r="AX78" i="5"/>
  <c r="AW28" i="5"/>
  <c r="AZ28" i="4"/>
  <c r="BA78" i="4"/>
  <c r="Z76" i="4"/>
  <c r="Z26" i="4"/>
  <c r="AP25" i="3"/>
  <c r="BB25" i="3" s="1"/>
  <c r="AQ75" i="3"/>
  <c r="AG33" i="3"/>
  <c r="AG83" i="3"/>
  <c r="AO76" i="3"/>
  <c r="AN26" i="3"/>
  <c r="AT76" i="3"/>
  <c r="AS26" i="3"/>
  <c r="AT29" i="5"/>
  <c r="AU79" i="5"/>
  <c r="AD26" i="3"/>
  <c r="AD76" i="3"/>
  <c r="BA78" i="3"/>
  <c r="AZ28" i="3"/>
  <c r="AZ76" i="3"/>
  <c r="AY26" i="3"/>
  <c r="AI24" i="4"/>
  <c r="AH24" i="4"/>
  <c r="AJ24" i="4"/>
  <c r="BB24" i="4"/>
  <c r="BC24" i="4"/>
  <c r="BA24" i="4"/>
  <c r="AP77" i="5"/>
  <c r="AO27" i="5"/>
  <c r="AC78" i="5"/>
  <c r="AC28" i="5"/>
  <c r="AD79" i="5"/>
  <c r="AD29" i="5"/>
  <c r="AE75" i="4"/>
  <c r="AE25" i="4"/>
  <c r="AQ77" i="5"/>
  <c r="AP27" i="5"/>
  <c r="W76" i="3"/>
  <c r="W26" i="3"/>
  <c r="W75" i="4"/>
  <c r="W25" i="4"/>
  <c r="AS78" i="4"/>
  <c r="AR28" i="4"/>
  <c r="AO85" i="4"/>
  <c r="AN35" i="4"/>
  <c r="AB77" i="5"/>
  <c r="AB27" i="5"/>
  <c r="AP75" i="4"/>
  <c r="AO25" i="4"/>
  <c r="AG78" i="5"/>
  <c r="AG28" i="5"/>
  <c r="AB79" i="3"/>
  <c r="AB29" i="3"/>
  <c r="AX75" i="4"/>
  <c r="AW25" i="4"/>
  <c r="AD85" i="4"/>
  <c r="AD35" i="4"/>
  <c r="U77" i="4"/>
  <c r="U27" i="4"/>
  <c r="AT75" i="4"/>
  <c r="AS25" i="4"/>
  <c r="AS76" i="3"/>
  <c r="AR26" i="3"/>
  <c r="AG84" i="4"/>
  <c r="AG34" i="4"/>
  <c r="AJ26" i="5"/>
  <c r="AH26" i="5"/>
  <c r="AI26" i="5"/>
  <c r="AZ84" i="4"/>
  <c r="AY34" i="4"/>
  <c r="AU77" i="3"/>
  <c r="AT27" i="3"/>
  <c r="Y84" i="4"/>
  <c r="Y34" i="4"/>
  <c r="Z76" i="3"/>
  <c r="Z26" i="3"/>
  <c r="AY77" i="5"/>
  <c r="AX27" i="5"/>
  <c r="BA79" i="5"/>
  <c r="AZ29" i="5"/>
  <c r="W77" i="5"/>
  <c r="W27" i="5"/>
  <c r="AR84" i="4"/>
  <c r="AQ34" i="4"/>
  <c r="AA75" i="4"/>
  <c r="AA25" i="4"/>
  <c r="V87" i="4"/>
  <c r="V37" i="4"/>
  <c r="AE77" i="3"/>
  <c r="AE27" i="3"/>
  <c r="V76" i="3"/>
  <c r="V26" i="3"/>
  <c r="AA78" i="3"/>
  <c r="AA28" i="3"/>
  <c r="AC77" i="4"/>
  <c r="AC27" i="4"/>
  <c r="AV84" i="4"/>
  <c r="AU34" i="4"/>
  <c r="X79" i="5"/>
  <c r="X29" i="5"/>
  <c r="U82" i="5"/>
  <c r="U32" i="5"/>
  <c r="AF42" i="5"/>
  <c r="AF41" i="5"/>
  <c r="AF40" i="5"/>
  <c r="AZ86" i="5"/>
  <c r="AY36" i="5"/>
  <c r="V84" i="5"/>
  <c r="V34" i="5"/>
  <c r="Z81" i="5"/>
  <c r="Z31" i="5"/>
  <c r="AW82" i="5"/>
  <c r="AV32" i="5"/>
  <c r="AC86" i="3"/>
  <c r="AC36" i="3"/>
  <c r="AI24" i="3"/>
  <c r="AJ24" i="3"/>
  <c r="AH24" i="3"/>
  <c r="X75" i="3"/>
  <c r="X25" i="3"/>
  <c r="AX76" i="3"/>
  <c r="AW26" i="3"/>
  <c r="AV88" i="3"/>
  <c r="AU39" i="3" s="1"/>
  <c r="AU38" i="3"/>
  <c r="AF79" i="3"/>
  <c r="AF29" i="3"/>
  <c r="Y87" i="3"/>
  <c r="Y37" i="3"/>
  <c r="AP76" i="3"/>
  <c r="AO26" i="3"/>
  <c r="AW78" i="3"/>
  <c r="AV28" i="3"/>
  <c r="AQ40" i="3"/>
  <c r="AQ42" i="3"/>
  <c r="AQ41" i="3"/>
  <c r="BC26" i="5" l="1"/>
  <c r="BA25" i="3"/>
  <c r="BC25" i="3"/>
  <c r="BB26" i="5"/>
  <c r="Z27" i="4"/>
  <c r="Z77" i="4"/>
  <c r="AR79" i="5"/>
  <c r="AQ29" i="5"/>
  <c r="AQ76" i="3"/>
  <c r="AP26" i="3"/>
  <c r="BC26" i="3" s="1"/>
  <c r="AZ29" i="4"/>
  <c r="BA79" i="4"/>
  <c r="AA28" i="5"/>
  <c r="AA78" i="5"/>
  <c r="AW77" i="4"/>
  <c r="AV27" i="4"/>
  <c r="AX79" i="5"/>
  <c r="AW29" i="5"/>
  <c r="AT77" i="5"/>
  <c r="AS27" i="5"/>
  <c r="BC27" i="5" s="1"/>
  <c r="AY77" i="3"/>
  <c r="AX27" i="3"/>
  <c r="AE80" i="5"/>
  <c r="AE30" i="5"/>
  <c r="AH27" i="5"/>
  <c r="AJ27" i="5"/>
  <c r="AI27" i="5"/>
  <c r="BB25" i="4"/>
  <c r="BA25" i="4"/>
  <c r="BC25" i="4"/>
  <c r="W77" i="3"/>
  <c r="W27" i="3"/>
  <c r="AE76" i="4"/>
  <c r="AE26" i="4"/>
  <c r="AC79" i="5"/>
  <c r="AC29" i="5"/>
  <c r="BA79" i="3"/>
  <c r="AZ29" i="3"/>
  <c r="AO77" i="3"/>
  <c r="AN27" i="3"/>
  <c r="AG84" i="3"/>
  <c r="AG34" i="3"/>
  <c r="AV85" i="4"/>
  <c r="AU35" i="4"/>
  <c r="AC78" i="4"/>
  <c r="AC28" i="4"/>
  <c r="V77" i="3"/>
  <c r="V27" i="3"/>
  <c r="AE78" i="3"/>
  <c r="AE28" i="3"/>
  <c r="AA76" i="4"/>
  <c r="AA26" i="4"/>
  <c r="W78" i="5"/>
  <c r="W28" i="5"/>
  <c r="AY78" i="5"/>
  <c r="AX28" i="5"/>
  <c r="Y85" i="4"/>
  <c r="Y35" i="4"/>
  <c r="AZ85" i="4"/>
  <c r="AY35" i="4"/>
  <c r="AG85" i="4"/>
  <c r="AG35" i="4"/>
  <c r="AT76" i="4"/>
  <c r="AS26" i="4"/>
  <c r="AD86" i="4"/>
  <c r="AD36" i="4"/>
  <c r="AG79" i="5"/>
  <c r="AG29" i="5"/>
  <c r="AP76" i="4"/>
  <c r="AO26" i="4"/>
  <c r="AO86" i="4"/>
  <c r="AN36" i="4"/>
  <c r="AH25" i="4"/>
  <c r="AI25" i="4"/>
  <c r="AJ25" i="4"/>
  <c r="BB27" i="5"/>
  <c r="AD77" i="3"/>
  <c r="AD27" i="3"/>
  <c r="W76" i="4"/>
  <c r="W26" i="4"/>
  <c r="AQ78" i="5"/>
  <c r="AP28" i="5"/>
  <c r="AD80" i="5"/>
  <c r="AD30" i="5"/>
  <c r="AO28" i="5"/>
  <c r="AP78" i="5"/>
  <c r="AZ77" i="3"/>
  <c r="AY27" i="3"/>
  <c r="AS27" i="3"/>
  <c r="AT77" i="3"/>
  <c r="AA79" i="3"/>
  <c r="AA29" i="3"/>
  <c r="V88" i="4"/>
  <c r="V38" i="4"/>
  <c r="AR85" i="4"/>
  <c r="AQ35" i="4"/>
  <c r="BA80" i="5"/>
  <c r="AZ30" i="5"/>
  <c r="Z77" i="3"/>
  <c r="Z27" i="3"/>
  <c r="AU78" i="3"/>
  <c r="AT28" i="3"/>
  <c r="AS77" i="3"/>
  <c r="AR27" i="3"/>
  <c r="U78" i="4"/>
  <c r="U28" i="4"/>
  <c r="AX76" i="4"/>
  <c r="AW26" i="4"/>
  <c r="AB80" i="3"/>
  <c r="AB30" i="3"/>
  <c r="AB78" i="5"/>
  <c r="AB28" i="5"/>
  <c r="AS79" i="4"/>
  <c r="AR29" i="4"/>
  <c r="AT30" i="5"/>
  <c r="AU80" i="5"/>
  <c r="AZ87" i="5"/>
  <c r="AY37" i="5"/>
  <c r="Z82" i="5"/>
  <c r="Z32" i="5"/>
  <c r="U83" i="5"/>
  <c r="U33" i="5"/>
  <c r="AW83" i="5"/>
  <c r="AV33" i="5"/>
  <c r="V85" i="5"/>
  <c r="V35" i="5"/>
  <c r="X80" i="5"/>
  <c r="X30" i="5"/>
  <c r="AU40" i="3"/>
  <c r="AU42" i="3"/>
  <c r="AU41" i="3"/>
  <c r="AC87" i="3"/>
  <c r="AC37" i="3"/>
  <c r="AW79" i="3"/>
  <c r="AV29" i="3"/>
  <c r="AF80" i="3"/>
  <c r="AF30" i="3"/>
  <c r="AX77" i="3"/>
  <c r="AW27" i="3"/>
  <c r="AI25" i="3"/>
  <c r="AJ25" i="3"/>
  <c r="AH25" i="3"/>
  <c r="AP77" i="3"/>
  <c r="AO27" i="3"/>
  <c r="Y88" i="3"/>
  <c r="Y39" i="3" s="1"/>
  <c r="Y38" i="3"/>
  <c r="X76" i="3"/>
  <c r="X26" i="3"/>
  <c r="BA26" i="3" l="1"/>
  <c r="BB26" i="3"/>
  <c r="BA27" i="5"/>
  <c r="AE81" i="5"/>
  <c r="AE31" i="5"/>
  <c r="AT78" i="5"/>
  <c r="AS28" i="5"/>
  <c r="BC28" i="5" s="1"/>
  <c r="AW78" i="4"/>
  <c r="AV28" i="4"/>
  <c r="AR80" i="5"/>
  <c r="AQ30" i="5"/>
  <c r="AA29" i="5"/>
  <c r="AA79" i="5"/>
  <c r="Z78" i="4"/>
  <c r="Z28" i="4"/>
  <c r="AY78" i="3"/>
  <c r="AX28" i="3"/>
  <c r="AX80" i="5"/>
  <c r="AW30" i="5"/>
  <c r="AQ77" i="3"/>
  <c r="AP27" i="3"/>
  <c r="BA27" i="3" s="1"/>
  <c r="AZ30" i="4"/>
  <c r="BA80" i="4"/>
  <c r="AS80" i="4"/>
  <c r="AR30" i="4"/>
  <c r="AB81" i="3"/>
  <c r="AB31" i="3"/>
  <c r="U79" i="4"/>
  <c r="U29" i="4"/>
  <c r="AU79" i="3"/>
  <c r="AT29" i="3"/>
  <c r="BA81" i="5"/>
  <c r="AZ31" i="5"/>
  <c r="AA30" i="3"/>
  <c r="AA80" i="3"/>
  <c r="AP79" i="5"/>
  <c r="AO29" i="5"/>
  <c r="AP77" i="4"/>
  <c r="AO27" i="4"/>
  <c r="AD87" i="4"/>
  <c r="AD37" i="4"/>
  <c r="AG86" i="4"/>
  <c r="AG36" i="4"/>
  <c r="AH28" i="5"/>
  <c r="AI28" i="5"/>
  <c r="AJ28" i="5"/>
  <c r="AT78" i="3"/>
  <c r="AS28" i="3"/>
  <c r="AQ79" i="5"/>
  <c r="AP29" i="5"/>
  <c r="Y86" i="4"/>
  <c r="Y36" i="4"/>
  <c r="W79" i="5"/>
  <c r="W29" i="5"/>
  <c r="AE79" i="3"/>
  <c r="AE29" i="3"/>
  <c r="AC79" i="4"/>
  <c r="AC29" i="4"/>
  <c r="AU36" i="4"/>
  <c r="AV86" i="4"/>
  <c r="AN28" i="3"/>
  <c r="AO78" i="3"/>
  <c r="AZ30" i="3"/>
  <c r="BA80" i="3"/>
  <c r="AC80" i="5"/>
  <c r="AC30" i="5"/>
  <c r="AE77" i="4"/>
  <c r="AE27" i="4"/>
  <c r="AU81" i="5"/>
  <c r="AT31" i="5"/>
  <c r="AB29" i="5"/>
  <c r="AB79" i="5"/>
  <c r="AX77" i="4"/>
  <c r="AW27" i="4"/>
  <c r="AR28" i="3"/>
  <c r="AS78" i="3"/>
  <c r="Z78" i="3"/>
  <c r="Z28" i="3"/>
  <c r="AR86" i="4"/>
  <c r="AQ36" i="4"/>
  <c r="AZ78" i="3"/>
  <c r="AY28" i="3"/>
  <c r="AJ26" i="4"/>
  <c r="AH26" i="4"/>
  <c r="AI26" i="4"/>
  <c r="AD78" i="3"/>
  <c r="AD28" i="3"/>
  <c r="AO87" i="4"/>
  <c r="AN37" i="4"/>
  <c r="AG80" i="5"/>
  <c r="AG30" i="5"/>
  <c r="AT77" i="4"/>
  <c r="AS27" i="4"/>
  <c r="V42" i="4"/>
  <c r="V41" i="4"/>
  <c r="V40" i="4"/>
  <c r="AD81" i="5"/>
  <c r="AD31" i="5"/>
  <c r="W77" i="4"/>
  <c r="W27" i="4"/>
  <c r="BC26" i="4"/>
  <c r="BB26" i="4"/>
  <c r="BA26" i="4"/>
  <c r="AZ86" i="4"/>
  <c r="AY36" i="4"/>
  <c r="AX29" i="5"/>
  <c r="AY79" i="5"/>
  <c r="AA77" i="4"/>
  <c r="AA27" i="4"/>
  <c r="V78" i="3"/>
  <c r="V28" i="3"/>
  <c r="AG85" i="3"/>
  <c r="AG35" i="3"/>
  <c r="W78" i="3"/>
  <c r="W28" i="3"/>
  <c r="Z83" i="5"/>
  <c r="Z33" i="5"/>
  <c r="AW84" i="5"/>
  <c r="AV34" i="5"/>
  <c r="X81" i="5"/>
  <c r="X31" i="5"/>
  <c r="U84" i="5"/>
  <c r="U34" i="5"/>
  <c r="AZ88" i="5"/>
  <c r="AY39" i="5" s="1"/>
  <c r="AY38" i="5"/>
  <c r="V86" i="5"/>
  <c r="V36" i="5"/>
  <c r="AF81" i="3"/>
  <c r="AF31" i="3"/>
  <c r="AW80" i="3"/>
  <c r="AV30" i="3"/>
  <c r="AI26" i="3"/>
  <c r="AJ26" i="3"/>
  <c r="AH26" i="3"/>
  <c r="Y42" i="3"/>
  <c r="Y40" i="3"/>
  <c r="Y41" i="3"/>
  <c r="X77" i="3"/>
  <c r="X27" i="3"/>
  <c r="AX78" i="3"/>
  <c r="AW28" i="3"/>
  <c r="AC88" i="3"/>
  <c r="AC39" i="3" s="1"/>
  <c r="AC38" i="3"/>
  <c r="AO28" i="3"/>
  <c r="AP78" i="3"/>
  <c r="BC27" i="3" l="1"/>
  <c r="BB27" i="3"/>
  <c r="BA28" i="5"/>
  <c r="Z79" i="4"/>
  <c r="Z29" i="4"/>
  <c r="AR81" i="5"/>
  <c r="AQ31" i="5"/>
  <c r="BB28" i="5"/>
  <c r="AA80" i="5"/>
  <c r="AA30" i="5"/>
  <c r="BA81" i="4"/>
  <c r="AZ31" i="4"/>
  <c r="AX81" i="5"/>
  <c r="AW31" i="5"/>
  <c r="AT79" i="5"/>
  <c r="AS29" i="5"/>
  <c r="BB29" i="5" s="1"/>
  <c r="AP28" i="3"/>
  <c r="BA28" i="3" s="1"/>
  <c r="AQ78" i="3"/>
  <c r="AY79" i="3"/>
  <c r="AX29" i="3"/>
  <c r="AW79" i="4"/>
  <c r="AV29" i="4"/>
  <c r="AE82" i="5"/>
  <c r="AE32" i="5"/>
  <c r="AY80" i="5"/>
  <c r="AX30" i="5"/>
  <c r="AH27" i="4"/>
  <c r="AJ27" i="4"/>
  <c r="AI27" i="4"/>
  <c r="Z79" i="3"/>
  <c r="Z29" i="3"/>
  <c r="AX78" i="4"/>
  <c r="AW28" i="4"/>
  <c r="AU82" i="5"/>
  <c r="AT32" i="5"/>
  <c r="AE78" i="4"/>
  <c r="AE28" i="4"/>
  <c r="AE80" i="3"/>
  <c r="AE30" i="3"/>
  <c r="Y87" i="4"/>
  <c r="Y37" i="4"/>
  <c r="AT79" i="3"/>
  <c r="AS29" i="3"/>
  <c r="AA81" i="3"/>
  <c r="AA31" i="3"/>
  <c r="AG86" i="3"/>
  <c r="AG36" i="3"/>
  <c r="W78" i="4"/>
  <c r="W28" i="4"/>
  <c r="AG81" i="5"/>
  <c r="AG31" i="5"/>
  <c r="AS79" i="3"/>
  <c r="AR29" i="3"/>
  <c r="AB30" i="5"/>
  <c r="AB80" i="5"/>
  <c r="AO79" i="3"/>
  <c r="AN29" i="3"/>
  <c r="AH29" i="5"/>
  <c r="AJ29" i="5"/>
  <c r="AI29" i="5"/>
  <c r="AD88" i="4"/>
  <c r="AD38" i="4"/>
  <c r="AP80" i="5"/>
  <c r="AO30" i="5"/>
  <c r="AT30" i="3"/>
  <c r="AU80" i="3"/>
  <c r="AB82" i="3"/>
  <c r="AB32" i="3"/>
  <c r="W79" i="3"/>
  <c r="W29" i="3"/>
  <c r="AD29" i="3"/>
  <c r="AD79" i="3"/>
  <c r="AZ79" i="3"/>
  <c r="AY29" i="3"/>
  <c r="AQ37" i="4"/>
  <c r="AR87" i="4"/>
  <c r="AC81" i="5"/>
  <c r="AC31" i="5"/>
  <c r="AC80" i="4"/>
  <c r="AC30" i="4"/>
  <c r="W80" i="5"/>
  <c r="W30" i="5"/>
  <c r="AQ80" i="5"/>
  <c r="AP30" i="5"/>
  <c r="BA27" i="4"/>
  <c r="BC27" i="4"/>
  <c r="BB27" i="4"/>
  <c r="V79" i="3"/>
  <c r="V29" i="3"/>
  <c r="AA78" i="4"/>
  <c r="AA28" i="4"/>
  <c r="AZ87" i="4"/>
  <c r="AY37" i="4"/>
  <c r="AD82" i="5"/>
  <c r="AD32" i="5"/>
  <c r="AT78" i="4"/>
  <c r="AS28" i="4"/>
  <c r="AN38" i="4"/>
  <c r="AO88" i="4"/>
  <c r="AZ31" i="3"/>
  <c r="BA81" i="3"/>
  <c r="AU37" i="4"/>
  <c r="AV87" i="4"/>
  <c r="AG87" i="4"/>
  <c r="AG37" i="4"/>
  <c r="AP78" i="4"/>
  <c r="AO28" i="4"/>
  <c r="BA82" i="5"/>
  <c r="AZ32" i="5"/>
  <c r="U80" i="4"/>
  <c r="U30" i="4"/>
  <c r="AS81" i="4"/>
  <c r="AR31" i="4"/>
  <c r="V87" i="5"/>
  <c r="V37" i="5"/>
  <c r="U85" i="5"/>
  <c r="U35" i="5"/>
  <c r="Z84" i="5"/>
  <c r="Z34" i="5"/>
  <c r="X82" i="5"/>
  <c r="X32" i="5"/>
  <c r="AY42" i="5"/>
  <c r="AY41" i="5"/>
  <c r="AY40" i="5"/>
  <c r="AW85" i="5"/>
  <c r="AV35" i="5"/>
  <c r="AC42" i="3"/>
  <c r="AC40" i="3"/>
  <c r="AC41" i="3"/>
  <c r="AX79" i="3"/>
  <c r="AW29" i="3"/>
  <c r="AI27" i="3"/>
  <c r="AJ27" i="3"/>
  <c r="AH27" i="3"/>
  <c r="AF82" i="3"/>
  <c r="AF32" i="3"/>
  <c r="X78" i="3"/>
  <c r="X28" i="3"/>
  <c r="AP79" i="3"/>
  <c r="AO29" i="3"/>
  <c r="AV31" i="3"/>
  <c r="AW81" i="3"/>
  <c r="BC29" i="5" l="1"/>
  <c r="BC28" i="3"/>
  <c r="BA29" i="5"/>
  <c r="BB28" i="3"/>
  <c r="AR82" i="5"/>
  <c r="AQ32" i="5"/>
  <c r="Z80" i="4"/>
  <c r="Z30" i="4"/>
  <c r="AP29" i="3"/>
  <c r="BC29" i="3" s="1"/>
  <c r="AQ79" i="3"/>
  <c r="AW80" i="4"/>
  <c r="AV30" i="4"/>
  <c r="AW32" i="5"/>
  <c r="AX82" i="5"/>
  <c r="AA81" i="5"/>
  <c r="AA31" i="5"/>
  <c r="AE83" i="5"/>
  <c r="AE33" i="5"/>
  <c r="AY80" i="3"/>
  <c r="AX30" i="3"/>
  <c r="AT80" i="5"/>
  <c r="AS30" i="5"/>
  <c r="BA30" i="5" s="1"/>
  <c r="AZ32" i="4"/>
  <c r="BA82" i="4"/>
  <c r="BC28" i="4"/>
  <c r="BA28" i="4"/>
  <c r="BB28" i="4"/>
  <c r="W81" i="5"/>
  <c r="W31" i="5"/>
  <c r="AC82" i="5"/>
  <c r="AC32" i="5"/>
  <c r="AB83" i="3"/>
  <c r="AB33" i="3"/>
  <c r="AD42" i="4"/>
  <c r="AD41" i="4"/>
  <c r="AD40" i="4"/>
  <c r="AN30" i="3"/>
  <c r="AO80" i="3"/>
  <c r="AR30" i="3"/>
  <c r="AS80" i="3"/>
  <c r="AG82" i="5"/>
  <c r="AG32" i="5"/>
  <c r="W79" i="4"/>
  <c r="W29" i="4"/>
  <c r="AA82" i="3"/>
  <c r="AA32" i="3"/>
  <c r="AS82" i="4"/>
  <c r="AR32" i="4"/>
  <c r="AP79" i="4"/>
  <c r="AO29" i="4"/>
  <c r="BA82" i="3"/>
  <c r="AZ32" i="3"/>
  <c r="AT79" i="4"/>
  <c r="AS29" i="4"/>
  <c r="AZ88" i="4"/>
  <c r="AY38" i="4"/>
  <c r="AY40" i="4" s="1"/>
  <c r="V30" i="3"/>
  <c r="V80" i="3"/>
  <c r="AZ80" i="3"/>
  <c r="AY30" i="3"/>
  <c r="W30" i="3"/>
  <c r="W80" i="3"/>
  <c r="AU81" i="3"/>
  <c r="AT31" i="3"/>
  <c r="AB81" i="5"/>
  <c r="AB31" i="5"/>
  <c r="Y38" i="4"/>
  <c r="Y88" i="4"/>
  <c r="AE79" i="4"/>
  <c r="AE29" i="4"/>
  <c r="AX79" i="4"/>
  <c r="AW29" i="4"/>
  <c r="BA83" i="5"/>
  <c r="AZ33" i="5"/>
  <c r="AQ81" i="5"/>
  <c r="AP31" i="5"/>
  <c r="AC81" i="4"/>
  <c r="AC31" i="4"/>
  <c r="AR88" i="4"/>
  <c r="AQ38" i="4"/>
  <c r="AP81" i="5"/>
  <c r="AO31" i="5"/>
  <c r="AG37" i="3"/>
  <c r="AG87" i="3"/>
  <c r="AY81" i="5"/>
  <c r="AX31" i="5"/>
  <c r="U81" i="4"/>
  <c r="U31" i="4"/>
  <c r="AG88" i="4"/>
  <c r="AG38" i="4"/>
  <c r="AV88" i="4"/>
  <c r="AU38" i="4"/>
  <c r="AN42" i="4"/>
  <c r="AN41" i="4"/>
  <c r="AN40" i="4"/>
  <c r="AD83" i="5"/>
  <c r="AD33" i="5"/>
  <c r="AA79" i="4"/>
  <c r="AA29" i="4"/>
  <c r="AI30" i="5"/>
  <c r="AJ30" i="5"/>
  <c r="AH30" i="5"/>
  <c r="AD30" i="3"/>
  <c r="AD80" i="3"/>
  <c r="AH28" i="4"/>
  <c r="AJ28" i="4"/>
  <c r="AI28" i="4"/>
  <c r="AT80" i="3"/>
  <c r="AS30" i="3"/>
  <c r="AE81" i="3"/>
  <c r="AE31" i="3"/>
  <c r="AT33" i="5"/>
  <c r="AU83" i="5"/>
  <c r="Z30" i="3"/>
  <c r="Z80" i="3"/>
  <c r="Z85" i="5"/>
  <c r="Z35" i="5"/>
  <c r="U86" i="5"/>
  <c r="U36" i="5"/>
  <c r="AW86" i="5"/>
  <c r="AV36" i="5"/>
  <c r="X83" i="5"/>
  <c r="X33" i="5"/>
  <c r="V88" i="5"/>
  <c r="V39" i="5" s="1"/>
  <c r="V38" i="5"/>
  <c r="AP80" i="3"/>
  <c r="AO30" i="3"/>
  <c r="AX80" i="3"/>
  <c r="AW30" i="3"/>
  <c r="AW82" i="3"/>
  <c r="AV32" i="3"/>
  <c r="AJ28" i="3"/>
  <c r="AH28" i="3"/>
  <c r="AI28" i="3"/>
  <c r="X79" i="3"/>
  <c r="X29" i="3"/>
  <c r="AF83" i="3"/>
  <c r="AF33" i="3"/>
  <c r="BB29" i="3" l="1"/>
  <c r="BC30" i="5"/>
  <c r="BB30" i="5"/>
  <c r="BA83" i="4"/>
  <c r="AZ33" i="4"/>
  <c r="BA29" i="3"/>
  <c r="AY81" i="3"/>
  <c r="AX31" i="3"/>
  <c r="AA32" i="5"/>
  <c r="AA82" i="5"/>
  <c r="AV31" i="4"/>
  <c r="AW81" i="4"/>
  <c r="Z81" i="4"/>
  <c r="Z31" i="4"/>
  <c r="AT81" i="5"/>
  <c r="AS31" i="5"/>
  <c r="BB31" i="5" s="1"/>
  <c r="AE34" i="5"/>
  <c r="AE84" i="5"/>
  <c r="AX83" i="5"/>
  <c r="AW33" i="5"/>
  <c r="AP30" i="3"/>
  <c r="BB30" i="3" s="1"/>
  <c r="AQ80" i="3"/>
  <c r="AR83" i="5"/>
  <c r="AQ33" i="5"/>
  <c r="AD84" i="5"/>
  <c r="AD34" i="5"/>
  <c r="AO32" i="5"/>
  <c r="AP82" i="5"/>
  <c r="AR31" i="3"/>
  <c r="AS81" i="3"/>
  <c r="AE82" i="3"/>
  <c r="AE32" i="3"/>
  <c r="AU40" i="4"/>
  <c r="AU42" i="4"/>
  <c r="AG38" i="3"/>
  <c r="AG88" i="3"/>
  <c r="AG39" i="3" s="1"/>
  <c r="AQ82" i="5"/>
  <c r="AP32" i="5"/>
  <c r="AE80" i="4"/>
  <c r="AE30" i="4"/>
  <c r="BA83" i="3"/>
  <c r="AZ33" i="3"/>
  <c r="BA29" i="4"/>
  <c r="BC29" i="4"/>
  <c r="BB29" i="4"/>
  <c r="AA33" i="3"/>
  <c r="AA83" i="3"/>
  <c r="AG83" i="5"/>
  <c r="AG33" i="5"/>
  <c r="AH31" i="5"/>
  <c r="AI31" i="5"/>
  <c r="AJ31" i="5"/>
  <c r="AU84" i="5"/>
  <c r="AT34" i="5"/>
  <c r="AP80" i="4"/>
  <c r="AO30" i="4"/>
  <c r="AJ29" i="4"/>
  <c r="AI29" i="4"/>
  <c r="AH29" i="4"/>
  <c r="AS31" i="3"/>
  <c r="AT81" i="3"/>
  <c r="AG41" i="4"/>
  <c r="AG42" i="4"/>
  <c r="AG40" i="4"/>
  <c r="AY82" i="5"/>
  <c r="AX32" i="5"/>
  <c r="AC82" i="4"/>
  <c r="AC32" i="4"/>
  <c r="AZ34" i="5"/>
  <c r="BA84" i="5"/>
  <c r="AX80" i="4"/>
  <c r="AW30" i="4"/>
  <c r="Y42" i="4"/>
  <c r="Y40" i="4"/>
  <c r="Y41" i="4"/>
  <c r="AU82" i="3"/>
  <c r="AT32" i="3"/>
  <c r="AZ81" i="3"/>
  <c r="AY31" i="3"/>
  <c r="AT80" i="4"/>
  <c r="AS30" i="4"/>
  <c r="W80" i="4"/>
  <c r="W30" i="4"/>
  <c r="AU41" i="4"/>
  <c r="AB82" i="5"/>
  <c r="AB32" i="5"/>
  <c r="AB34" i="3"/>
  <c r="AB84" i="3"/>
  <c r="W32" i="5"/>
  <c r="W82" i="5"/>
  <c r="Z31" i="3"/>
  <c r="Z81" i="3"/>
  <c r="AD81" i="3"/>
  <c r="AD31" i="3"/>
  <c r="AA80" i="4"/>
  <c r="AA30" i="4"/>
  <c r="U82" i="4"/>
  <c r="U32" i="4"/>
  <c r="AQ40" i="4"/>
  <c r="AQ41" i="4"/>
  <c r="AQ42" i="4"/>
  <c r="W31" i="3"/>
  <c r="W81" i="3"/>
  <c r="V31" i="3"/>
  <c r="V81" i="3"/>
  <c r="AY42" i="4"/>
  <c r="AY41" i="4"/>
  <c r="AS83" i="4"/>
  <c r="AR33" i="4"/>
  <c r="AN31" i="3"/>
  <c r="AO81" i="3"/>
  <c r="AC83" i="5"/>
  <c r="AC33" i="5"/>
  <c r="Z86" i="5"/>
  <c r="Z36" i="5"/>
  <c r="X84" i="5"/>
  <c r="X34" i="5"/>
  <c r="U87" i="5"/>
  <c r="U37" i="5"/>
  <c r="AW87" i="5"/>
  <c r="AV37" i="5"/>
  <c r="V42" i="5"/>
  <c r="V40" i="5"/>
  <c r="V41" i="5"/>
  <c r="X80" i="3"/>
  <c r="X30" i="3"/>
  <c r="AW83" i="3"/>
  <c r="AV33" i="3"/>
  <c r="BC30" i="3"/>
  <c r="AP81" i="3"/>
  <c r="AO31" i="3"/>
  <c r="AF84" i="3"/>
  <c r="AF34" i="3"/>
  <c r="AI29" i="3"/>
  <c r="AH29" i="3"/>
  <c r="AJ29" i="3"/>
  <c r="AX81" i="3"/>
  <c r="AW31" i="3"/>
  <c r="BA31" i="5" l="1"/>
  <c r="Z32" i="4"/>
  <c r="Z82" i="4"/>
  <c r="AW82" i="4"/>
  <c r="AV32" i="4"/>
  <c r="BC31" i="5"/>
  <c r="AR84" i="5"/>
  <c r="AQ34" i="5"/>
  <c r="AW34" i="5"/>
  <c r="AX84" i="5"/>
  <c r="AT82" i="5"/>
  <c r="AS32" i="5"/>
  <c r="BC32" i="5" s="1"/>
  <c r="AY82" i="3"/>
  <c r="AX32" i="3"/>
  <c r="AZ34" i="4"/>
  <c r="BA84" i="4"/>
  <c r="BA30" i="3"/>
  <c r="AP31" i="3"/>
  <c r="BA31" i="3" s="1"/>
  <c r="AQ81" i="3"/>
  <c r="AE35" i="5"/>
  <c r="AE85" i="5"/>
  <c r="AA83" i="5"/>
  <c r="AA33" i="5"/>
  <c r="AC84" i="5"/>
  <c r="AC34" i="5"/>
  <c r="U83" i="4"/>
  <c r="U33" i="4"/>
  <c r="AD82" i="3"/>
  <c r="AD32" i="3"/>
  <c r="AI32" i="5"/>
  <c r="AJ32" i="5"/>
  <c r="AH32" i="5"/>
  <c r="AB33" i="5"/>
  <c r="AB83" i="5"/>
  <c r="W81" i="4"/>
  <c r="W31" i="4"/>
  <c r="AU83" i="3"/>
  <c r="AT33" i="3"/>
  <c r="AP81" i="4"/>
  <c r="AO31" i="4"/>
  <c r="AN32" i="3"/>
  <c r="AO82" i="3"/>
  <c r="AB85" i="3"/>
  <c r="AB35" i="3"/>
  <c r="AX81" i="4"/>
  <c r="AW31" i="4"/>
  <c r="AC83" i="4"/>
  <c r="AC33" i="4"/>
  <c r="BA84" i="3"/>
  <c r="AZ34" i="3"/>
  <c r="AS82" i="3"/>
  <c r="AR32" i="3"/>
  <c r="Z32" i="3"/>
  <c r="Z82" i="3"/>
  <c r="AS84" i="4"/>
  <c r="AR34" i="4"/>
  <c r="AA81" i="4"/>
  <c r="AA31" i="4"/>
  <c r="AT81" i="4"/>
  <c r="AS31" i="4"/>
  <c r="AZ82" i="3"/>
  <c r="AY32" i="3"/>
  <c r="AZ35" i="5"/>
  <c r="BA85" i="5"/>
  <c r="AT82" i="3"/>
  <c r="AS32" i="3"/>
  <c r="AG34" i="5"/>
  <c r="AG84" i="5"/>
  <c r="AQ83" i="5"/>
  <c r="AP33" i="5"/>
  <c r="AG41" i="3"/>
  <c r="AG42" i="3"/>
  <c r="AG40" i="3"/>
  <c r="AD85" i="5"/>
  <c r="AD35" i="5"/>
  <c r="V82" i="3"/>
  <c r="V32" i="3"/>
  <c r="W82" i="3"/>
  <c r="W32" i="3"/>
  <c r="W83" i="5"/>
  <c r="W33" i="5"/>
  <c r="AI30" i="4"/>
  <c r="AH30" i="4"/>
  <c r="AJ30" i="4"/>
  <c r="AX33" i="5"/>
  <c r="AY83" i="5"/>
  <c r="BB30" i="4"/>
  <c r="BC30" i="4"/>
  <c r="BA30" i="4"/>
  <c r="AT35" i="5"/>
  <c r="AU85" i="5"/>
  <c r="AA84" i="3"/>
  <c r="AA34" i="3"/>
  <c r="AE81" i="4"/>
  <c r="AE31" i="4"/>
  <c r="AE83" i="3"/>
  <c r="AE33" i="3"/>
  <c r="AO33" i="5"/>
  <c r="AP83" i="5"/>
  <c r="X85" i="5"/>
  <c r="X35" i="5"/>
  <c r="Z87" i="5"/>
  <c r="Z37" i="5"/>
  <c r="U88" i="5"/>
  <c r="U39" i="5" s="1"/>
  <c r="U38" i="5"/>
  <c r="AW88" i="5"/>
  <c r="AV39" i="5" s="1"/>
  <c r="AV38" i="5"/>
  <c r="AJ30" i="3"/>
  <c r="AI30" i="3"/>
  <c r="AH30" i="3"/>
  <c r="AW84" i="3"/>
  <c r="AV34" i="3"/>
  <c r="AW32" i="3"/>
  <c r="AX82" i="3"/>
  <c r="AF85" i="3"/>
  <c r="AF35" i="3"/>
  <c r="AP82" i="3"/>
  <c r="AO32" i="3"/>
  <c r="X81" i="3"/>
  <c r="X31" i="3"/>
  <c r="BA32" i="5" l="1"/>
  <c r="BB32" i="5"/>
  <c r="BB31" i="3"/>
  <c r="AA84" i="5"/>
  <c r="AA34" i="5"/>
  <c r="AE36" i="5"/>
  <c r="AE86" i="5"/>
  <c r="AY83" i="3"/>
  <c r="AX33" i="3"/>
  <c r="AW35" i="5"/>
  <c r="AX85" i="5"/>
  <c r="BC31" i="3"/>
  <c r="BA85" i="4"/>
  <c r="AZ35" i="4"/>
  <c r="AV33" i="4"/>
  <c r="AW83" i="4"/>
  <c r="AT83" i="5"/>
  <c r="AS33" i="5"/>
  <c r="BA33" i="5" s="1"/>
  <c r="AR85" i="5"/>
  <c r="AQ35" i="5"/>
  <c r="AQ82" i="3"/>
  <c r="AP32" i="3"/>
  <c r="BA32" i="3" s="1"/>
  <c r="Z33" i="4"/>
  <c r="Z83" i="4"/>
  <c r="BA86" i="5"/>
  <c r="AZ36" i="5"/>
  <c r="AP84" i="5"/>
  <c r="AO34" i="5"/>
  <c r="AA85" i="3"/>
  <c r="AA35" i="3"/>
  <c r="W83" i="3"/>
  <c r="W33" i="3"/>
  <c r="AS33" i="3"/>
  <c r="AT83" i="3"/>
  <c r="AZ83" i="3"/>
  <c r="AY33" i="3"/>
  <c r="AA82" i="4"/>
  <c r="AA32" i="4"/>
  <c r="AS83" i="3"/>
  <c r="AR33" i="3"/>
  <c r="AX82" i="4"/>
  <c r="AW32" i="4"/>
  <c r="BA31" i="4"/>
  <c r="BB31" i="4"/>
  <c r="BC31" i="4"/>
  <c r="AB84" i="5"/>
  <c r="AB34" i="5"/>
  <c r="U84" i="4"/>
  <c r="U34" i="4"/>
  <c r="AE82" i="4"/>
  <c r="AE32" i="4"/>
  <c r="AX34" i="5"/>
  <c r="AY84" i="5"/>
  <c r="AH33" i="5"/>
  <c r="AJ33" i="5"/>
  <c r="AI33" i="5"/>
  <c r="AP34" i="5"/>
  <c r="AQ84" i="5"/>
  <c r="AT82" i="4"/>
  <c r="AS32" i="4"/>
  <c r="AS85" i="4"/>
  <c r="AR35" i="4"/>
  <c r="AC84" i="4"/>
  <c r="AC34" i="4"/>
  <c r="AB86" i="3"/>
  <c r="AB36" i="3"/>
  <c r="AJ31" i="4"/>
  <c r="AH31" i="4"/>
  <c r="AI31" i="4"/>
  <c r="AD33" i="3"/>
  <c r="AD83" i="3"/>
  <c r="AC35" i="5"/>
  <c r="AC85" i="5"/>
  <c r="AU86" i="5"/>
  <c r="AT36" i="5"/>
  <c r="AD86" i="5"/>
  <c r="AD36" i="5"/>
  <c r="AG35" i="5"/>
  <c r="AG85" i="5"/>
  <c r="AP82" i="4"/>
  <c r="AO32" i="4"/>
  <c r="AE84" i="3"/>
  <c r="AE34" i="3"/>
  <c r="W84" i="5"/>
  <c r="W34" i="5"/>
  <c r="V83" i="3"/>
  <c r="V33" i="3"/>
  <c r="Z33" i="3"/>
  <c r="Z83" i="3"/>
  <c r="BA85" i="3"/>
  <c r="AZ35" i="3"/>
  <c r="AO83" i="3"/>
  <c r="AN33" i="3"/>
  <c r="AT34" i="3"/>
  <c r="AU84" i="3"/>
  <c r="W82" i="4"/>
  <c r="W32" i="4"/>
  <c r="AV40" i="5"/>
  <c r="AV41" i="5"/>
  <c r="AV42" i="5"/>
  <c r="Z38" i="5"/>
  <c r="Z88" i="5"/>
  <c r="Z39" i="5" s="1"/>
  <c r="U40" i="5"/>
  <c r="U42" i="5"/>
  <c r="U41" i="5"/>
  <c r="X86" i="5"/>
  <c r="X36" i="5"/>
  <c r="AI31" i="3"/>
  <c r="AH31" i="3"/>
  <c r="AJ31" i="3"/>
  <c r="AX83" i="3"/>
  <c r="AW33" i="3"/>
  <c r="AP83" i="3"/>
  <c r="AO33" i="3"/>
  <c r="X82" i="3"/>
  <c r="X32" i="3"/>
  <c r="AF86" i="3"/>
  <c r="AF36" i="3"/>
  <c r="AW85" i="3"/>
  <c r="AV35" i="3"/>
  <c r="BB32" i="3" l="1"/>
  <c r="BC32" i="3"/>
  <c r="BB33" i="5"/>
  <c r="BC33" i="5"/>
  <c r="AQ83" i="3"/>
  <c r="AP33" i="3"/>
  <c r="BA33" i="3" s="1"/>
  <c r="Z84" i="4"/>
  <c r="Z34" i="4"/>
  <c r="AY84" i="3"/>
  <c r="AX34" i="3"/>
  <c r="AR86" i="5"/>
  <c r="AQ36" i="5"/>
  <c r="AW36" i="5"/>
  <c r="AX86" i="5"/>
  <c r="AE37" i="5"/>
  <c r="AE87" i="5"/>
  <c r="AT84" i="5"/>
  <c r="AS34" i="5"/>
  <c r="BC34" i="5" s="1"/>
  <c r="AW84" i="4"/>
  <c r="AV34" i="4"/>
  <c r="AA85" i="5"/>
  <c r="AA35" i="5"/>
  <c r="BA86" i="4"/>
  <c r="AZ36" i="4"/>
  <c r="AU85" i="3"/>
  <c r="AT35" i="3"/>
  <c r="Z34" i="3"/>
  <c r="Z84" i="3"/>
  <c r="AJ34" i="5"/>
  <c r="AH34" i="5"/>
  <c r="AI34" i="5"/>
  <c r="BC32" i="4"/>
  <c r="BA32" i="4"/>
  <c r="BB32" i="4"/>
  <c r="AC86" i="5"/>
  <c r="AC36" i="5"/>
  <c r="AC85" i="4"/>
  <c r="AC35" i="4"/>
  <c r="AS86" i="4"/>
  <c r="AR36" i="4"/>
  <c r="AY85" i="5"/>
  <c r="AX35" i="5"/>
  <c r="U85" i="4"/>
  <c r="U35" i="4"/>
  <c r="AS34" i="3"/>
  <c r="AT84" i="3"/>
  <c r="W34" i="3"/>
  <c r="W84" i="3"/>
  <c r="AO84" i="3"/>
  <c r="AN34" i="3"/>
  <c r="W35" i="5"/>
  <c r="W85" i="5"/>
  <c r="AP83" i="4"/>
  <c r="AO33" i="4"/>
  <c r="AD87" i="5"/>
  <c r="AD37" i="5"/>
  <c r="AX83" i="4"/>
  <c r="AW33" i="4"/>
  <c r="AA83" i="4"/>
  <c r="AA33" i="4"/>
  <c r="AP85" i="5"/>
  <c r="AO35" i="5"/>
  <c r="AH32" i="4"/>
  <c r="AI32" i="4"/>
  <c r="AJ32" i="4"/>
  <c r="AG86" i="5"/>
  <c r="AG36" i="5"/>
  <c r="AD34" i="3"/>
  <c r="AD84" i="3"/>
  <c r="AB87" i="3"/>
  <c r="AB37" i="3"/>
  <c r="AT83" i="4"/>
  <c r="AS33" i="4"/>
  <c r="AB85" i="5"/>
  <c r="AB35" i="5"/>
  <c r="W83" i="4"/>
  <c r="W33" i="4"/>
  <c r="BA86" i="3"/>
  <c r="AZ36" i="3"/>
  <c r="V84" i="3"/>
  <c r="V34" i="3"/>
  <c r="AE85" i="3"/>
  <c r="AE35" i="3"/>
  <c r="AU87" i="5"/>
  <c r="AT37" i="5"/>
  <c r="AP35" i="5"/>
  <c r="AQ85" i="5"/>
  <c r="AE83" i="4"/>
  <c r="AE33" i="4"/>
  <c r="AR34" i="3"/>
  <c r="AS84" i="3"/>
  <c r="AZ84" i="3"/>
  <c r="AY34" i="3"/>
  <c r="AA86" i="3"/>
  <c r="AA36" i="3"/>
  <c r="AZ37" i="5"/>
  <c r="BA87" i="5"/>
  <c r="Z41" i="5"/>
  <c r="Z42" i="5"/>
  <c r="Z40" i="5"/>
  <c r="X87" i="5"/>
  <c r="X37" i="5"/>
  <c r="AJ32" i="3"/>
  <c r="AI32" i="3"/>
  <c r="AH32" i="3"/>
  <c r="X83" i="3"/>
  <c r="X33" i="3"/>
  <c r="AP84" i="3"/>
  <c r="AO34" i="3"/>
  <c r="AX84" i="3"/>
  <c r="AW34" i="3"/>
  <c r="AW86" i="3"/>
  <c r="AV36" i="3"/>
  <c r="AF87" i="3"/>
  <c r="AF37" i="3"/>
  <c r="BA34" i="5" l="1"/>
  <c r="BB34" i="5"/>
  <c r="BC33" i="3"/>
  <c r="BB33" i="3"/>
  <c r="AT85" i="5"/>
  <c r="AS35" i="5"/>
  <c r="BA35" i="5" s="1"/>
  <c r="AW37" i="5"/>
  <c r="AX87" i="5"/>
  <c r="BA87" i="4"/>
  <c r="AZ37" i="4"/>
  <c r="AQ37" i="5"/>
  <c r="AR87" i="5"/>
  <c r="Z85" i="4"/>
  <c r="Z35" i="4"/>
  <c r="AV35" i="4"/>
  <c r="AW85" i="4"/>
  <c r="AE88" i="5"/>
  <c r="AE39" i="5" s="1"/>
  <c r="AE38" i="5"/>
  <c r="AA86" i="5"/>
  <c r="AA36" i="5"/>
  <c r="AY85" i="3"/>
  <c r="AX35" i="3"/>
  <c r="AQ84" i="3"/>
  <c r="AP34" i="3"/>
  <c r="BA34" i="3" s="1"/>
  <c r="AR35" i="3"/>
  <c r="AS85" i="3"/>
  <c r="AP36" i="5"/>
  <c r="AQ86" i="5"/>
  <c r="AP86" i="5"/>
  <c r="AO36" i="5"/>
  <c r="AD88" i="5"/>
  <c r="AD39" i="5" s="1"/>
  <c r="AD38" i="5"/>
  <c r="AI35" i="5"/>
  <c r="AJ35" i="5"/>
  <c r="AH35" i="5"/>
  <c r="AS35" i="3"/>
  <c r="AT85" i="3"/>
  <c r="Z85" i="3"/>
  <c r="Z35" i="3"/>
  <c r="AA87" i="3"/>
  <c r="AA37" i="3"/>
  <c r="AE86" i="3"/>
  <c r="AE36" i="3"/>
  <c r="AZ37" i="3"/>
  <c r="BA87" i="3"/>
  <c r="AH33" i="4"/>
  <c r="AI33" i="4"/>
  <c r="AJ33" i="4"/>
  <c r="AT84" i="4"/>
  <c r="AS34" i="4"/>
  <c r="AB88" i="3"/>
  <c r="AB39" i="3" s="1"/>
  <c r="AB38" i="3"/>
  <c r="AG37" i="5"/>
  <c r="AG87" i="5"/>
  <c r="AX84" i="4"/>
  <c r="AW34" i="4"/>
  <c r="BC33" i="4"/>
  <c r="BB33" i="4"/>
  <c r="BA33" i="4"/>
  <c r="AY86" i="5"/>
  <c r="AX36" i="5"/>
  <c r="AC86" i="4"/>
  <c r="AC36" i="4"/>
  <c r="AC37" i="5"/>
  <c r="AC87" i="5"/>
  <c r="BA88" i="5"/>
  <c r="AZ39" i="5" s="1"/>
  <c r="AZ38" i="5"/>
  <c r="W84" i="4"/>
  <c r="W34" i="4"/>
  <c r="AD85" i="3"/>
  <c r="AD35" i="3"/>
  <c r="AP84" i="4"/>
  <c r="AO34" i="4"/>
  <c r="AN35" i="3"/>
  <c r="AO85" i="3"/>
  <c r="W85" i="3"/>
  <c r="W35" i="3"/>
  <c r="AZ85" i="3"/>
  <c r="AY35" i="3"/>
  <c r="AE84" i="4"/>
  <c r="AE34" i="4"/>
  <c r="AU88" i="5"/>
  <c r="AT39" i="5" s="1"/>
  <c r="AT38" i="5"/>
  <c r="V85" i="3"/>
  <c r="V35" i="3"/>
  <c r="AB86" i="5"/>
  <c r="AB36" i="5"/>
  <c r="AA84" i="4"/>
  <c r="AA34" i="4"/>
  <c r="W36" i="5"/>
  <c r="W86" i="5"/>
  <c r="U86" i="4"/>
  <c r="U36" i="4"/>
  <c r="AS87" i="4"/>
  <c r="AR37" i="4"/>
  <c r="AU86" i="3"/>
  <c r="AT36" i="3"/>
  <c r="X88" i="5"/>
  <c r="X39" i="5" s="1"/>
  <c r="X38" i="5"/>
  <c r="AW87" i="3"/>
  <c r="AV37" i="3"/>
  <c r="AH33" i="3"/>
  <c r="AJ33" i="3"/>
  <c r="AI33" i="3"/>
  <c r="AF88" i="3"/>
  <c r="AF39" i="3" s="1"/>
  <c r="AF38" i="3"/>
  <c r="AX85" i="3"/>
  <c r="AW35" i="3"/>
  <c r="X84" i="3"/>
  <c r="X34" i="3"/>
  <c r="AP85" i="3"/>
  <c r="AO35" i="3"/>
  <c r="BB34" i="3" l="1"/>
  <c r="BC35" i="5"/>
  <c r="BC34" i="3"/>
  <c r="AQ38" i="5"/>
  <c r="AR88" i="5"/>
  <c r="AQ39" i="5" s="1"/>
  <c r="AY86" i="3"/>
  <c r="AX36" i="3"/>
  <c r="BB35" i="5"/>
  <c r="AE41" i="5"/>
  <c r="AE40" i="5"/>
  <c r="AE42" i="5"/>
  <c r="AS36" i="5"/>
  <c r="BC36" i="5" s="1"/>
  <c r="AT86" i="5"/>
  <c r="AP35" i="3"/>
  <c r="BA35" i="3" s="1"/>
  <c r="AQ85" i="3"/>
  <c r="AA87" i="5"/>
  <c r="AA37" i="5"/>
  <c r="AV36" i="4"/>
  <c r="AW86" i="4"/>
  <c r="Z86" i="4"/>
  <c r="Z36" i="4"/>
  <c r="AZ38" i="4"/>
  <c r="BA88" i="4"/>
  <c r="AX88" i="5"/>
  <c r="AW39" i="5" s="1"/>
  <c r="AW38" i="5"/>
  <c r="AB37" i="5"/>
  <c r="AB87" i="5"/>
  <c r="AT41" i="5"/>
  <c r="AT40" i="5"/>
  <c r="AT42" i="5"/>
  <c r="AZ86" i="3"/>
  <c r="AY36" i="3"/>
  <c r="BA34" i="4"/>
  <c r="BC34" i="4"/>
  <c r="BB34" i="4"/>
  <c r="AD86" i="3"/>
  <c r="AD36" i="3"/>
  <c r="AZ42" i="5"/>
  <c r="AZ41" i="5"/>
  <c r="AZ40" i="5"/>
  <c r="AC87" i="4"/>
  <c r="AC37" i="4"/>
  <c r="AA88" i="3"/>
  <c r="AA39" i="3" s="1"/>
  <c r="AA38" i="3"/>
  <c r="U87" i="4"/>
  <c r="U37" i="4"/>
  <c r="AA85" i="4"/>
  <c r="AA35" i="4"/>
  <c r="W86" i="3"/>
  <c r="W36" i="3"/>
  <c r="AP85" i="4"/>
  <c r="AO35" i="4"/>
  <c r="AH34" i="4"/>
  <c r="AJ34" i="4"/>
  <c r="AI34" i="4"/>
  <c r="AC38" i="5"/>
  <c r="AC88" i="5"/>
  <c r="AC39" i="5" s="1"/>
  <c r="AG88" i="5"/>
  <c r="AG39" i="5" s="1"/>
  <c r="AG38" i="5"/>
  <c r="AD41" i="5"/>
  <c r="AD42" i="5"/>
  <c r="AD40" i="5"/>
  <c r="AQ87" i="5"/>
  <c r="AP37" i="5"/>
  <c r="W87" i="5"/>
  <c r="W37" i="5"/>
  <c r="V36" i="3"/>
  <c r="V86" i="3"/>
  <c r="AE85" i="4"/>
  <c r="AE35" i="4"/>
  <c r="AO86" i="3"/>
  <c r="AN36" i="3"/>
  <c r="W85" i="4"/>
  <c r="W35" i="4"/>
  <c r="AY87" i="5"/>
  <c r="AX37" i="5"/>
  <c r="AT85" i="4"/>
  <c r="AS35" i="4"/>
  <c r="AE87" i="3"/>
  <c r="AE37" i="3"/>
  <c r="Z86" i="3"/>
  <c r="Z36" i="3"/>
  <c r="AT37" i="3"/>
  <c r="AU87" i="3"/>
  <c r="AS88" i="4"/>
  <c r="AR38" i="4"/>
  <c r="AH36" i="5"/>
  <c r="AJ36" i="5"/>
  <c r="AI36" i="5"/>
  <c r="AX85" i="4"/>
  <c r="AW35" i="4"/>
  <c r="AB41" i="3"/>
  <c r="AB40" i="3"/>
  <c r="AB42" i="3"/>
  <c r="BA88" i="3"/>
  <c r="AZ39" i="3" s="1"/>
  <c r="AZ38" i="3"/>
  <c r="AS36" i="3"/>
  <c r="AT86" i="3"/>
  <c r="AP87" i="5"/>
  <c r="AO37" i="5"/>
  <c r="AS86" i="3"/>
  <c r="AR36" i="3"/>
  <c r="X41" i="5"/>
  <c r="X42" i="5"/>
  <c r="X40" i="5"/>
  <c r="AO36" i="3"/>
  <c r="AP86" i="3"/>
  <c r="AH34" i="3"/>
  <c r="AJ34" i="3"/>
  <c r="AI34" i="3"/>
  <c r="AF42" i="3"/>
  <c r="AF41" i="3"/>
  <c r="AF40" i="3"/>
  <c r="X85" i="3"/>
  <c r="X35" i="3"/>
  <c r="AX86" i="3"/>
  <c r="AW36" i="3"/>
  <c r="AW88" i="3"/>
  <c r="AV39" i="3" s="1"/>
  <c r="AV38" i="3"/>
  <c r="BA36" i="5" l="1"/>
  <c r="BC35" i="3"/>
  <c r="BB35" i="3"/>
  <c r="AW41" i="5"/>
  <c r="BB36" i="5"/>
  <c r="AG40" i="5"/>
  <c r="AW87" i="4"/>
  <c r="AV37" i="4"/>
  <c r="AQ86" i="3"/>
  <c r="AP36" i="3"/>
  <c r="BC36" i="3" s="1"/>
  <c r="AT87" i="5"/>
  <c r="AS37" i="5"/>
  <c r="BB37" i="5" s="1"/>
  <c r="AW42" i="5"/>
  <c r="AQ42" i="5"/>
  <c r="AQ41" i="5"/>
  <c r="AQ40" i="5"/>
  <c r="Z87" i="4"/>
  <c r="Z37" i="4"/>
  <c r="AA38" i="5"/>
  <c r="AA88" i="5"/>
  <c r="AA39" i="5" s="1"/>
  <c r="AZ40" i="4"/>
  <c r="AZ42" i="4"/>
  <c r="AZ41" i="4"/>
  <c r="AY87" i="3"/>
  <c r="AX37" i="3"/>
  <c r="AW40" i="5"/>
  <c r="AJ35" i="4"/>
  <c r="AI35" i="4"/>
  <c r="AH35" i="4"/>
  <c r="W88" i="5"/>
  <c r="W39" i="5" s="1"/>
  <c r="W38" i="5"/>
  <c r="AC41" i="5"/>
  <c r="AC40" i="5"/>
  <c r="AC42" i="5"/>
  <c r="W87" i="3"/>
  <c r="W37" i="3"/>
  <c r="AP88" i="5"/>
  <c r="AO39" i="5" s="1"/>
  <c r="AO38" i="5"/>
  <c r="AZ40" i="3"/>
  <c r="AZ41" i="3"/>
  <c r="AZ42" i="3"/>
  <c r="AR41" i="4"/>
  <c r="AR42" i="4"/>
  <c r="AR40" i="4"/>
  <c r="Z87" i="3"/>
  <c r="Z37" i="3"/>
  <c r="AT86" i="4"/>
  <c r="AS36" i="4"/>
  <c r="W36" i="4"/>
  <c r="W86" i="4"/>
  <c r="AE36" i="4"/>
  <c r="AE86" i="4"/>
  <c r="BC35" i="4"/>
  <c r="BA35" i="4"/>
  <c r="BB35" i="4"/>
  <c r="AA86" i="4"/>
  <c r="AA36" i="4"/>
  <c r="AC88" i="4"/>
  <c r="AC38" i="4"/>
  <c r="AT87" i="3"/>
  <c r="AS37" i="3"/>
  <c r="V87" i="3"/>
  <c r="V37" i="3"/>
  <c r="AQ88" i="5"/>
  <c r="AP39" i="5" s="1"/>
  <c r="AP38" i="5"/>
  <c r="AP86" i="4"/>
  <c r="AO36" i="4"/>
  <c r="AD37" i="3"/>
  <c r="AD87" i="3"/>
  <c r="AX86" i="4"/>
  <c r="AW36" i="4"/>
  <c r="AS87" i="3"/>
  <c r="AR37" i="3"/>
  <c r="AT38" i="3"/>
  <c r="AU88" i="3"/>
  <c r="AT39" i="3" s="1"/>
  <c r="AE38" i="3"/>
  <c r="AE88" i="3"/>
  <c r="AE39" i="3" s="1"/>
  <c r="AX38" i="5"/>
  <c r="AY88" i="5"/>
  <c r="AX39" i="5" s="1"/>
  <c r="AN37" i="3"/>
  <c r="AO87" i="3"/>
  <c r="AI37" i="5"/>
  <c r="AH37" i="5"/>
  <c r="AJ37" i="5"/>
  <c r="AG42" i="5"/>
  <c r="AG41" i="5"/>
  <c r="U88" i="4"/>
  <c r="U38" i="4"/>
  <c r="AA41" i="3"/>
  <c r="AA42" i="3"/>
  <c r="AA40" i="3"/>
  <c r="AY37" i="3"/>
  <c r="AZ87" i="3"/>
  <c r="AB88" i="5"/>
  <c r="AB39" i="5" s="1"/>
  <c r="AB38" i="5"/>
  <c r="AJ35" i="3"/>
  <c r="AH35" i="3"/>
  <c r="AI35" i="3"/>
  <c r="AP87" i="3"/>
  <c r="AO37" i="3"/>
  <c r="AX87" i="3"/>
  <c r="AW37" i="3"/>
  <c r="AV40" i="3"/>
  <c r="AV41" i="3"/>
  <c r="AV42" i="3"/>
  <c r="X86" i="3"/>
  <c r="X36" i="3"/>
  <c r="BB36" i="3" l="1"/>
  <c r="BA36" i="3"/>
  <c r="AA41" i="5"/>
  <c r="BC37" i="5"/>
  <c r="AA40" i="5"/>
  <c r="BA37" i="5"/>
  <c r="AA42" i="5"/>
  <c r="AX38" i="3"/>
  <c r="AY88" i="3"/>
  <c r="AX39" i="3" s="1"/>
  <c r="AS38" i="5"/>
  <c r="BA38" i="5" s="1"/>
  <c r="AT88" i="5"/>
  <c r="AS39" i="5" s="1"/>
  <c r="BB39" i="5" s="1"/>
  <c r="Z38" i="4"/>
  <c r="Z88" i="4"/>
  <c r="AB42" i="5"/>
  <c r="AW88" i="4"/>
  <c r="AV38" i="4"/>
  <c r="AP37" i="3"/>
  <c r="BC37" i="3" s="1"/>
  <c r="AQ87" i="3"/>
  <c r="U40" i="4"/>
  <c r="U42" i="4"/>
  <c r="U41" i="4"/>
  <c r="AX87" i="4"/>
  <c r="AW37" i="4"/>
  <c r="AP87" i="4"/>
  <c r="AO37" i="4"/>
  <c r="V88" i="3"/>
  <c r="V39" i="3" s="1"/>
  <c r="V38" i="3"/>
  <c r="AT87" i="4"/>
  <c r="AS37" i="4"/>
  <c r="AO88" i="3"/>
  <c r="AN39" i="3" s="1"/>
  <c r="AN38" i="3"/>
  <c r="AE41" i="3"/>
  <c r="AE42" i="3"/>
  <c r="AE40" i="3"/>
  <c r="W87" i="4"/>
  <c r="W37" i="4"/>
  <c r="AB40" i="5"/>
  <c r="AB41" i="5"/>
  <c r="AR38" i="3"/>
  <c r="AS88" i="3"/>
  <c r="AR39" i="3" s="1"/>
  <c r="AD38" i="3"/>
  <c r="AD88" i="3"/>
  <c r="AD39" i="3" s="1"/>
  <c r="AP40" i="5"/>
  <c r="AP41" i="5"/>
  <c r="AP42" i="5"/>
  <c r="AT88" i="3"/>
  <c r="AS39" i="3" s="1"/>
  <c r="AS38" i="3"/>
  <c r="AC41" i="4"/>
  <c r="AC42" i="4"/>
  <c r="AC40" i="4"/>
  <c r="AJ36" i="4"/>
  <c r="AI36" i="4"/>
  <c r="AH36" i="4"/>
  <c r="Z88" i="3"/>
  <c r="Z39" i="3" s="1"/>
  <c r="Z38" i="3"/>
  <c r="W88" i="3"/>
  <c r="W39" i="3" s="1"/>
  <c r="W38" i="3"/>
  <c r="AH38" i="5"/>
  <c r="AI38" i="5"/>
  <c r="AJ38" i="5"/>
  <c r="AY38" i="3"/>
  <c r="AZ88" i="3"/>
  <c r="AY39" i="3" s="1"/>
  <c r="AX42" i="5"/>
  <c r="AX40" i="5"/>
  <c r="AX41" i="5"/>
  <c r="AT42" i="3"/>
  <c r="AT40" i="3"/>
  <c r="AT41" i="3"/>
  <c r="BB36" i="4"/>
  <c r="BC36" i="4"/>
  <c r="BA36" i="4"/>
  <c r="AA87" i="4"/>
  <c r="AA37" i="4"/>
  <c r="AE87" i="4"/>
  <c r="AE37" i="4"/>
  <c r="AO40" i="5"/>
  <c r="AO41" i="5"/>
  <c r="AO42" i="5"/>
  <c r="W42" i="5"/>
  <c r="W41" i="5"/>
  <c r="W40" i="5"/>
  <c r="AH39" i="5"/>
  <c r="AJ39" i="5"/>
  <c r="AI39" i="5"/>
  <c r="BA37" i="3"/>
  <c r="AP88" i="3"/>
  <c r="AO39" i="3" s="1"/>
  <c r="AO38" i="3"/>
  <c r="X87" i="3"/>
  <c r="X37" i="3"/>
  <c r="AH36" i="3"/>
  <c r="AJ36" i="3"/>
  <c r="AI36" i="3"/>
  <c r="AX88" i="3"/>
  <c r="AW39" i="3" s="1"/>
  <c r="AW38" i="3"/>
  <c r="AX42" i="3" l="1"/>
  <c r="AR40" i="3"/>
  <c r="BB38" i="5"/>
  <c r="BB40" i="5" s="1"/>
  <c r="AX40" i="3"/>
  <c r="BB37" i="3"/>
  <c r="BC39" i="5"/>
  <c r="BC38" i="5"/>
  <c r="BA39" i="5"/>
  <c r="BA41" i="5" s="1"/>
  <c r="AX41" i="3"/>
  <c r="AD40" i="3"/>
  <c r="BB41" i="5"/>
  <c r="AJ40" i="5"/>
  <c r="AR41" i="3"/>
  <c r="AQ88" i="3"/>
  <c r="AP39" i="3" s="1"/>
  <c r="BC39" i="3" s="1"/>
  <c r="AP38" i="3"/>
  <c r="BC38" i="3" s="1"/>
  <c r="AV42" i="4"/>
  <c r="AV40" i="4"/>
  <c r="AV41" i="4"/>
  <c r="Z42" i="4"/>
  <c r="Z40" i="4"/>
  <c r="AS41" i="5"/>
  <c r="AS42" i="5"/>
  <c r="AS40" i="5"/>
  <c r="Z41" i="4"/>
  <c r="AI42" i="5"/>
  <c r="AI40" i="5"/>
  <c r="AI41" i="5"/>
  <c r="AI37" i="4"/>
  <c r="AH37" i="4"/>
  <c r="AJ37" i="4"/>
  <c r="AW38" i="4"/>
  <c r="AX88" i="4"/>
  <c r="AE88" i="4"/>
  <c r="AE38" i="4"/>
  <c r="AY41" i="3"/>
  <c r="AY42" i="3"/>
  <c r="AY40" i="3"/>
  <c r="AH42" i="5"/>
  <c r="AD41" i="3"/>
  <c r="AD42" i="3"/>
  <c r="W38" i="4"/>
  <c r="W88" i="4"/>
  <c r="AN41" i="3"/>
  <c r="AN40" i="3"/>
  <c r="AN42" i="3"/>
  <c r="AT88" i="4"/>
  <c r="AS38" i="4"/>
  <c r="BB37" i="4"/>
  <c r="BA37" i="4"/>
  <c r="BC37" i="4"/>
  <c r="AH40" i="5"/>
  <c r="AJ41" i="5"/>
  <c r="AR42" i="3"/>
  <c r="AP88" i="4"/>
  <c r="AO38" i="4"/>
  <c r="AA38" i="4"/>
  <c r="AA88" i="4"/>
  <c r="AJ42" i="5"/>
  <c r="W42" i="3"/>
  <c r="W40" i="3"/>
  <c r="W41" i="3"/>
  <c r="Z41" i="3"/>
  <c r="Z40" i="3"/>
  <c r="Z42" i="3"/>
  <c r="AS41" i="3"/>
  <c r="AS40" i="3"/>
  <c r="AS42" i="3"/>
  <c r="AH41" i="5"/>
  <c r="V41" i="3"/>
  <c r="V40" i="3"/>
  <c r="V42" i="3"/>
  <c r="AO40" i="3"/>
  <c r="AO41" i="3"/>
  <c r="AO42" i="3"/>
  <c r="AW41" i="3"/>
  <c r="AW42" i="3"/>
  <c r="AW40" i="3"/>
  <c r="AH37" i="3"/>
  <c r="AJ37" i="3"/>
  <c r="AI37" i="3"/>
  <c r="X88" i="3"/>
  <c r="X39" i="3" s="1"/>
  <c r="X38" i="3"/>
  <c r="BC41" i="5" l="1"/>
  <c r="BC40" i="5"/>
  <c r="BB42" i="5"/>
  <c r="BB38" i="3"/>
  <c r="BC42" i="5"/>
  <c r="BA38" i="3"/>
  <c r="BA40" i="5"/>
  <c r="BA39" i="3"/>
  <c r="BA42" i="5"/>
  <c r="BB39" i="3"/>
  <c r="AP40" i="3"/>
  <c r="AP41" i="3"/>
  <c r="AP42" i="3"/>
  <c r="AS41" i="4"/>
  <c r="AS42" i="4"/>
  <c r="AS40" i="4"/>
  <c r="AW42" i="4"/>
  <c r="AW40" i="4"/>
  <c r="AW41" i="4"/>
  <c r="AA40" i="4"/>
  <c r="AA41" i="4"/>
  <c r="AA42" i="4"/>
  <c r="AE42" i="4"/>
  <c r="AE40" i="4"/>
  <c r="AE41" i="4"/>
  <c r="AO41" i="4"/>
  <c r="AO40" i="4"/>
  <c r="AO42" i="4"/>
  <c r="BC38" i="4"/>
  <c r="BA38" i="4"/>
  <c r="BB38" i="4"/>
  <c r="W41" i="4"/>
  <c r="W40" i="4"/>
  <c r="W42" i="4"/>
  <c r="AJ38" i="4"/>
  <c r="AH38" i="4"/>
  <c r="AI38" i="4"/>
  <c r="BC42" i="3"/>
  <c r="BC41" i="3"/>
  <c r="BC40" i="3"/>
  <c r="AJ38" i="3"/>
  <c r="AI38" i="3"/>
  <c r="AH38" i="3"/>
  <c r="X42" i="3"/>
  <c r="X40" i="3"/>
  <c r="X41" i="3"/>
  <c r="AI39" i="3"/>
  <c r="AJ39" i="3"/>
  <c r="AH39" i="3"/>
  <c r="BA42" i="3" l="1"/>
  <c r="BB41" i="3"/>
  <c r="BA41" i="3"/>
  <c r="BB40" i="3"/>
  <c r="BA40" i="3"/>
  <c r="BB42" i="3"/>
  <c r="AI42" i="4"/>
  <c r="AI41" i="4"/>
  <c r="AI40" i="4"/>
  <c r="BC41" i="4"/>
  <c r="BC40" i="4"/>
  <c r="BC42" i="4"/>
  <c r="AH41" i="4"/>
  <c r="AH40" i="4"/>
  <c r="AH42" i="4"/>
  <c r="AJ41" i="4"/>
  <c r="AJ40" i="4"/>
  <c r="AJ42" i="4"/>
  <c r="BB41" i="4"/>
  <c r="BB42" i="4"/>
  <c r="BB40" i="4"/>
  <c r="BA41" i="4"/>
  <c r="BA42" i="4"/>
  <c r="BA40" i="4"/>
  <c r="AH41" i="3"/>
  <c r="AH40" i="3"/>
  <c r="AH42" i="3"/>
  <c r="AJ40" i="3"/>
  <c r="AJ41" i="3"/>
  <c r="AJ42" i="3"/>
  <c r="AI42" i="3"/>
  <c r="AI40" i="3"/>
  <c r="AI41" i="3"/>
  <c r="BA60" i="2" l="1"/>
  <c r="BA61" i="2" s="1"/>
  <c r="BA62" i="2" s="1"/>
  <c r="BA63" i="2" s="1"/>
  <c r="BA64" i="2" s="1"/>
  <c r="BA65" i="2" s="1"/>
  <c r="BA66" i="2" s="1"/>
  <c r="BA67" i="2" s="1"/>
  <c r="BA68" i="2" s="1"/>
  <c r="BA69" i="2" s="1"/>
  <c r="AZ60" i="2"/>
  <c r="AZ61" i="2" s="1"/>
  <c r="AZ62" i="2" s="1"/>
  <c r="AY60" i="2"/>
  <c r="AY61" i="2" s="1"/>
  <c r="AY62" i="2" s="1"/>
  <c r="AY63" i="2" s="1"/>
  <c r="AY64" i="2" s="1"/>
  <c r="AY65" i="2" s="1"/>
  <c r="AY66" i="2" s="1"/>
  <c r="AY67" i="2" s="1"/>
  <c r="AY68" i="2" s="1"/>
  <c r="AY69" i="2" s="1"/>
  <c r="AY70" i="2" s="1"/>
  <c r="AY71" i="2" s="1"/>
  <c r="AY72" i="2" s="1"/>
  <c r="AY73" i="2" s="1"/>
  <c r="AY74" i="2" s="1"/>
  <c r="AY75" i="2" s="1"/>
  <c r="AY76" i="2" s="1"/>
  <c r="AY77" i="2" s="1"/>
  <c r="AY78" i="2" s="1"/>
  <c r="AY79" i="2" s="1"/>
  <c r="AY80" i="2" s="1"/>
  <c r="AY81" i="2" s="1"/>
  <c r="AY82" i="2" s="1"/>
  <c r="AX60" i="2"/>
  <c r="AX61" i="2" s="1"/>
  <c r="AW60" i="2"/>
  <c r="AW61" i="2" s="1"/>
  <c r="AW62" i="2" s="1"/>
  <c r="AW63" i="2" s="1"/>
  <c r="AW64" i="2" s="1"/>
  <c r="AW65" i="2" s="1"/>
  <c r="AW66" i="2" s="1"/>
  <c r="AW67" i="2" s="1"/>
  <c r="AW68" i="2" s="1"/>
  <c r="AW69" i="2" s="1"/>
  <c r="AW70" i="2" s="1"/>
  <c r="AW71" i="2" s="1"/>
  <c r="AW72" i="2" s="1"/>
  <c r="AW73" i="2" s="1"/>
  <c r="AW74" i="2" s="1"/>
  <c r="AW75" i="2" s="1"/>
  <c r="AW76" i="2" s="1"/>
  <c r="AW77" i="2" s="1"/>
  <c r="AW78" i="2" s="1"/>
  <c r="AW79" i="2" s="1"/>
  <c r="AW80" i="2" s="1"/>
  <c r="AW81" i="2" s="1"/>
  <c r="AW82" i="2" s="1"/>
  <c r="AW83" i="2" s="1"/>
  <c r="AW84" i="2" s="1"/>
  <c r="AW85" i="2" s="1"/>
  <c r="AW86" i="2" s="1"/>
  <c r="AW87" i="2" s="1"/>
  <c r="AW88" i="2" s="1"/>
  <c r="AV60" i="2"/>
  <c r="AV61" i="2" s="1"/>
  <c r="AV62" i="2" s="1"/>
  <c r="AV63" i="2" s="1"/>
  <c r="AV64" i="2" s="1"/>
  <c r="AU60" i="2"/>
  <c r="AU61" i="2" s="1"/>
  <c r="AU62" i="2" s="1"/>
  <c r="AU63" i="2" s="1"/>
  <c r="AU64" i="2" s="1"/>
  <c r="AU65" i="2" s="1"/>
  <c r="AU66" i="2" s="1"/>
  <c r="AU67" i="2" s="1"/>
  <c r="AU68" i="2" s="1"/>
  <c r="AU69" i="2" s="1"/>
  <c r="AT60" i="2"/>
  <c r="AT61" i="2" s="1"/>
  <c r="AT62" i="2" s="1"/>
  <c r="AS60" i="2"/>
  <c r="AS61" i="2" s="1"/>
  <c r="AS62" i="2" s="1"/>
  <c r="AS63" i="2" s="1"/>
  <c r="AS64" i="2" s="1"/>
  <c r="AS65" i="2" s="1"/>
  <c r="AS66" i="2" s="1"/>
  <c r="AS67" i="2" s="1"/>
  <c r="AS68" i="2" s="1"/>
  <c r="AS69" i="2" s="1"/>
  <c r="AS70" i="2" s="1"/>
  <c r="AS71" i="2" s="1"/>
  <c r="AS72" i="2" s="1"/>
  <c r="AS73" i="2" s="1"/>
  <c r="AS74" i="2" s="1"/>
  <c r="AS75" i="2" s="1"/>
  <c r="AS76" i="2" s="1"/>
  <c r="AS77" i="2" s="1"/>
  <c r="AS78" i="2" s="1"/>
  <c r="AS79" i="2" s="1"/>
  <c r="AS80" i="2" s="1"/>
  <c r="AS81" i="2" s="1"/>
  <c r="AS82" i="2" s="1"/>
  <c r="AS83" i="2" s="1"/>
  <c r="AS84" i="2" s="1"/>
  <c r="AS85" i="2" s="1"/>
  <c r="AS86" i="2" s="1"/>
  <c r="AS87" i="2" s="1"/>
  <c r="AS88" i="2" s="1"/>
  <c r="AR60" i="2"/>
  <c r="AR61" i="2" s="1"/>
  <c r="AR62" i="2" s="1"/>
  <c r="AR63" i="2" s="1"/>
  <c r="AR64" i="2" s="1"/>
  <c r="AR65" i="2" s="1"/>
  <c r="AR66" i="2" s="1"/>
  <c r="AQ60" i="2"/>
  <c r="AQ61" i="2" s="1"/>
  <c r="AQ62" i="2" s="1"/>
  <c r="AQ63" i="2" s="1"/>
  <c r="AQ64" i="2" s="1"/>
  <c r="AQ65" i="2" s="1"/>
  <c r="AQ66" i="2" s="1"/>
  <c r="AQ67" i="2" s="1"/>
  <c r="AQ68" i="2" s="1"/>
  <c r="AQ69" i="2" s="1"/>
  <c r="AQ70" i="2" s="1"/>
  <c r="AQ71" i="2" s="1"/>
  <c r="AQ72" i="2" s="1"/>
  <c r="AQ73" i="2" s="1"/>
  <c r="AQ74" i="2" s="1"/>
  <c r="AQ75" i="2" s="1"/>
  <c r="AQ76" i="2" s="1"/>
  <c r="AQ77" i="2" s="1"/>
  <c r="AQ78" i="2" s="1"/>
  <c r="AQ79" i="2" s="1"/>
  <c r="AQ80" i="2" s="1"/>
  <c r="AQ81" i="2" s="1"/>
  <c r="AQ82" i="2" s="1"/>
  <c r="AP60" i="2"/>
  <c r="AP61" i="2" s="1"/>
  <c r="AO60" i="2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AO72" i="2" s="1"/>
  <c r="AO73" i="2" s="1"/>
  <c r="AO74" i="2" s="1"/>
  <c r="AO75" i="2" s="1"/>
  <c r="AO76" i="2" s="1"/>
  <c r="AO77" i="2" s="1"/>
  <c r="AO78" i="2" s="1"/>
  <c r="AO79" i="2" s="1"/>
  <c r="AO80" i="2" s="1"/>
  <c r="AO81" i="2" s="1"/>
  <c r="AO82" i="2" s="1"/>
  <c r="AO83" i="2" s="1"/>
  <c r="AO84" i="2" s="1"/>
  <c r="AO85" i="2" s="1"/>
  <c r="AO86" i="2" s="1"/>
  <c r="AO87" i="2" s="1"/>
  <c r="AO88" i="2" s="1"/>
  <c r="AG60" i="2"/>
  <c r="AG61" i="2" s="1"/>
  <c r="AG62" i="2" s="1"/>
  <c r="AG63" i="2" s="1"/>
  <c r="AG64" i="2" s="1"/>
  <c r="AF60" i="2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E60" i="2"/>
  <c r="AE61" i="2" s="1"/>
  <c r="AD60" i="2"/>
  <c r="AD61" i="2" s="1"/>
  <c r="AD62" i="2" s="1"/>
  <c r="AD63" i="2" s="1"/>
  <c r="AD64" i="2" s="1"/>
  <c r="AD65" i="2" s="1"/>
  <c r="AD66" i="2" s="1"/>
  <c r="AD67" i="2" s="1"/>
  <c r="AD68" i="2" s="1"/>
  <c r="AD69" i="2" s="1"/>
  <c r="AC60" i="2"/>
  <c r="AC61" i="2" s="1"/>
  <c r="AC62" i="2" s="1"/>
  <c r="AB60" i="2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A60" i="2"/>
  <c r="AA61" i="2" s="1"/>
  <c r="Z60" i="2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Z74" i="2" s="1"/>
  <c r="Z75" i="2" s="1"/>
  <c r="Z76" i="2" s="1"/>
  <c r="Z77" i="2" s="1"/>
  <c r="Z78" i="2" s="1"/>
  <c r="Z79" i="2" s="1"/>
  <c r="Z80" i="2" s="1"/>
  <c r="Z81" i="2" s="1"/>
  <c r="Z82" i="2" s="1"/>
  <c r="Z83" i="2" s="1"/>
  <c r="Y60" i="2"/>
  <c r="Y61" i="2" s="1"/>
  <c r="Y62" i="2" s="1"/>
  <c r="Y63" i="2" s="1"/>
  <c r="Y64" i="2" s="1"/>
  <c r="X60" i="2"/>
  <c r="X61" i="2" s="1"/>
  <c r="X62" i="2" s="1"/>
  <c r="X63" i="2" s="1"/>
  <c r="X64" i="2" s="1"/>
  <c r="X65" i="2" s="1"/>
  <c r="X66" i="2" s="1"/>
  <c r="X67" i="2" s="1"/>
  <c r="X68" i="2" s="1"/>
  <c r="X69" i="2" s="1"/>
  <c r="W60" i="2"/>
  <c r="W61" i="2" s="1"/>
  <c r="W62" i="2" s="1"/>
  <c r="W63" i="2" s="1"/>
  <c r="W64" i="2" s="1"/>
  <c r="V60" i="2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U60" i="2"/>
  <c r="U61" i="2" s="1"/>
  <c r="U62" i="2" s="1"/>
  <c r="U63" i="2" s="1"/>
  <c r="U64" i="2" s="1"/>
  <c r="N52" i="2"/>
  <c r="AG52" i="2" s="1"/>
  <c r="AZ52" i="2" s="1"/>
  <c r="C52" i="2"/>
  <c r="V52" i="2" s="1"/>
  <c r="AO52" i="2" s="1"/>
  <c r="N51" i="2"/>
  <c r="AG51" i="2" s="1"/>
  <c r="AZ51" i="2" s="1"/>
  <c r="C51" i="2"/>
  <c r="V51" i="2" s="1"/>
  <c r="AO51" i="2" s="1"/>
  <c r="C46" i="2"/>
  <c r="V46" i="2" s="1"/>
  <c r="AO46" i="2" s="1"/>
  <c r="N45" i="2"/>
  <c r="AG45" i="2" s="1"/>
  <c r="AZ45" i="2" s="1"/>
  <c r="C45" i="2"/>
  <c r="V45" i="2" s="1"/>
  <c r="AO45" i="2" s="1"/>
  <c r="C44" i="2"/>
  <c r="V44" i="2" s="1"/>
  <c r="AO44" i="2" s="1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V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X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V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V21" i="2"/>
  <c r="AR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V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Z19" i="2"/>
  <c r="AV19" i="2"/>
  <c r="AN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Z18" i="2"/>
  <c r="AV18" i="2"/>
  <c r="AR18" i="2"/>
  <c r="AD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Z17" i="2"/>
  <c r="AV17" i="2"/>
  <c r="AR17" i="2"/>
  <c r="AN17" i="2"/>
  <c r="V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Z16" i="2"/>
  <c r="AV16" i="2"/>
  <c r="AR16" i="2"/>
  <c r="AQ16" i="2"/>
  <c r="AN16" i="2"/>
  <c r="Z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Z15" i="2"/>
  <c r="AV15" i="2"/>
  <c r="AR15" i="2"/>
  <c r="AN15" i="2"/>
  <c r="AD15" i="2"/>
  <c r="Z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Z14" i="2"/>
  <c r="AV14" i="2"/>
  <c r="AR14" i="2"/>
  <c r="AN14" i="2"/>
  <c r="AD14" i="2"/>
  <c r="Z14" i="2"/>
  <c r="V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Z13" i="2"/>
  <c r="AV13" i="2"/>
  <c r="AR13" i="2"/>
  <c r="AN13" i="2"/>
  <c r="AD13" i="2"/>
  <c r="Z13" i="2"/>
  <c r="V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Z12" i="2"/>
  <c r="AV12" i="2"/>
  <c r="AU12" i="2"/>
  <c r="AR12" i="2"/>
  <c r="AN12" i="2"/>
  <c r="AD12" i="2"/>
  <c r="Z12" i="2"/>
  <c r="V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Z11" i="2"/>
  <c r="AV11" i="2"/>
  <c r="AR11" i="2"/>
  <c r="AN11" i="2"/>
  <c r="AD11" i="2"/>
  <c r="Z11" i="2"/>
  <c r="V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N9" i="2"/>
  <c r="M9" i="2"/>
  <c r="L9" i="2"/>
  <c r="K9" i="2"/>
  <c r="J9" i="2"/>
  <c r="I9" i="2"/>
  <c r="H9" i="2"/>
  <c r="G9" i="2"/>
  <c r="F9" i="2"/>
  <c r="E9" i="2"/>
  <c r="D9" i="2"/>
  <c r="C9" i="2"/>
  <c r="B9" i="2"/>
  <c r="M6" i="2"/>
  <c r="AF6" i="2" s="1"/>
  <c r="AY6" i="2" s="1"/>
  <c r="D4" i="2"/>
  <c r="W4" i="2" s="1"/>
  <c r="AP4" i="2" s="1"/>
  <c r="F1" i="2"/>
  <c r="Y1" i="2" s="1"/>
  <c r="AR1" i="2" s="1"/>
  <c r="AN30" i="2" l="1"/>
  <c r="AD16" i="2"/>
  <c r="AD17" i="2"/>
  <c r="AN18" i="2"/>
  <c r="AR19" i="2"/>
  <c r="AN20" i="2"/>
  <c r="AR25" i="2"/>
  <c r="V19" i="2"/>
  <c r="V15" i="2"/>
  <c r="V16" i="2"/>
  <c r="V18" i="2"/>
  <c r="Z19" i="2"/>
  <c r="AN24" i="2"/>
  <c r="U12" i="2"/>
  <c r="AY12" i="2"/>
  <c r="Y12" i="2"/>
  <c r="AQ15" i="2"/>
  <c r="U14" i="2"/>
  <c r="AG14" i="2"/>
  <c r="AR28" i="2"/>
  <c r="AN23" i="2"/>
  <c r="Z20" i="2"/>
  <c r="Z21" i="2"/>
  <c r="AN22" i="2"/>
  <c r="AR23" i="2"/>
  <c r="AR24" i="2"/>
  <c r="Z29" i="2"/>
  <c r="V27" i="2"/>
  <c r="Z22" i="2"/>
  <c r="V24" i="2"/>
  <c r="V25" i="2"/>
  <c r="AN26" i="2"/>
  <c r="V28" i="2"/>
  <c r="AB13" i="2"/>
  <c r="AP25" i="2"/>
  <c r="AB26" i="2"/>
  <c r="Z31" i="2"/>
  <c r="AB12" i="2"/>
  <c r="AF23" i="2"/>
  <c r="AT18" i="2"/>
  <c r="AB14" i="2"/>
  <c r="AP14" i="2"/>
  <c r="AB17" i="2"/>
  <c r="AX19" i="2"/>
  <c r="AF24" i="2"/>
  <c r="AP11" i="2"/>
  <c r="AX13" i="2"/>
  <c r="AF15" i="2"/>
  <c r="AF16" i="2"/>
  <c r="AX17" i="2"/>
  <c r="AB11" i="2"/>
  <c r="AP12" i="2"/>
  <c r="AP13" i="2"/>
  <c r="AX14" i="2"/>
  <c r="X15" i="2"/>
  <c r="AX15" i="2"/>
  <c r="X16" i="2"/>
  <c r="Z17" i="2"/>
  <c r="AP17" i="2"/>
  <c r="Z18" i="2"/>
  <c r="AD19" i="2"/>
  <c r="V20" i="2"/>
  <c r="AR20" i="2"/>
  <c r="V21" i="2"/>
  <c r="AN21" i="2"/>
  <c r="V22" i="2"/>
  <c r="AR22" i="2"/>
  <c r="V23" i="2"/>
  <c r="AV23" i="2"/>
  <c r="AB24" i="2"/>
  <c r="AV24" i="2"/>
  <c r="AN25" i="2"/>
  <c r="AR26" i="2"/>
  <c r="AR27" i="2"/>
  <c r="AX28" i="2"/>
  <c r="AV29" i="2"/>
  <c r="AX32" i="2"/>
  <c r="AV35" i="2"/>
  <c r="AX11" i="2"/>
  <c r="AF18" i="2"/>
  <c r="AP19" i="2"/>
  <c r="AX20" i="2"/>
  <c r="AB21" i="2"/>
  <c r="AX22" i="2"/>
  <c r="AF30" i="2"/>
  <c r="AX31" i="2"/>
  <c r="AT16" i="2"/>
  <c r="X18" i="2"/>
  <c r="AB19" i="2"/>
  <c r="AP20" i="2"/>
  <c r="AF21" i="2"/>
  <c r="AP22" i="2"/>
  <c r="AB25" i="2"/>
  <c r="AP26" i="2"/>
  <c r="AP27" i="2"/>
  <c r="AP29" i="2"/>
  <c r="X12" i="2"/>
  <c r="AX12" i="2"/>
  <c r="X14" i="2"/>
  <c r="AF14" i="2"/>
  <c r="AT15" i="2"/>
  <c r="AB16" i="2"/>
  <c r="AP16" i="2"/>
  <c r="AB20" i="2"/>
  <c r="AX21" i="2"/>
  <c r="AB22" i="2"/>
  <c r="AP23" i="2"/>
  <c r="AX24" i="2"/>
  <c r="AF25" i="2"/>
  <c r="AF26" i="2"/>
  <c r="AX26" i="2"/>
  <c r="AF28" i="2"/>
  <c r="AX29" i="2"/>
  <c r="AX30" i="2"/>
  <c r="X11" i="2"/>
  <c r="AF11" i="2"/>
  <c r="AT11" i="2"/>
  <c r="AF12" i="2"/>
  <c r="AT12" i="2"/>
  <c r="X13" i="2"/>
  <c r="AF13" i="2"/>
  <c r="AT13" i="2"/>
  <c r="AT14" i="2"/>
  <c r="AB15" i="2"/>
  <c r="AP15" i="2"/>
  <c r="AX16" i="2"/>
  <c r="X17" i="2"/>
  <c r="AF17" i="2"/>
  <c r="AT17" i="2"/>
  <c r="AB18" i="2"/>
  <c r="AP18" i="2"/>
  <c r="AX18" i="2"/>
  <c r="X19" i="2"/>
  <c r="AF19" i="2"/>
  <c r="AT19" i="2"/>
  <c r="AF20" i="2"/>
  <c r="AP21" i="2"/>
  <c r="AF22" i="2"/>
  <c r="AB23" i="2"/>
  <c r="AP24" i="2"/>
  <c r="AX25" i="2"/>
  <c r="AX27" i="2"/>
  <c r="AP28" i="2"/>
  <c r="AF32" i="2"/>
  <c r="Z23" i="2"/>
  <c r="Z25" i="2"/>
  <c r="AV26" i="2"/>
  <c r="Z27" i="2"/>
  <c r="AV27" i="2"/>
  <c r="AV28" i="2"/>
  <c r="AN29" i="2"/>
  <c r="AV30" i="2"/>
  <c r="AN31" i="2"/>
  <c r="AN34" i="2"/>
  <c r="V26" i="2"/>
  <c r="AN27" i="2"/>
  <c r="AN28" i="2"/>
  <c r="AV31" i="2"/>
  <c r="AN32" i="2"/>
  <c r="AN33" i="2"/>
  <c r="AV36" i="2"/>
  <c r="Z24" i="2"/>
  <c r="Z26" i="2"/>
  <c r="AR29" i="2"/>
  <c r="AR32" i="2"/>
  <c r="AV33" i="2"/>
  <c r="AR35" i="2"/>
  <c r="AP30" i="2"/>
  <c r="AB31" i="2"/>
  <c r="AW11" i="2"/>
  <c r="AB27" i="2"/>
  <c r="AB28" i="2"/>
  <c r="V29" i="2"/>
  <c r="V30" i="2"/>
  <c r="AR30" i="2"/>
  <c r="V31" i="2"/>
  <c r="AR31" i="2"/>
  <c r="AB32" i="2"/>
  <c r="AV32" i="2"/>
  <c r="AR33" i="2"/>
  <c r="AR34" i="2"/>
  <c r="AB29" i="2"/>
  <c r="AB30" i="2"/>
  <c r="AP31" i="2"/>
  <c r="AB33" i="2"/>
  <c r="AA11" i="2"/>
  <c r="W11" i="2"/>
  <c r="AS11" i="2"/>
  <c r="AO11" i="2"/>
  <c r="AE11" i="2"/>
  <c r="V32" i="2"/>
  <c r="AZ63" i="2"/>
  <c r="AY13" i="2"/>
  <c r="AP62" i="2"/>
  <c r="AO12" i="2"/>
  <c r="Y11" i="2"/>
  <c r="AG11" i="2"/>
  <c r="AU11" i="2"/>
  <c r="AY11" i="2"/>
  <c r="AG12" i="2"/>
  <c r="AQ12" i="2"/>
  <c r="Y13" i="2"/>
  <c r="AU13" i="2"/>
  <c r="AU14" i="2"/>
  <c r="Q22" i="2"/>
  <c r="Q26" i="2"/>
  <c r="U11" i="2"/>
  <c r="AC11" i="2"/>
  <c r="AQ11" i="2"/>
  <c r="O9" i="2"/>
  <c r="J40" i="2"/>
  <c r="AJ10" i="2"/>
  <c r="AC12" i="2"/>
  <c r="U13" i="2"/>
  <c r="AG13" i="2"/>
  <c r="AQ13" i="2"/>
  <c r="Y14" i="2"/>
  <c r="AQ14" i="2"/>
  <c r="AF27" i="2"/>
  <c r="Z28" i="2"/>
  <c r="AF29" i="2"/>
  <c r="Z30" i="2"/>
  <c r="AF31" i="2"/>
  <c r="Z32" i="2"/>
  <c r="AP32" i="2"/>
  <c r="AV34" i="2"/>
  <c r="AC63" i="2"/>
  <c r="AC13" i="2"/>
  <c r="AA62" i="2"/>
  <c r="AA12" i="2"/>
  <c r="AE62" i="2"/>
  <c r="AE12" i="2"/>
  <c r="AX62" i="2"/>
  <c r="AW12" i="2"/>
  <c r="X70" i="2"/>
  <c r="X20" i="2"/>
  <c r="Q18" i="2"/>
  <c r="P19" i="2"/>
  <c r="Q21" i="2"/>
  <c r="Q25" i="2"/>
  <c r="V33" i="2"/>
  <c r="AN35" i="2"/>
  <c r="AR36" i="2"/>
  <c r="P32" i="2"/>
  <c r="Z33" i="2"/>
  <c r="Q30" i="2"/>
  <c r="Q27" i="2"/>
  <c r="O28" i="2"/>
  <c r="Q29" i="2"/>
  <c r="Q33" i="2"/>
  <c r="P24" i="2"/>
  <c r="BC10" i="2"/>
  <c r="Q12" i="2"/>
  <c r="Q16" i="2"/>
  <c r="Q17" i="2"/>
  <c r="P18" i="2"/>
  <c r="Q24" i="2"/>
  <c r="O26" i="2"/>
  <c r="P30" i="2"/>
  <c r="Q32" i="2"/>
  <c r="BA9" i="2"/>
  <c r="Q11" i="2"/>
  <c r="Q13" i="2"/>
  <c r="P14" i="2"/>
  <c r="P16" i="2"/>
  <c r="P17" i="2"/>
  <c r="Q20" i="2"/>
  <c r="Q23" i="2"/>
  <c r="O24" i="2"/>
  <c r="P28" i="2"/>
  <c r="Q31" i="2"/>
  <c r="O32" i="2"/>
  <c r="Q10" i="2"/>
  <c r="Q19" i="2"/>
  <c r="P20" i="2"/>
  <c r="P22" i="2"/>
  <c r="P26" i="2"/>
  <c r="Q28" i="2"/>
  <c r="O30" i="2"/>
  <c r="Y65" i="2"/>
  <c r="Y15" i="2"/>
  <c r="AR67" i="2"/>
  <c r="AQ17" i="2"/>
  <c r="AV65" i="2"/>
  <c r="AU15" i="2"/>
  <c r="F42" i="2"/>
  <c r="F41" i="2"/>
  <c r="F40" i="2"/>
  <c r="W15" i="2"/>
  <c r="W65" i="2"/>
  <c r="AS13" i="2"/>
  <c r="AT63" i="2"/>
  <c r="C42" i="2"/>
  <c r="C41" i="2"/>
  <c r="C40" i="2"/>
  <c r="G42" i="2"/>
  <c r="G41" i="2"/>
  <c r="G40" i="2"/>
  <c r="K42" i="2"/>
  <c r="K41" i="2"/>
  <c r="K40" i="2"/>
  <c r="AH9" i="2"/>
  <c r="O10" i="2"/>
  <c r="AH10" i="2"/>
  <c r="BA10" i="2"/>
  <c r="O11" i="2"/>
  <c r="O12" i="2"/>
  <c r="AS12" i="2"/>
  <c r="O13" i="2"/>
  <c r="O14" i="2"/>
  <c r="P23" i="2"/>
  <c r="P25" i="2"/>
  <c r="O27" i="2"/>
  <c r="P29" i="2"/>
  <c r="O31" i="2"/>
  <c r="P33" i="2"/>
  <c r="Q35" i="2"/>
  <c r="P35" i="2"/>
  <c r="O35" i="2"/>
  <c r="J42" i="2"/>
  <c r="AU70" i="2"/>
  <c r="AT20" i="2"/>
  <c r="B42" i="2"/>
  <c r="B41" i="2"/>
  <c r="B40" i="2"/>
  <c r="N42" i="2"/>
  <c r="N41" i="2"/>
  <c r="N40" i="2"/>
  <c r="H42" i="2"/>
  <c r="H41" i="2"/>
  <c r="H40" i="2"/>
  <c r="AI9" i="2"/>
  <c r="BB9" i="2"/>
  <c r="AI10" i="2"/>
  <c r="BB10" i="2"/>
  <c r="P12" i="2"/>
  <c r="P13" i="2"/>
  <c r="W13" i="2"/>
  <c r="W14" i="2"/>
  <c r="P15" i="2"/>
  <c r="O15" i="2"/>
  <c r="J41" i="2"/>
  <c r="U65" i="2"/>
  <c r="U15" i="2"/>
  <c r="AG65" i="2"/>
  <c r="AG15" i="2"/>
  <c r="BA70" i="2"/>
  <c r="AZ20" i="2"/>
  <c r="D42" i="2"/>
  <c r="D41" i="2"/>
  <c r="D40" i="2"/>
  <c r="L42" i="2"/>
  <c r="L41" i="2"/>
  <c r="L40" i="2"/>
  <c r="P9" i="2"/>
  <c r="P10" i="2"/>
  <c r="P11" i="2"/>
  <c r="W12" i="2"/>
  <c r="E42" i="2"/>
  <c r="E41" i="2"/>
  <c r="E40" i="2"/>
  <c r="I42" i="2"/>
  <c r="I41" i="2"/>
  <c r="I40" i="2"/>
  <c r="M42" i="2"/>
  <c r="M41" i="2"/>
  <c r="M40" i="2"/>
  <c r="Q9" i="2"/>
  <c r="AJ9" i="2"/>
  <c r="BC9" i="2"/>
  <c r="Q14" i="2"/>
  <c r="Q15" i="2"/>
  <c r="P21" i="2"/>
  <c r="O25" i="2"/>
  <c r="P27" i="2"/>
  <c r="O29" i="2"/>
  <c r="P31" i="2"/>
  <c r="O33" i="2"/>
  <c r="AD70" i="2"/>
  <c r="AD20" i="2"/>
  <c r="Q36" i="2"/>
  <c r="P36" i="2"/>
  <c r="O36" i="2"/>
  <c r="AB84" i="2"/>
  <c r="AB34" i="2"/>
  <c r="AF83" i="2"/>
  <c r="AF33" i="2"/>
  <c r="AQ83" i="2"/>
  <c r="AP33" i="2"/>
  <c r="AY83" i="2"/>
  <c r="AX33" i="2"/>
  <c r="O16" i="2"/>
  <c r="O17" i="2"/>
  <c r="O18" i="2"/>
  <c r="O19" i="2"/>
  <c r="O20" i="2"/>
  <c r="O21" i="2"/>
  <c r="O22" i="2"/>
  <c r="O23" i="2"/>
  <c r="AN36" i="2"/>
  <c r="Q34" i="2"/>
  <c r="P34" i="2"/>
  <c r="O34" i="2"/>
  <c r="V84" i="2"/>
  <c r="V34" i="2"/>
  <c r="Z84" i="2"/>
  <c r="Z34" i="2"/>
  <c r="AV42" i="2" l="1"/>
  <c r="AV41" i="2"/>
  <c r="AR42" i="2"/>
  <c r="BB11" i="2"/>
  <c r="AR41" i="2"/>
  <c r="BA11" i="2"/>
  <c r="AJ11" i="2"/>
  <c r="AH11" i="2"/>
  <c r="BC11" i="2"/>
  <c r="BB12" i="2"/>
  <c r="AR40" i="2"/>
  <c r="AI11" i="2"/>
  <c r="AP63" i="2"/>
  <c r="AO13" i="2"/>
  <c r="AN41" i="2"/>
  <c r="AV40" i="2"/>
  <c r="BA12" i="2"/>
  <c r="AZ64" i="2"/>
  <c r="AY14" i="2"/>
  <c r="AX63" i="2"/>
  <c r="AW13" i="2"/>
  <c r="AA63" i="2"/>
  <c r="AA13" i="2"/>
  <c r="X71" i="2"/>
  <c r="X21" i="2"/>
  <c r="AE63" i="2"/>
  <c r="AE13" i="2"/>
  <c r="AC64" i="2"/>
  <c r="AC14" i="2"/>
  <c r="BC12" i="2"/>
  <c r="AN40" i="2"/>
  <c r="O42" i="2"/>
  <c r="O41" i="2"/>
  <c r="AD71" i="2"/>
  <c r="AD21" i="2"/>
  <c r="AH12" i="2"/>
  <c r="W66" i="2"/>
  <c r="W16" i="2"/>
  <c r="Z85" i="2"/>
  <c r="Z35" i="2"/>
  <c r="AY84" i="2"/>
  <c r="AX34" i="2"/>
  <c r="AF84" i="2"/>
  <c r="AF34" i="2"/>
  <c r="Q42" i="2"/>
  <c r="Q41" i="2"/>
  <c r="Q40" i="2"/>
  <c r="BA71" i="2"/>
  <c r="AZ21" i="2"/>
  <c r="AG66" i="2"/>
  <c r="AG16" i="2"/>
  <c r="AR68" i="2"/>
  <c r="AQ18" i="2"/>
  <c r="AJ12" i="2"/>
  <c r="O40" i="2"/>
  <c r="P42" i="2"/>
  <c r="P41" i="2"/>
  <c r="P40" i="2"/>
  <c r="AN42" i="2"/>
  <c r="AT64" i="2"/>
  <c r="AS14" i="2"/>
  <c r="V85" i="2"/>
  <c r="V35" i="2"/>
  <c r="AQ84" i="2"/>
  <c r="AP34" i="2"/>
  <c r="AB85" i="2"/>
  <c r="AB35" i="2"/>
  <c r="AI12" i="2"/>
  <c r="U16" i="2"/>
  <c r="U66" i="2"/>
  <c r="AU71" i="2"/>
  <c r="AT21" i="2"/>
  <c r="AV66" i="2"/>
  <c r="AU16" i="2"/>
  <c r="Y66" i="2"/>
  <c r="Y16" i="2"/>
  <c r="BC13" i="2" l="1"/>
  <c r="AI13" i="2"/>
  <c r="AZ65" i="2"/>
  <c r="AY15" i="2"/>
  <c r="AP64" i="2"/>
  <c r="AO14" i="2"/>
  <c r="AH13" i="2"/>
  <c r="AC65" i="2"/>
  <c r="AC15" i="2"/>
  <c r="X72" i="2"/>
  <c r="X22" i="2"/>
  <c r="AA64" i="2"/>
  <c r="AA14" i="2"/>
  <c r="BB13" i="2"/>
  <c r="BA13" i="2"/>
  <c r="AJ13" i="2"/>
  <c r="AE64" i="2"/>
  <c r="AE14" i="2"/>
  <c r="AW14" i="2"/>
  <c r="AX64" i="2"/>
  <c r="Y67" i="2"/>
  <c r="Y17" i="2"/>
  <c r="AY85" i="2"/>
  <c r="AX35" i="2"/>
  <c r="AD72" i="2"/>
  <c r="AD22" i="2"/>
  <c r="AU72" i="2"/>
  <c r="AT22" i="2"/>
  <c r="AB86" i="2"/>
  <c r="AB87" i="2" s="1"/>
  <c r="AB88" i="2" s="1"/>
  <c r="AB36" i="2"/>
  <c r="AB40" i="2" s="1"/>
  <c r="V86" i="2"/>
  <c r="V87" i="2" s="1"/>
  <c r="V88" i="2" s="1"/>
  <c r="V36" i="2"/>
  <c r="V40" i="2" s="1"/>
  <c r="AR69" i="2"/>
  <c r="AQ19" i="2"/>
  <c r="AG67" i="2"/>
  <c r="AG17" i="2"/>
  <c r="U67" i="2"/>
  <c r="U17" i="2"/>
  <c r="AT65" i="2"/>
  <c r="AS15" i="2"/>
  <c r="AV67" i="2"/>
  <c r="AU17" i="2"/>
  <c r="AF85" i="2"/>
  <c r="AF35" i="2"/>
  <c r="Z86" i="2"/>
  <c r="Z87" i="2" s="1"/>
  <c r="Z88" i="2" s="1"/>
  <c r="Z36" i="2"/>
  <c r="Z42" i="2" s="1"/>
  <c r="W67" i="2"/>
  <c r="W17" i="2"/>
  <c r="AQ85" i="2"/>
  <c r="AP35" i="2"/>
  <c r="BA72" i="2"/>
  <c r="AZ22" i="2"/>
  <c r="V42" i="2" l="1"/>
  <c r="AB42" i="2"/>
  <c r="AB41" i="2"/>
  <c r="BA14" i="2"/>
  <c r="BC14" i="2"/>
  <c r="V41" i="2"/>
  <c r="AP65" i="2"/>
  <c r="AO15" i="2"/>
  <c r="BB14" i="2"/>
  <c r="AZ66" i="2"/>
  <c r="AY16" i="2"/>
  <c r="AE15" i="2"/>
  <c r="AE65" i="2"/>
  <c r="X73" i="2"/>
  <c r="X23" i="2"/>
  <c r="AX65" i="2"/>
  <c r="AW15" i="2"/>
  <c r="AH14" i="2"/>
  <c r="AJ14" i="2"/>
  <c r="AI14" i="2"/>
  <c r="AA65" i="2"/>
  <c r="AA15" i="2"/>
  <c r="AC66" i="2"/>
  <c r="AC16" i="2"/>
  <c r="AT66" i="2"/>
  <c r="AS16" i="2"/>
  <c r="AY86" i="2"/>
  <c r="AY87" i="2" s="1"/>
  <c r="AY88" i="2" s="1"/>
  <c r="AX36" i="2"/>
  <c r="AX42" i="2" s="1"/>
  <c r="AQ86" i="2"/>
  <c r="AQ87" i="2" s="1"/>
  <c r="AQ88" i="2" s="1"/>
  <c r="AP36" i="2"/>
  <c r="AP40" i="2" s="1"/>
  <c r="AR70" i="2"/>
  <c r="AQ20" i="2"/>
  <c r="AU73" i="2"/>
  <c r="AT23" i="2"/>
  <c r="Z40" i="2"/>
  <c r="Z41" i="2"/>
  <c r="AD73" i="2"/>
  <c r="AD23" i="2"/>
  <c r="BA73" i="2"/>
  <c r="AZ23" i="2"/>
  <c r="AV68" i="2"/>
  <c r="AU18" i="2"/>
  <c r="W68" i="2"/>
  <c r="W18" i="2"/>
  <c r="AF86" i="2"/>
  <c r="AF87" i="2" s="1"/>
  <c r="AF88" i="2" s="1"/>
  <c r="AF36" i="2"/>
  <c r="AF40" i="2" s="1"/>
  <c r="U68" i="2"/>
  <c r="U18" i="2"/>
  <c r="AG18" i="2"/>
  <c r="AG68" i="2"/>
  <c r="Y68" i="2"/>
  <c r="Y18" i="2"/>
  <c r="BB15" i="2" l="1"/>
  <c r="BC15" i="2"/>
  <c r="BA15" i="2"/>
  <c r="AO16" i="2"/>
  <c r="AP66" i="2"/>
  <c r="AZ67" i="2"/>
  <c r="AY17" i="2"/>
  <c r="AH15" i="2"/>
  <c r="AI15" i="2"/>
  <c r="AJ15" i="2"/>
  <c r="X74" i="2"/>
  <c r="X24" i="2"/>
  <c r="AA66" i="2"/>
  <c r="AA16" i="2"/>
  <c r="AE16" i="2"/>
  <c r="AE66" i="2"/>
  <c r="AX66" i="2"/>
  <c r="AW16" i="2"/>
  <c r="AC67" i="2"/>
  <c r="AC17" i="2"/>
  <c r="AP42" i="2"/>
  <c r="AF41" i="2"/>
  <c r="AF42" i="2"/>
  <c r="U69" i="2"/>
  <c r="U19" i="2"/>
  <c r="AD74" i="2"/>
  <c r="AD24" i="2"/>
  <c r="W69" i="2"/>
  <c r="W19" i="2"/>
  <c r="BA74" i="2"/>
  <c r="AZ24" i="2"/>
  <c r="AP41" i="2"/>
  <c r="AU74" i="2"/>
  <c r="AT24" i="2"/>
  <c r="AG69" i="2"/>
  <c r="AG19" i="2"/>
  <c r="AV69" i="2"/>
  <c r="AU19" i="2"/>
  <c r="AR71" i="2"/>
  <c r="AQ21" i="2"/>
  <c r="Y69" i="2"/>
  <c r="Y19" i="2"/>
  <c r="AX40" i="2"/>
  <c r="AX41" i="2"/>
  <c r="AT67" i="2"/>
  <c r="AS17" i="2"/>
  <c r="BB16" i="2" l="1"/>
  <c r="AZ68" i="2"/>
  <c r="AY18" i="2"/>
  <c r="BC16" i="2"/>
  <c r="AP67" i="2"/>
  <c r="AO17" i="2"/>
  <c r="AJ16" i="2"/>
  <c r="AI16" i="2"/>
  <c r="AH16" i="2"/>
  <c r="AW17" i="2"/>
  <c r="AX67" i="2"/>
  <c r="AA17" i="2"/>
  <c r="AA67" i="2"/>
  <c r="BA16" i="2"/>
  <c r="AE17" i="2"/>
  <c r="AE67" i="2"/>
  <c r="AC18" i="2"/>
  <c r="AC68" i="2"/>
  <c r="X75" i="2"/>
  <c r="X25" i="2"/>
  <c r="AV70" i="2"/>
  <c r="AU20" i="2"/>
  <c r="BA75" i="2"/>
  <c r="AZ25" i="2"/>
  <c r="AR72" i="2"/>
  <c r="AQ22" i="2"/>
  <c r="U70" i="2"/>
  <c r="U20" i="2"/>
  <c r="AT68" i="2"/>
  <c r="AS18" i="2"/>
  <c r="AG70" i="2"/>
  <c r="AG20" i="2"/>
  <c r="Y70" i="2"/>
  <c r="Y20" i="2"/>
  <c r="AU75" i="2"/>
  <c r="AT25" i="2"/>
  <c r="W70" i="2"/>
  <c r="W20" i="2"/>
  <c r="AD75" i="2"/>
  <c r="AD25" i="2"/>
  <c r="BA17" i="2" l="1"/>
  <c r="BB17" i="2"/>
  <c r="AO18" i="2"/>
  <c r="AP68" i="2"/>
  <c r="AZ69" i="2"/>
  <c r="AY19" i="2"/>
  <c r="X76" i="2"/>
  <c r="X26" i="2"/>
  <c r="AA68" i="2"/>
  <c r="AA18" i="2"/>
  <c r="AC69" i="2"/>
  <c r="AC19" i="2"/>
  <c r="AE68" i="2"/>
  <c r="AE18" i="2"/>
  <c r="AI17" i="2"/>
  <c r="AH17" i="2"/>
  <c r="AJ17" i="2"/>
  <c r="BC17" i="2"/>
  <c r="AW18" i="2"/>
  <c r="BC18" i="2" s="1"/>
  <c r="AX68" i="2"/>
  <c r="AT69" i="2"/>
  <c r="AS19" i="2"/>
  <c r="AD76" i="2"/>
  <c r="AD26" i="2"/>
  <c r="AV71" i="2"/>
  <c r="AU21" i="2"/>
  <c r="AU76" i="2"/>
  <c r="AT26" i="2"/>
  <c r="AG71" i="2"/>
  <c r="AG21" i="2"/>
  <c r="AR73" i="2"/>
  <c r="AQ23" i="2"/>
  <c r="W71" i="2"/>
  <c r="W21" i="2"/>
  <c r="Y71" i="2"/>
  <c r="Y21" i="2"/>
  <c r="U71" i="2"/>
  <c r="U21" i="2"/>
  <c r="BA76" i="2"/>
  <c r="AZ26" i="2"/>
  <c r="BB18" i="2" l="1"/>
  <c r="BA18" i="2"/>
  <c r="AZ70" i="2"/>
  <c r="AY20" i="2"/>
  <c r="AP69" i="2"/>
  <c r="AO19" i="2"/>
  <c r="AC20" i="2"/>
  <c r="AC70" i="2"/>
  <c r="AH18" i="2"/>
  <c r="AJ18" i="2"/>
  <c r="AI18" i="2"/>
  <c r="X77" i="2"/>
  <c r="X27" i="2"/>
  <c r="AX69" i="2"/>
  <c r="AW19" i="2"/>
  <c r="AE69" i="2"/>
  <c r="AE19" i="2"/>
  <c r="AA69" i="2"/>
  <c r="AA19" i="2"/>
  <c r="AQ24" i="2"/>
  <c r="AR74" i="2"/>
  <c r="AU77" i="2"/>
  <c r="AT27" i="2"/>
  <c r="U72" i="2"/>
  <c r="U22" i="2"/>
  <c r="BA77" i="2"/>
  <c r="AZ27" i="2"/>
  <c r="AD77" i="2"/>
  <c r="AD27" i="2"/>
  <c r="AG72" i="2"/>
  <c r="AG22" i="2"/>
  <c r="AV72" i="2"/>
  <c r="AU22" i="2"/>
  <c r="AT70" i="2"/>
  <c r="AS20" i="2"/>
  <c r="Y22" i="2"/>
  <c r="Y72" i="2"/>
  <c r="W72" i="2"/>
  <c r="W22" i="2"/>
  <c r="AO20" i="2" l="1"/>
  <c r="AP70" i="2"/>
  <c r="AY21" i="2"/>
  <c r="AZ71" i="2"/>
  <c r="AI19" i="2"/>
  <c r="AH19" i="2"/>
  <c r="AJ19" i="2"/>
  <c r="BC19" i="2"/>
  <c r="BA19" i="2"/>
  <c r="AC71" i="2"/>
  <c r="AC21" i="2"/>
  <c r="AA70" i="2"/>
  <c r="AA20" i="2"/>
  <c r="AX70" i="2"/>
  <c r="AW20" i="2"/>
  <c r="AE70" i="2"/>
  <c r="AE20" i="2"/>
  <c r="X78" i="2"/>
  <c r="X28" i="2"/>
  <c r="BB19" i="2"/>
  <c r="U73" i="2"/>
  <c r="U23" i="2"/>
  <c r="AD78" i="2"/>
  <c r="AD28" i="2"/>
  <c r="BA78" i="2"/>
  <c r="AZ28" i="2"/>
  <c r="AR75" i="2"/>
  <c r="AQ25" i="2"/>
  <c r="Y73" i="2"/>
  <c r="Y23" i="2"/>
  <c r="AT71" i="2"/>
  <c r="AS21" i="2"/>
  <c r="AG73" i="2"/>
  <c r="AG23" i="2"/>
  <c r="AU78" i="2"/>
  <c r="AT28" i="2"/>
  <c r="AV73" i="2"/>
  <c r="AU23" i="2"/>
  <c r="W73" i="2"/>
  <c r="W23" i="2"/>
  <c r="BA20" i="2" l="1"/>
  <c r="BB20" i="2"/>
  <c r="AZ72" i="2"/>
  <c r="AY22" i="2"/>
  <c r="AO21" i="2"/>
  <c r="AP71" i="2"/>
  <c r="X79" i="2"/>
  <c r="X29" i="2"/>
  <c r="BC20" i="2"/>
  <c r="AW21" i="2"/>
  <c r="AX71" i="2"/>
  <c r="AC22" i="2"/>
  <c r="AC72" i="2"/>
  <c r="AE21" i="2"/>
  <c r="AE71" i="2"/>
  <c r="AI20" i="2"/>
  <c r="AH20" i="2"/>
  <c r="AJ20" i="2"/>
  <c r="AA71" i="2"/>
  <c r="AA21" i="2"/>
  <c r="AU79" i="2"/>
  <c r="AT29" i="2"/>
  <c r="W74" i="2"/>
  <c r="W24" i="2"/>
  <c r="AT72" i="2"/>
  <c r="AS22" i="2"/>
  <c r="AR76" i="2"/>
  <c r="AQ26" i="2"/>
  <c r="AD79" i="2"/>
  <c r="AD29" i="2"/>
  <c r="U74" i="2"/>
  <c r="U24" i="2"/>
  <c r="AV74" i="2"/>
  <c r="AU24" i="2"/>
  <c r="AG74" i="2"/>
  <c r="AG24" i="2"/>
  <c r="Y74" i="2"/>
  <c r="Y24" i="2"/>
  <c r="BA79" i="2"/>
  <c r="AZ29" i="2"/>
  <c r="BB21" i="2" l="1"/>
  <c r="BA21" i="2"/>
  <c r="BC21" i="2"/>
  <c r="AP72" i="2"/>
  <c r="AO22" i="2"/>
  <c r="AY23" i="2"/>
  <c r="AZ73" i="2"/>
  <c r="AI21" i="2"/>
  <c r="AH21" i="2"/>
  <c r="AJ21" i="2"/>
  <c r="AC73" i="2"/>
  <c r="AC23" i="2"/>
  <c r="AA22" i="2"/>
  <c r="AA72" i="2"/>
  <c r="AE22" i="2"/>
  <c r="AE72" i="2"/>
  <c r="AX72" i="2"/>
  <c r="AW22" i="2"/>
  <c r="X80" i="2"/>
  <c r="X30" i="2"/>
  <c r="W75" i="2"/>
  <c r="W25" i="2"/>
  <c r="AG75" i="2"/>
  <c r="AG25" i="2"/>
  <c r="U75" i="2"/>
  <c r="U25" i="2"/>
  <c r="AR77" i="2"/>
  <c r="AQ27" i="2"/>
  <c r="Y75" i="2"/>
  <c r="Y25" i="2"/>
  <c r="AV75" i="2"/>
  <c r="AU25" i="2"/>
  <c r="AD80" i="2"/>
  <c r="AD30" i="2"/>
  <c r="AS23" i="2"/>
  <c r="AT73" i="2"/>
  <c r="BA80" i="2"/>
  <c r="AZ30" i="2"/>
  <c r="AU80" i="2"/>
  <c r="AT30" i="2"/>
  <c r="BB22" i="2" l="1"/>
  <c r="BC22" i="2"/>
  <c r="BA22" i="2"/>
  <c r="AP73" i="2"/>
  <c r="AO23" i="2"/>
  <c r="AZ74" i="2"/>
  <c r="AY24" i="2"/>
  <c r="AA73" i="2"/>
  <c r="AA23" i="2"/>
  <c r="AX73" i="2"/>
  <c r="AW23" i="2"/>
  <c r="AI22" i="2"/>
  <c r="AH22" i="2"/>
  <c r="AJ22" i="2"/>
  <c r="AE23" i="2"/>
  <c r="AE73" i="2"/>
  <c r="X81" i="2"/>
  <c r="X31" i="2"/>
  <c r="AC74" i="2"/>
  <c r="AC24" i="2"/>
  <c r="U76" i="2"/>
  <c r="U26" i="2"/>
  <c r="Y76" i="2"/>
  <c r="Y26" i="2"/>
  <c r="W76" i="2"/>
  <c r="W26" i="2"/>
  <c r="AT74" i="2"/>
  <c r="AS24" i="2"/>
  <c r="AU81" i="2"/>
  <c r="AT31" i="2"/>
  <c r="AR78" i="2"/>
  <c r="AQ28" i="2"/>
  <c r="AG76" i="2"/>
  <c r="AG26" i="2"/>
  <c r="BA81" i="2"/>
  <c r="AZ31" i="2"/>
  <c r="AD81" i="2"/>
  <c r="AD31" i="2"/>
  <c r="AV76" i="2"/>
  <c r="AU26" i="2"/>
  <c r="BB23" i="2" l="1"/>
  <c r="BA23" i="2"/>
  <c r="AO24" i="2"/>
  <c r="AP74" i="2"/>
  <c r="BC23" i="2"/>
  <c r="AY25" i="2"/>
  <c r="AZ75" i="2"/>
  <c r="X82" i="2"/>
  <c r="X32" i="2"/>
  <c r="AX74" i="2"/>
  <c r="AW24" i="2"/>
  <c r="AH23" i="2"/>
  <c r="AJ23" i="2"/>
  <c r="AI23" i="2"/>
  <c r="AC25" i="2"/>
  <c r="AC75" i="2"/>
  <c r="AE74" i="2"/>
  <c r="AE24" i="2"/>
  <c r="AA74" i="2"/>
  <c r="AA24" i="2"/>
  <c r="AT75" i="2"/>
  <c r="AS25" i="2"/>
  <c r="AD82" i="2"/>
  <c r="AD32" i="2"/>
  <c r="AR79" i="2"/>
  <c r="AQ29" i="2"/>
  <c r="Y77" i="2"/>
  <c r="Y27" i="2"/>
  <c r="BA82" i="2"/>
  <c r="AZ32" i="2"/>
  <c r="AU82" i="2"/>
  <c r="AT32" i="2"/>
  <c r="W77" i="2"/>
  <c r="W27" i="2"/>
  <c r="AV77" i="2"/>
  <c r="AU27" i="2"/>
  <c r="AG77" i="2"/>
  <c r="AG27" i="2"/>
  <c r="U77" i="2"/>
  <c r="U27" i="2"/>
  <c r="AP75" i="2" l="1"/>
  <c r="AO25" i="2"/>
  <c r="AZ76" i="2"/>
  <c r="AY26" i="2"/>
  <c r="AX75" i="2"/>
  <c r="AW25" i="2"/>
  <c r="AE25" i="2"/>
  <c r="AE75" i="2"/>
  <c r="AH24" i="2"/>
  <c r="AI24" i="2"/>
  <c r="AJ24" i="2"/>
  <c r="AC76" i="2"/>
  <c r="AC26" i="2"/>
  <c r="X83" i="2"/>
  <c r="X33" i="2"/>
  <c r="AA25" i="2"/>
  <c r="AA75" i="2"/>
  <c r="BB24" i="2"/>
  <c r="BC24" i="2"/>
  <c r="BA24" i="2"/>
  <c r="W78" i="2"/>
  <c r="W28" i="2"/>
  <c r="AT76" i="2"/>
  <c r="AS26" i="2"/>
  <c r="AU83" i="2"/>
  <c r="AT33" i="2"/>
  <c r="Y78" i="2"/>
  <c r="Y28" i="2"/>
  <c r="AD83" i="2"/>
  <c r="AD33" i="2"/>
  <c r="BA83" i="2"/>
  <c r="AZ33" i="2"/>
  <c r="AR80" i="2"/>
  <c r="AQ30" i="2"/>
  <c r="AG78" i="2"/>
  <c r="AG28" i="2"/>
  <c r="U78" i="2"/>
  <c r="U28" i="2"/>
  <c r="AV78" i="2"/>
  <c r="AU28" i="2"/>
  <c r="BB25" i="2" l="1"/>
  <c r="BC25" i="2"/>
  <c r="AZ77" i="2"/>
  <c r="AY27" i="2"/>
  <c r="AP76" i="2"/>
  <c r="AO26" i="2"/>
  <c r="X84" i="2"/>
  <c r="X34" i="2"/>
  <c r="BA25" i="2"/>
  <c r="AA26" i="2"/>
  <c r="AA76" i="2"/>
  <c r="AW26" i="2"/>
  <c r="AX76" i="2"/>
  <c r="AH25" i="2"/>
  <c r="AI25" i="2"/>
  <c r="AJ25" i="2"/>
  <c r="AC27" i="2"/>
  <c r="AC77" i="2"/>
  <c r="AE76" i="2"/>
  <c r="AE26" i="2"/>
  <c r="AV79" i="2"/>
  <c r="AU29" i="2"/>
  <c r="AR81" i="2"/>
  <c r="AQ31" i="2"/>
  <c r="AD84" i="2"/>
  <c r="AD34" i="2"/>
  <c r="AG79" i="2"/>
  <c r="AG29" i="2"/>
  <c r="AT77" i="2"/>
  <c r="AS27" i="2"/>
  <c r="W79" i="2"/>
  <c r="W29" i="2"/>
  <c r="U79" i="2"/>
  <c r="U29" i="2"/>
  <c r="BA84" i="2"/>
  <c r="AZ34" i="2"/>
  <c r="Y79" i="2"/>
  <c r="Y29" i="2"/>
  <c r="AU84" i="2"/>
  <c r="AT34" i="2"/>
  <c r="BC26" i="2" l="1"/>
  <c r="AO27" i="2"/>
  <c r="AP77" i="2"/>
  <c r="BA26" i="2"/>
  <c r="AY28" i="2"/>
  <c r="AZ78" i="2"/>
  <c r="AX77" i="2"/>
  <c r="AW27" i="2"/>
  <c r="BB26" i="2"/>
  <c r="AE77" i="2"/>
  <c r="AE27" i="2"/>
  <c r="AA77" i="2"/>
  <c r="AA27" i="2"/>
  <c r="AC78" i="2"/>
  <c r="AC28" i="2"/>
  <c r="AJ26" i="2"/>
  <c r="AI26" i="2"/>
  <c r="AH26" i="2"/>
  <c r="X85" i="2"/>
  <c r="X35" i="2"/>
  <c r="Y80" i="2"/>
  <c r="Y30" i="2"/>
  <c r="U80" i="2"/>
  <c r="U30" i="2"/>
  <c r="AG80" i="2"/>
  <c r="AG30" i="2"/>
  <c r="AR82" i="2"/>
  <c r="AQ32" i="2"/>
  <c r="AU85" i="2"/>
  <c r="AT35" i="2"/>
  <c r="BA85" i="2"/>
  <c r="AZ35" i="2"/>
  <c r="W80" i="2"/>
  <c r="W30" i="2"/>
  <c r="AT78" i="2"/>
  <c r="AS28" i="2"/>
  <c r="AD85" i="2"/>
  <c r="AD35" i="2"/>
  <c r="AV80" i="2"/>
  <c r="AU30" i="2"/>
  <c r="BA60" i="1"/>
  <c r="BA61" i="1" s="1"/>
  <c r="BA62" i="1" s="1"/>
  <c r="BA63" i="1" s="1"/>
  <c r="BA64" i="1" s="1"/>
  <c r="BA65" i="1" s="1"/>
  <c r="BA66" i="1" s="1"/>
  <c r="BA67" i="1" s="1"/>
  <c r="BA68" i="1" s="1"/>
  <c r="BA69" i="1" s="1"/>
  <c r="AZ60" i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Y60" i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X24" i="1" s="1"/>
  <c r="AX60" i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W60" i="1"/>
  <c r="AW61" i="1" s="1"/>
  <c r="AV60" i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U60" i="1"/>
  <c r="AU61" i="1" s="1"/>
  <c r="AU62" i="1" s="1"/>
  <c r="AU63" i="1" s="1"/>
  <c r="AU64" i="1" s="1"/>
  <c r="AU65" i="1" s="1"/>
  <c r="AU66" i="1" s="1"/>
  <c r="AU67" i="1" s="1"/>
  <c r="AU68" i="1" s="1"/>
  <c r="AT60" i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S60" i="1"/>
  <c r="AS61" i="1" s="1"/>
  <c r="AR60" i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Q60" i="1"/>
  <c r="AQ61" i="1" s="1"/>
  <c r="AQ62" i="1" s="1"/>
  <c r="AP60" i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O60" i="1"/>
  <c r="AO61" i="1" s="1"/>
  <c r="AG60" i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G72" i="1" s="1"/>
  <c r="AG73" i="1" s="1"/>
  <c r="AG74" i="1" s="1"/>
  <c r="AF60" i="1"/>
  <c r="AF61" i="1" s="1"/>
  <c r="AF62" i="1" s="1"/>
  <c r="AF63" i="1" s="1"/>
  <c r="AF64" i="1" s="1"/>
  <c r="AE60" i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D60" i="1"/>
  <c r="AD61" i="1" s="1"/>
  <c r="AD62" i="1" s="1"/>
  <c r="AD63" i="1" s="1"/>
  <c r="AD64" i="1" s="1"/>
  <c r="AD65" i="1" s="1"/>
  <c r="AD66" i="1" s="1"/>
  <c r="AD67" i="1" s="1"/>
  <c r="AD68" i="1" s="1"/>
  <c r="AD19" i="1" s="1"/>
  <c r="AC60" i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B60" i="1"/>
  <c r="AB61" i="1" s="1"/>
  <c r="AB62" i="1" s="1"/>
  <c r="AB63" i="1" s="1"/>
  <c r="AB64" i="1" s="1"/>
  <c r="AB65" i="1" s="1"/>
  <c r="AB66" i="1" s="1"/>
  <c r="AA60" i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Z60" i="1"/>
  <c r="Z61" i="1" s="1"/>
  <c r="Y60" i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X60" i="1"/>
  <c r="X61" i="1" s="1"/>
  <c r="X62" i="1" s="1"/>
  <c r="X63" i="1" s="1"/>
  <c r="X64" i="1" s="1"/>
  <c r="X65" i="1" s="1"/>
  <c r="X66" i="1" s="1"/>
  <c r="X67" i="1" s="1"/>
  <c r="X68" i="1" s="1"/>
  <c r="W60" i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V60" i="1"/>
  <c r="V61" i="1" s="1"/>
  <c r="U60" i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N52" i="1"/>
  <c r="AG52" i="1" s="1"/>
  <c r="AZ52" i="1" s="1"/>
  <c r="C52" i="1"/>
  <c r="V52" i="1" s="1"/>
  <c r="AO52" i="1" s="1"/>
  <c r="N51" i="1"/>
  <c r="AG51" i="1" s="1"/>
  <c r="AZ51" i="1" s="1"/>
  <c r="C51" i="1"/>
  <c r="V51" i="1" s="1"/>
  <c r="AO51" i="1" s="1"/>
  <c r="C46" i="1"/>
  <c r="V46" i="1" s="1"/>
  <c r="AO46" i="1" s="1"/>
  <c r="N45" i="1"/>
  <c r="AG45" i="1" s="1"/>
  <c r="AZ45" i="1" s="1"/>
  <c r="C45" i="1"/>
  <c r="V45" i="1" s="1"/>
  <c r="AO45" i="1" s="1"/>
  <c r="C44" i="1"/>
  <c r="V44" i="1" s="1"/>
  <c r="AO44" i="1" s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Q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Z11" i="1"/>
  <c r="AY11" i="1"/>
  <c r="AV11" i="1"/>
  <c r="AR11" i="1"/>
  <c r="AQ11" i="1"/>
  <c r="AN11" i="1"/>
  <c r="AD11" i="1"/>
  <c r="AC11" i="1"/>
  <c r="Z11" i="1"/>
  <c r="V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N9" i="1"/>
  <c r="M9" i="1"/>
  <c r="L9" i="1"/>
  <c r="K9" i="1"/>
  <c r="J9" i="1"/>
  <c r="I9" i="1"/>
  <c r="H9" i="1"/>
  <c r="G9" i="1"/>
  <c r="F9" i="1"/>
  <c r="E9" i="1"/>
  <c r="D9" i="1"/>
  <c r="C9" i="1"/>
  <c r="B9" i="1"/>
  <c r="M6" i="1"/>
  <c r="AF6" i="1" s="1"/>
  <c r="AY6" i="1" s="1"/>
  <c r="D4" i="1"/>
  <c r="W4" i="1" s="1"/>
  <c r="AP4" i="1" s="1"/>
  <c r="F1" i="1"/>
  <c r="Y1" i="1" s="1"/>
  <c r="AR1" i="1" s="1"/>
  <c r="AT18" i="1" l="1"/>
  <c r="AB11" i="1"/>
  <c r="AU13" i="1"/>
  <c r="AG11" i="1"/>
  <c r="AU11" i="1"/>
  <c r="AY13" i="1"/>
  <c r="U11" i="1"/>
  <c r="AU14" i="1"/>
  <c r="AB13" i="1"/>
  <c r="X14" i="1"/>
  <c r="Y11" i="1"/>
  <c r="AU16" i="1"/>
  <c r="X11" i="1"/>
  <c r="AT12" i="1"/>
  <c r="X15" i="1"/>
  <c r="AX11" i="1"/>
  <c r="X12" i="1"/>
  <c r="AX13" i="1"/>
  <c r="AT14" i="1"/>
  <c r="AT17" i="1"/>
  <c r="AT11" i="1"/>
  <c r="AB12" i="1"/>
  <c r="X13" i="1"/>
  <c r="X16" i="1"/>
  <c r="AP11" i="1"/>
  <c r="AF12" i="1"/>
  <c r="AX12" i="1"/>
  <c r="AF13" i="1"/>
  <c r="AB15" i="1"/>
  <c r="AW17" i="1"/>
  <c r="AF11" i="1"/>
  <c r="AP12" i="1"/>
  <c r="AT13" i="1"/>
  <c r="AX14" i="1"/>
  <c r="AX15" i="1"/>
  <c r="AX16" i="1"/>
  <c r="BB27" i="2"/>
  <c r="AB14" i="1"/>
  <c r="AT15" i="1"/>
  <c r="AB16" i="1"/>
  <c r="AF14" i="1"/>
  <c r="AT16" i="1"/>
  <c r="X17" i="1"/>
  <c r="X18" i="1"/>
  <c r="AA28" i="1"/>
  <c r="AA23" i="1"/>
  <c r="AS26" i="1"/>
  <c r="AO32" i="1"/>
  <c r="AO30" i="1"/>
  <c r="AW12" i="1"/>
  <c r="AA15" i="1"/>
  <c r="AE20" i="1"/>
  <c r="W22" i="1"/>
  <c r="AW23" i="1"/>
  <c r="AO25" i="1"/>
  <c r="W11" i="1"/>
  <c r="AA11" i="1"/>
  <c r="AE11" i="1"/>
  <c r="AO11" i="1"/>
  <c r="AS11" i="1"/>
  <c r="AW11" i="1"/>
  <c r="AE17" i="1"/>
  <c r="AA19" i="1"/>
  <c r="AS22" i="1"/>
  <c r="AE27" i="1"/>
  <c r="AW29" i="1"/>
  <c r="AO31" i="1"/>
  <c r="AW33" i="1"/>
  <c r="AO36" i="1"/>
  <c r="AS14" i="1"/>
  <c r="AS15" i="1"/>
  <c r="AA18" i="1"/>
  <c r="AW19" i="1"/>
  <c r="AO21" i="1"/>
  <c r="AE24" i="1"/>
  <c r="W26" i="1"/>
  <c r="W12" i="1"/>
  <c r="AE12" i="1"/>
  <c r="AA13" i="1"/>
  <c r="AO13" i="1"/>
  <c r="AW13" i="1"/>
  <c r="W14" i="1"/>
  <c r="AE14" i="1"/>
  <c r="W16" i="1"/>
  <c r="AE16" i="1"/>
  <c r="W17" i="1"/>
  <c r="AO17" i="1"/>
  <c r="AE18" i="1"/>
  <c r="AW18" i="1"/>
  <c r="AE19" i="1"/>
  <c r="AO20" i="1"/>
  <c r="W21" i="1"/>
  <c r="AS21" i="1"/>
  <c r="AA22" i="1"/>
  <c r="AW22" i="1"/>
  <c r="AE23" i="1"/>
  <c r="AO24" i="1"/>
  <c r="W25" i="1"/>
  <c r="AS25" i="1"/>
  <c r="AA26" i="1"/>
  <c r="AW26" i="1"/>
  <c r="AO27" i="1"/>
  <c r="AE28" i="1"/>
  <c r="AA29" i="1"/>
  <c r="AW30" i="1"/>
  <c r="AW31" i="1"/>
  <c r="AW32" i="1"/>
  <c r="AO35" i="1"/>
  <c r="AW36" i="1"/>
  <c r="AS12" i="1"/>
  <c r="AS13" i="1"/>
  <c r="W15" i="1"/>
  <c r="AE15" i="1"/>
  <c r="AW15" i="1"/>
  <c r="AO16" i="1"/>
  <c r="AW16" i="1"/>
  <c r="AS17" i="1"/>
  <c r="W18" i="1"/>
  <c r="AO18" i="1"/>
  <c r="AO19" i="1"/>
  <c r="W20" i="1"/>
  <c r="AS20" i="1"/>
  <c r="AA21" i="1"/>
  <c r="AW21" i="1"/>
  <c r="AE22" i="1"/>
  <c r="AO23" i="1"/>
  <c r="W24" i="1"/>
  <c r="AS24" i="1"/>
  <c r="AA25" i="1"/>
  <c r="AW25" i="1"/>
  <c r="AE26" i="1"/>
  <c r="AW27" i="1"/>
  <c r="AO28" i="1"/>
  <c r="AE29" i="1"/>
  <c r="AA30" i="1"/>
  <c r="AO34" i="1"/>
  <c r="AW35" i="1"/>
  <c r="AA12" i="1"/>
  <c r="AO12" i="1"/>
  <c r="W13" i="1"/>
  <c r="AE13" i="1"/>
  <c r="AA14" i="1"/>
  <c r="AO14" i="1"/>
  <c r="AW14" i="1"/>
  <c r="AO15" i="1"/>
  <c r="AA16" i="1"/>
  <c r="AS16" i="1"/>
  <c r="AA17" i="1"/>
  <c r="AS18" i="1"/>
  <c r="W19" i="1"/>
  <c r="AS19" i="1"/>
  <c r="AA20" i="1"/>
  <c r="AW20" i="1"/>
  <c r="AE21" i="1"/>
  <c r="AO22" i="1"/>
  <c r="W23" i="1"/>
  <c r="AS23" i="1"/>
  <c r="AA24" i="1"/>
  <c r="AW24" i="1"/>
  <c r="AE25" i="1"/>
  <c r="AO26" i="1"/>
  <c r="AA27" i="1"/>
  <c r="AW28" i="1"/>
  <c r="AO29" i="1"/>
  <c r="AE30" i="1"/>
  <c r="AA31" i="1"/>
  <c r="AA32" i="1"/>
  <c r="AO33" i="1"/>
  <c r="AW34" i="1"/>
  <c r="AW37" i="1"/>
  <c r="AW62" i="1"/>
  <c r="AV12" i="1"/>
  <c r="Z62" i="1"/>
  <c r="Z12" i="1"/>
  <c r="AQ13" i="1"/>
  <c r="AQ14" i="1"/>
  <c r="AY15" i="1"/>
  <c r="AQ16" i="1"/>
  <c r="AU17" i="1"/>
  <c r="AU18" i="1"/>
  <c r="AQ19" i="1"/>
  <c r="AY19" i="1"/>
  <c r="AU20" i="1"/>
  <c r="AQ21" i="1"/>
  <c r="AY21" i="1"/>
  <c r="AU22" i="1"/>
  <c r="AQ23" i="1"/>
  <c r="AY23" i="1"/>
  <c r="AU15" i="1"/>
  <c r="AQ17" i="1"/>
  <c r="AQ18" i="1"/>
  <c r="AG24" i="1"/>
  <c r="AP78" i="2"/>
  <c r="AO28" i="2"/>
  <c r="AU12" i="1"/>
  <c r="AY12" i="1"/>
  <c r="AY14" i="1"/>
  <c r="AQ15" i="1"/>
  <c r="AY16" i="1"/>
  <c r="AY17" i="1"/>
  <c r="AY18" i="1"/>
  <c r="AU19" i="1"/>
  <c r="AQ20" i="1"/>
  <c r="AY20" i="1"/>
  <c r="AU21" i="1"/>
  <c r="AQ22" i="1"/>
  <c r="AY22" i="1"/>
  <c r="AU23" i="1"/>
  <c r="AZ79" i="2"/>
  <c r="AY29" i="2"/>
  <c r="AQ63" i="1"/>
  <c r="AP13" i="1"/>
  <c r="V62" i="1"/>
  <c r="V12" i="1"/>
  <c r="AO62" i="1"/>
  <c r="AN12" i="1"/>
  <c r="AS62" i="1"/>
  <c r="AR12" i="1"/>
  <c r="AP87" i="1"/>
  <c r="AO37" i="1"/>
  <c r="AT81" i="1"/>
  <c r="AS31" i="1"/>
  <c r="AE78" i="2"/>
  <c r="AE28" i="2"/>
  <c r="AJ27" i="2"/>
  <c r="AI27" i="2"/>
  <c r="AH27" i="2"/>
  <c r="X36" i="2"/>
  <c r="X86" i="2"/>
  <c r="X87" i="2" s="1"/>
  <c r="X88" i="2" s="1"/>
  <c r="AA28" i="2"/>
  <c r="AA78" i="2"/>
  <c r="BC27" i="2"/>
  <c r="BA27" i="2"/>
  <c r="AC79" i="2"/>
  <c r="AC29" i="2"/>
  <c r="AW28" i="2"/>
  <c r="AX78" i="2"/>
  <c r="AG81" i="2"/>
  <c r="AG31" i="2"/>
  <c r="U81" i="2"/>
  <c r="U31" i="2"/>
  <c r="AT79" i="2"/>
  <c r="AS29" i="2"/>
  <c r="W81" i="2"/>
  <c r="W31" i="2"/>
  <c r="AU86" i="2"/>
  <c r="AU87" i="2" s="1"/>
  <c r="AU88" i="2" s="1"/>
  <c r="AT36" i="2"/>
  <c r="AR83" i="2"/>
  <c r="AQ33" i="2"/>
  <c r="Y81" i="2"/>
  <c r="Y31" i="2"/>
  <c r="AV81" i="2"/>
  <c r="AU31" i="2"/>
  <c r="AD86" i="2"/>
  <c r="AD87" i="2" s="1"/>
  <c r="AD88" i="2" s="1"/>
  <c r="AD36" i="2"/>
  <c r="BA86" i="2"/>
  <c r="BA87" i="2" s="1"/>
  <c r="BA88" i="2" s="1"/>
  <c r="AZ36" i="2"/>
  <c r="I41" i="1"/>
  <c r="AJ9" i="1"/>
  <c r="BB10" i="1"/>
  <c r="O11" i="1"/>
  <c r="P12" i="1"/>
  <c r="O13" i="1"/>
  <c r="Q16" i="1"/>
  <c r="Q18" i="1"/>
  <c r="P19" i="1"/>
  <c r="O26" i="1"/>
  <c r="O28" i="1"/>
  <c r="Q29" i="1"/>
  <c r="O32" i="1"/>
  <c r="O34" i="1"/>
  <c r="O35" i="1"/>
  <c r="O10" i="1"/>
  <c r="P11" i="1"/>
  <c r="P13" i="1"/>
  <c r="O14" i="1"/>
  <c r="O17" i="1"/>
  <c r="Q19" i="1"/>
  <c r="O21" i="1"/>
  <c r="P22" i="1"/>
  <c r="O23" i="1"/>
  <c r="O24" i="1"/>
  <c r="O25" i="1"/>
  <c r="O29" i="1"/>
  <c r="Q30" i="1"/>
  <c r="O33" i="1"/>
  <c r="Q38" i="1"/>
  <c r="Q10" i="1"/>
  <c r="AH10" i="1"/>
  <c r="P14" i="1"/>
  <c r="O15" i="1"/>
  <c r="O16" i="1"/>
  <c r="P17" i="1"/>
  <c r="O18" i="1"/>
  <c r="O20" i="1"/>
  <c r="P21" i="1"/>
  <c r="Q22" i="1"/>
  <c r="P23" i="1"/>
  <c r="P24" i="1"/>
  <c r="Q27" i="1"/>
  <c r="O30" i="1"/>
  <c r="Q31" i="1"/>
  <c r="Q36" i="1"/>
  <c r="O38" i="1"/>
  <c r="Q15" i="1"/>
  <c r="Q20" i="1"/>
  <c r="O22" i="1"/>
  <c r="AJ10" i="1"/>
  <c r="BA10" i="1"/>
  <c r="O12" i="1"/>
  <c r="P15" i="1"/>
  <c r="P16" i="1"/>
  <c r="Q17" i="1"/>
  <c r="P18" i="1"/>
  <c r="O19" i="1"/>
  <c r="P20" i="1"/>
  <c r="Q21" i="1"/>
  <c r="Q23" i="1"/>
  <c r="Q24" i="1"/>
  <c r="O27" i="1"/>
  <c r="Q28" i="1"/>
  <c r="O31" i="1"/>
  <c r="Q34" i="1"/>
  <c r="O36" i="1"/>
  <c r="O37" i="1"/>
  <c r="X69" i="1"/>
  <c r="X19" i="1"/>
  <c r="AB67" i="1"/>
  <c r="AB17" i="1"/>
  <c r="AF65" i="1"/>
  <c r="AF15" i="1"/>
  <c r="AU69" i="1"/>
  <c r="AT19" i="1"/>
  <c r="BA70" i="1"/>
  <c r="AZ20" i="1"/>
  <c r="D42" i="1"/>
  <c r="D41" i="1"/>
  <c r="D40" i="1"/>
  <c r="L42" i="1"/>
  <c r="L41" i="1"/>
  <c r="L40" i="1"/>
  <c r="P9" i="1"/>
  <c r="BB9" i="1"/>
  <c r="AI10" i="1"/>
  <c r="BC9" i="1"/>
  <c r="Q39" i="1"/>
  <c r="I40" i="1"/>
  <c r="Y75" i="1"/>
  <c r="Y25" i="1"/>
  <c r="AG75" i="1"/>
  <c r="AG25" i="1"/>
  <c r="AR74" i="1"/>
  <c r="AQ24" i="1"/>
  <c r="AV74" i="1"/>
  <c r="AU24" i="1"/>
  <c r="AZ74" i="1"/>
  <c r="AY24" i="1"/>
  <c r="AD69" i="1"/>
  <c r="B42" i="1"/>
  <c r="B41" i="1"/>
  <c r="B40" i="1"/>
  <c r="F42" i="1"/>
  <c r="F41" i="1"/>
  <c r="F40" i="1"/>
  <c r="J42" i="1"/>
  <c r="J41" i="1"/>
  <c r="J40" i="1"/>
  <c r="N42" i="1"/>
  <c r="N41" i="1"/>
  <c r="N40" i="1"/>
  <c r="U12" i="1"/>
  <c r="Y12" i="1"/>
  <c r="AC12" i="1"/>
  <c r="AG12" i="1"/>
  <c r="AZ12" i="1"/>
  <c r="U13" i="1"/>
  <c r="Y13" i="1"/>
  <c r="AC13" i="1"/>
  <c r="AG13" i="1"/>
  <c r="AZ13" i="1"/>
  <c r="U14" i="1"/>
  <c r="Y14" i="1"/>
  <c r="AC14" i="1"/>
  <c r="AG14" i="1"/>
  <c r="AZ14" i="1"/>
  <c r="U15" i="1"/>
  <c r="Y15" i="1"/>
  <c r="AC15" i="1"/>
  <c r="AG15" i="1"/>
  <c r="AZ15" i="1"/>
  <c r="U16" i="1"/>
  <c r="Y16" i="1"/>
  <c r="AC16" i="1"/>
  <c r="AG16" i="1"/>
  <c r="AZ16" i="1"/>
  <c r="U17" i="1"/>
  <c r="Y17" i="1"/>
  <c r="AC17" i="1"/>
  <c r="AG17" i="1"/>
  <c r="AZ17" i="1"/>
  <c r="U18" i="1"/>
  <c r="Y18" i="1"/>
  <c r="AC18" i="1"/>
  <c r="AG18" i="1"/>
  <c r="AZ18" i="1"/>
  <c r="U19" i="1"/>
  <c r="Y19" i="1"/>
  <c r="AC19" i="1"/>
  <c r="AG19" i="1"/>
  <c r="AZ19" i="1"/>
  <c r="U20" i="1"/>
  <c r="Y20" i="1"/>
  <c r="AC20" i="1"/>
  <c r="AG20" i="1"/>
  <c r="U21" i="1"/>
  <c r="Y21" i="1"/>
  <c r="AC21" i="1"/>
  <c r="AG21" i="1"/>
  <c r="U22" i="1"/>
  <c r="Y22" i="1"/>
  <c r="AC22" i="1"/>
  <c r="AG22" i="1"/>
  <c r="U23" i="1"/>
  <c r="Y23" i="1"/>
  <c r="AC23" i="1"/>
  <c r="AG23" i="1"/>
  <c r="U24" i="1"/>
  <c r="Y24" i="1"/>
  <c r="AC24" i="1"/>
  <c r="AS27" i="1"/>
  <c r="AS28" i="1"/>
  <c r="AS29" i="1"/>
  <c r="AS30" i="1"/>
  <c r="AY74" i="1"/>
  <c r="H42" i="1"/>
  <c r="H41" i="1"/>
  <c r="H40" i="1"/>
  <c r="P10" i="1"/>
  <c r="E42" i="1"/>
  <c r="E41" i="1"/>
  <c r="E40" i="1"/>
  <c r="M42" i="1"/>
  <c r="M41" i="1"/>
  <c r="M40" i="1"/>
  <c r="Q9" i="1"/>
  <c r="BC10" i="1"/>
  <c r="Q11" i="1"/>
  <c r="Q12" i="1"/>
  <c r="Q13" i="1"/>
  <c r="Q14" i="1"/>
  <c r="U75" i="1"/>
  <c r="U25" i="1"/>
  <c r="AC75" i="1"/>
  <c r="AC25" i="1"/>
  <c r="C42" i="1"/>
  <c r="C41" i="1"/>
  <c r="C40" i="1"/>
  <c r="G42" i="1"/>
  <c r="G41" i="1"/>
  <c r="G40" i="1"/>
  <c r="K42" i="1"/>
  <c r="K41" i="1"/>
  <c r="K40" i="1"/>
  <c r="O9" i="1"/>
  <c r="AH9" i="1"/>
  <c r="BA9" i="1"/>
  <c r="AD12" i="1"/>
  <c r="AD13" i="1"/>
  <c r="AD14" i="1"/>
  <c r="AD15" i="1"/>
  <c r="AD16" i="1"/>
  <c r="AD17" i="1"/>
  <c r="AD18" i="1"/>
  <c r="Q25" i="1"/>
  <c r="Q33" i="1"/>
  <c r="Q35" i="1"/>
  <c r="Q37" i="1"/>
  <c r="I42" i="1"/>
  <c r="W77" i="1"/>
  <c r="W27" i="1"/>
  <c r="AA83" i="1"/>
  <c r="AA33" i="1"/>
  <c r="AE81" i="1"/>
  <c r="AE31" i="1"/>
  <c r="AX88" i="1"/>
  <c r="AW39" i="1" s="1"/>
  <c r="AW38" i="1"/>
  <c r="AI9" i="1"/>
  <c r="AX17" i="1"/>
  <c r="AX18" i="1"/>
  <c r="AX19" i="1"/>
  <c r="AX20" i="1"/>
  <c r="AX21" i="1"/>
  <c r="AX22" i="1"/>
  <c r="AX23" i="1"/>
  <c r="Q26" i="1"/>
  <c r="Q32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O39" i="1"/>
  <c r="BC11" i="1" l="1"/>
  <c r="BA11" i="1"/>
  <c r="AH11" i="1"/>
  <c r="BB11" i="1"/>
  <c r="AJ11" i="1"/>
  <c r="AI11" i="1"/>
  <c r="AZ80" i="2"/>
  <c r="AY30" i="2"/>
  <c r="AP79" i="2"/>
  <c r="AO29" i="2"/>
  <c r="Z63" i="1"/>
  <c r="Z13" i="1"/>
  <c r="BC12" i="1"/>
  <c r="BC28" i="2"/>
  <c r="AW63" i="1"/>
  <c r="AV13" i="1"/>
  <c r="AX79" i="2"/>
  <c r="AW29" i="2"/>
  <c r="X41" i="2"/>
  <c r="X40" i="2"/>
  <c r="X42" i="2"/>
  <c r="AP88" i="1"/>
  <c r="AO39" i="1" s="1"/>
  <c r="AO38" i="1"/>
  <c r="AO63" i="1"/>
  <c r="AN13" i="1"/>
  <c r="AA79" i="2"/>
  <c r="AA29" i="2"/>
  <c r="AE29" i="2"/>
  <c r="AE79" i="2"/>
  <c r="BA28" i="2"/>
  <c r="BB28" i="2"/>
  <c r="AC80" i="2"/>
  <c r="AC30" i="2"/>
  <c r="AI28" i="2"/>
  <c r="AH28" i="2"/>
  <c r="AJ28" i="2"/>
  <c r="AT82" i="1"/>
  <c r="AS32" i="1"/>
  <c r="AS63" i="1"/>
  <c r="AR13" i="1"/>
  <c r="V63" i="1"/>
  <c r="V13" i="1"/>
  <c r="AQ64" i="1"/>
  <c r="AP14" i="1"/>
  <c r="AD41" i="2"/>
  <c r="AD40" i="2"/>
  <c r="AD42" i="2"/>
  <c r="AS30" i="2"/>
  <c r="AT80" i="2"/>
  <c r="AG82" i="2"/>
  <c r="AG32" i="2"/>
  <c r="AT41" i="2"/>
  <c r="AT40" i="2"/>
  <c r="AT42" i="2"/>
  <c r="Y82" i="2"/>
  <c r="Y32" i="2"/>
  <c r="AQ34" i="2"/>
  <c r="AR84" i="2"/>
  <c r="AV82" i="2"/>
  <c r="AU32" i="2"/>
  <c r="AZ42" i="2"/>
  <c r="AZ40" i="2"/>
  <c r="AZ41" i="2"/>
  <c r="W82" i="2"/>
  <c r="W32" i="2"/>
  <c r="U82" i="2"/>
  <c r="U32" i="2"/>
  <c r="AW42" i="1"/>
  <c r="BB12" i="1"/>
  <c r="BA12" i="1"/>
  <c r="AW40" i="1"/>
  <c r="AW41" i="1"/>
  <c r="AZ75" i="1"/>
  <c r="AY25" i="1"/>
  <c r="AR75" i="1"/>
  <c r="AQ25" i="1"/>
  <c r="Y76" i="1"/>
  <c r="Y26" i="1"/>
  <c r="AC76" i="1"/>
  <c r="AC26" i="1"/>
  <c r="P42" i="1"/>
  <c r="P41" i="1"/>
  <c r="P40" i="1"/>
  <c r="BA71" i="1"/>
  <c r="AZ21" i="1"/>
  <c r="AU70" i="1"/>
  <c r="AT20" i="1"/>
  <c r="AB68" i="1"/>
  <c r="AB18" i="1"/>
  <c r="O42" i="1"/>
  <c r="O41" i="1"/>
  <c r="O40" i="1"/>
  <c r="AG76" i="1"/>
  <c r="AG26" i="1"/>
  <c r="AE82" i="1"/>
  <c r="AE32" i="1"/>
  <c r="W78" i="1"/>
  <c r="W28" i="1"/>
  <c r="AA84" i="1"/>
  <c r="AA34" i="1"/>
  <c r="AD70" i="1"/>
  <c r="AD20" i="1"/>
  <c r="AV75" i="1"/>
  <c r="AU25" i="1"/>
  <c r="U76" i="1"/>
  <c r="U26" i="1"/>
  <c r="Q42" i="1"/>
  <c r="Q41" i="1"/>
  <c r="Q40" i="1"/>
  <c r="AY75" i="1"/>
  <c r="AX25" i="1"/>
  <c r="AI12" i="1"/>
  <c r="AH12" i="1"/>
  <c r="AJ12" i="1"/>
  <c r="AF66" i="1"/>
  <c r="AF16" i="1"/>
  <c r="X70" i="1"/>
  <c r="X20" i="1"/>
  <c r="BB29" i="2" l="1"/>
  <c r="BB13" i="1"/>
  <c r="AJ13" i="1"/>
  <c r="BA29" i="2"/>
  <c r="BC29" i="2"/>
  <c r="AH13" i="1"/>
  <c r="AI13" i="1"/>
  <c r="BA13" i="1"/>
  <c r="AW64" i="1"/>
  <c r="AV14" i="1"/>
  <c r="Z64" i="1"/>
  <c r="Z14" i="1"/>
  <c r="AY31" i="2"/>
  <c r="AZ81" i="2"/>
  <c r="BC13" i="1"/>
  <c r="AO30" i="2"/>
  <c r="AP80" i="2"/>
  <c r="AE80" i="2"/>
  <c r="AE30" i="2"/>
  <c r="AO64" i="1"/>
  <c r="AN14" i="1"/>
  <c r="V64" i="1"/>
  <c r="V14" i="1"/>
  <c r="AT83" i="1"/>
  <c r="AS33" i="1"/>
  <c r="AO42" i="1"/>
  <c r="AO41" i="1"/>
  <c r="AO40" i="1"/>
  <c r="AC31" i="2"/>
  <c r="AC81" i="2"/>
  <c r="AH29" i="2"/>
  <c r="AJ29" i="2"/>
  <c r="AI29" i="2"/>
  <c r="AX80" i="2"/>
  <c r="AW30" i="2"/>
  <c r="AQ65" i="1"/>
  <c r="AP15" i="1"/>
  <c r="AS64" i="1"/>
  <c r="AR14" i="1"/>
  <c r="AA80" i="2"/>
  <c r="AA30" i="2"/>
  <c r="U83" i="2"/>
  <c r="U33" i="2"/>
  <c r="W83" i="2"/>
  <c r="W33" i="2"/>
  <c r="AU33" i="2"/>
  <c r="AV83" i="2"/>
  <c r="Y33" i="2"/>
  <c r="Y83" i="2"/>
  <c r="AT81" i="2"/>
  <c r="AS31" i="2"/>
  <c r="AQ35" i="2"/>
  <c r="AR85" i="2"/>
  <c r="AG83" i="2"/>
  <c r="AG33" i="2"/>
  <c r="AD71" i="1"/>
  <c r="AD21" i="1"/>
  <c r="AB69" i="1"/>
  <c r="AB19" i="1"/>
  <c r="X71" i="1"/>
  <c r="X21" i="1"/>
  <c r="U77" i="1"/>
  <c r="U27" i="1"/>
  <c r="AA85" i="1"/>
  <c r="AA35" i="1"/>
  <c r="W79" i="1"/>
  <c r="W29" i="1"/>
  <c r="AR76" i="1"/>
  <c r="AQ26" i="1"/>
  <c r="AV76" i="1"/>
  <c r="AU26" i="1"/>
  <c r="AU71" i="1"/>
  <c r="AT21" i="1"/>
  <c r="BA72" i="1"/>
  <c r="AZ22" i="1"/>
  <c r="AE83" i="1"/>
  <c r="AE33" i="1"/>
  <c r="Y77" i="1"/>
  <c r="Y27" i="1"/>
  <c r="AZ76" i="1"/>
  <c r="AY26" i="1"/>
  <c r="AF67" i="1"/>
  <c r="AF17" i="1"/>
  <c r="AY76" i="1"/>
  <c r="AX26" i="1"/>
  <c r="AG77" i="1"/>
  <c r="AG27" i="1"/>
  <c r="AC27" i="1"/>
  <c r="AC77" i="1"/>
  <c r="AY32" i="2" l="1"/>
  <c r="AZ82" i="2"/>
  <c r="AV15" i="1"/>
  <c r="AW65" i="1"/>
  <c r="AO31" i="2"/>
  <c r="AP81" i="2"/>
  <c r="Z65" i="1"/>
  <c r="Z15" i="1"/>
  <c r="BC30" i="2"/>
  <c r="BA30" i="2"/>
  <c r="AS65" i="1"/>
  <c r="AR15" i="1"/>
  <c r="AW31" i="2"/>
  <c r="AX81" i="2"/>
  <c r="AT84" i="1"/>
  <c r="AS34" i="1"/>
  <c r="AE81" i="2"/>
  <c r="AE31" i="2"/>
  <c r="AH30" i="2"/>
  <c r="AJ30" i="2"/>
  <c r="AI30" i="2"/>
  <c r="AI14" i="1"/>
  <c r="AH14" i="1"/>
  <c r="AJ14" i="1"/>
  <c r="BB14" i="1"/>
  <c r="BC14" i="1"/>
  <c r="BA14" i="1"/>
  <c r="AA81" i="2"/>
  <c r="AA31" i="2"/>
  <c r="AQ66" i="1"/>
  <c r="AP16" i="1"/>
  <c r="AC82" i="2"/>
  <c r="AC32" i="2"/>
  <c r="V15" i="1"/>
  <c r="V65" i="1"/>
  <c r="AN15" i="1"/>
  <c r="AO65" i="1"/>
  <c r="BB30" i="2"/>
  <c r="AR86" i="2"/>
  <c r="AR87" i="2" s="1"/>
  <c r="AR88" i="2" s="1"/>
  <c r="AQ36" i="2"/>
  <c r="U84" i="2"/>
  <c r="U34" i="2"/>
  <c r="AT82" i="2"/>
  <c r="AS32" i="2"/>
  <c r="W84" i="2"/>
  <c r="W34" i="2"/>
  <c r="AV84" i="2"/>
  <c r="AU34" i="2"/>
  <c r="AG84" i="2"/>
  <c r="AG34" i="2"/>
  <c r="Y84" i="2"/>
  <c r="Y34" i="2"/>
  <c r="BA73" i="1"/>
  <c r="AZ23" i="1"/>
  <c r="AC78" i="1"/>
  <c r="AC28" i="1"/>
  <c r="AG78" i="1"/>
  <c r="AG28" i="1"/>
  <c r="AY77" i="1"/>
  <c r="AX27" i="1"/>
  <c r="Y78" i="1"/>
  <c r="Y28" i="1"/>
  <c r="AV77" i="1"/>
  <c r="AU27" i="1"/>
  <c r="X72" i="1"/>
  <c r="X22" i="1"/>
  <c r="AU72" i="1"/>
  <c r="AT22" i="1"/>
  <c r="AF68" i="1"/>
  <c r="AF18" i="1"/>
  <c r="AZ77" i="1"/>
  <c r="AY27" i="1"/>
  <c r="AE84" i="1"/>
  <c r="AE34" i="1"/>
  <c r="AR77" i="1"/>
  <c r="AQ27" i="1"/>
  <c r="AA86" i="1"/>
  <c r="AA36" i="1"/>
  <c r="U78" i="1"/>
  <c r="U28" i="1"/>
  <c r="AB70" i="1"/>
  <c r="AB20" i="1"/>
  <c r="W80" i="1"/>
  <c r="W30" i="1"/>
  <c r="AD72" i="1"/>
  <c r="AD22" i="1"/>
  <c r="BA31" i="2" l="1"/>
  <c r="BB31" i="2"/>
  <c r="AO32" i="2"/>
  <c r="AP82" i="2"/>
  <c r="AZ83" i="2"/>
  <c r="AY33" i="2"/>
  <c r="Z66" i="1"/>
  <c r="Z16" i="1"/>
  <c r="AV16" i="1"/>
  <c r="AW66" i="1"/>
  <c r="BA15" i="1"/>
  <c r="BB15" i="1"/>
  <c r="BC15" i="1"/>
  <c r="AC83" i="2"/>
  <c r="AC33" i="2"/>
  <c r="AQ67" i="1"/>
  <c r="AP17" i="1"/>
  <c r="V66" i="1"/>
  <c r="V16" i="1"/>
  <c r="AI31" i="2"/>
  <c r="AH31" i="2"/>
  <c r="AJ31" i="2"/>
  <c r="AI15" i="1"/>
  <c r="AH15" i="1"/>
  <c r="AJ15" i="1"/>
  <c r="AA82" i="2"/>
  <c r="AA32" i="2"/>
  <c r="AE82" i="2"/>
  <c r="AE32" i="2"/>
  <c r="AT85" i="1"/>
  <c r="AS35" i="1"/>
  <c r="AS66" i="1"/>
  <c r="AR16" i="1"/>
  <c r="AO66" i="1"/>
  <c r="AN16" i="1"/>
  <c r="BC31" i="2"/>
  <c r="AX82" i="2"/>
  <c r="AW32" i="2"/>
  <c r="W85" i="2"/>
  <c r="W35" i="2"/>
  <c r="AV85" i="2"/>
  <c r="AU35" i="2"/>
  <c r="AT83" i="2"/>
  <c r="AS33" i="2"/>
  <c r="AQ40" i="2"/>
  <c r="AQ42" i="2"/>
  <c r="AQ41" i="2"/>
  <c r="Y85" i="2"/>
  <c r="Y35" i="2"/>
  <c r="AG85" i="2"/>
  <c r="AG35" i="2"/>
  <c r="U85" i="2"/>
  <c r="U35" i="2"/>
  <c r="AZ78" i="1"/>
  <c r="AY28" i="1"/>
  <c r="X73" i="1"/>
  <c r="X23" i="1"/>
  <c r="Y29" i="1"/>
  <c r="Y79" i="1"/>
  <c r="AR78" i="1"/>
  <c r="AQ28" i="1"/>
  <c r="AG79" i="1"/>
  <c r="AG29" i="1"/>
  <c r="W81" i="1"/>
  <c r="W31" i="1"/>
  <c r="AB71" i="1"/>
  <c r="AB21" i="1"/>
  <c r="U79" i="1"/>
  <c r="U29" i="1"/>
  <c r="AE85" i="1"/>
  <c r="AE35" i="1"/>
  <c r="AF69" i="1"/>
  <c r="AF19" i="1"/>
  <c r="AV78" i="1"/>
  <c r="AU28" i="1"/>
  <c r="BA74" i="1"/>
  <c r="AZ24" i="1"/>
  <c r="AU73" i="1"/>
  <c r="AT23" i="1"/>
  <c r="AY78" i="1"/>
  <c r="AX28" i="1"/>
  <c r="AA87" i="1"/>
  <c r="AA37" i="1"/>
  <c r="AC79" i="1"/>
  <c r="AC29" i="1"/>
  <c r="AD73" i="1"/>
  <c r="AD23" i="1"/>
  <c r="BB32" i="2" l="1"/>
  <c r="BC32" i="2"/>
  <c r="BA32" i="2"/>
  <c r="AY34" i="2"/>
  <c r="AZ84" i="2"/>
  <c r="Z67" i="1"/>
  <c r="Z17" i="1"/>
  <c r="AP83" i="2"/>
  <c r="AO33" i="2"/>
  <c r="AV17" i="1"/>
  <c r="AW67" i="1"/>
  <c r="AN17" i="1"/>
  <c r="AO67" i="1"/>
  <c r="AJ32" i="2"/>
  <c r="AI32" i="2"/>
  <c r="AH32" i="2"/>
  <c r="V67" i="1"/>
  <c r="V17" i="1"/>
  <c r="AX83" i="2"/>
  <c r="AW33" i="2"/>
  <c r="AT86" i="1"/>
  <c r="AS36" i="1"/>
  <c r="AA83" i="2"/>
  <c r="AA33" i="2"/>
  <c r="AQ68" i="1"/>
  <c r="AP18" i="1"/>
  <c r="BB16" i="1"/>
  <c r="BA16" i="1"/>
  <c r="BC16" i="1"/>
  <c r="AS67" i="1"/>
  <c r="AR17" i="1"/>
  <c r="AE33" i="2"/>
  <c r="AE83" i="2"/>
  <c r="AH16" i="1"/>
  <c r="AJ16" i="1"/>
  <c r="AI16" i="1"/>
  <c r="AC84" i="2"/>
  <c r="AC34" i="2"/>
  <c r="Y86" i="2"/>
  <c r="Y87" i="2" s="1"/>
  <c r="Y88" i="2" s="1"/>
  <c r="Y36" i="2"/>
  <c r="AT84" i="2"/>
  <c r="AS34" i="2"/>
  <c r="AG86" i="2"/>
  <c r="AG87" i="2" s="1"/>
  <c r="AG88" i="2" s="1"/>
  <c r="AG36" i="2"/>
  <c r="U86" i="2"/>
  <c r="U87" i="2" s="1"/>
  <c r="U88" i="2" s="1"/>
  <c r="U36" i="2"/>
  <c r="AV86" i="2"/>
  <c r="AV87" i="2" s="1"/>
  <c r="AV88" i="2" s="1"/>
  <c r="AU36" i="2"/>
  <c r="W86" i="2"/>
  <c r="W87" i="2" s="1"/>
  <c r="W88" i="2" s="1"/>
  <c r="W36" i="2"/>
  <c r="AD74" i="1"/>
  <c r="AD24" i="1"/>
  <c r="AC80" i="1"/>
  <c r="AC30" i="1"/>
  <c r="AB72" i="1"/>
  <c r="AB22" i="1"/>
  <c r="Y80" i="1"/>
  <c r="Y30" i="1"/>
  <c r="BA75" i="1"/>
  <c r="AZ25" i="1"/>
  <c r="AZ79" i="1"/>
  <c r="AY29" i="1"/>
  <c r="AA88" i="1"/>
  <c r="AA39" i="1" s="1"/>
  <c r="AA38" i="1"/>
  <c r="AF70" i="1"/>
  <c r="AF20" i="1"/>
  <c r="U80" i="1"/>
  <c r="U30" i="1"/>
  <c r="AG80" i="1"/>
  <c r="AG30" i="1"/>
  <c r="AU74" i="1"/>
  <c r="AT24" i="1"/>
  <c r="X74" i="1"/>
  <c r="X24" i="1"/>
  <c r="W82" i="1"/>
  <c r="W32" i="1"/>
  <c r="AR79" i="1"/>
  <c r="AQ29" i="1"/>
  <c r="AU29" i="1"/>
  <c r="AV79" i="1"/>
  <c r="AE86" i="1"/>
  <c r="AE36" i="1"/>
  <c r="AY79" i="1"/>
  <c r="AX29" i="1"/>
  <c r="BA33" i="2" l="1"/>
  <c r="BB33" i="2"/>
  <c r="AV18" i="1"/>
  <c r="AW68" i="1"/>
  <c r="Z68" i="1"/>
  <c r="Z18" i="1"/>
  <c r="AY35" i="2"/>
  <c r="AZ85" i="2"/>
  <c r="BC33" i="2"/>
  <c r="AP84" i="2"/>
  <c r="AO34" i="2"/>
  <c r="AQ69" i="1"/>
  <c r="AP19" i="1"/>
  <c r="AI17" i="1"/>
  <c r="AH17" i="1"/>
  <c r="AJ17" i="1"/>
  <c r="AT87" i="1"/>
  <c r="AS37" i="1"/>
  <c r="V68" i="1"/>
  <c r="V18" i="1"/>
  <c r="AO68" i="1"/>
  <c r="AN18" i="1"/>
  <c r="AA42" i="1"/>
  <c r="AC35" i="2"/>
  <c r="AC85" i="2"/>
  <c r="AS68" i="1"/>
  <c r="AR18" i="1"/>
  <c r="AI33" i="2"/>
  <c r="AH33" i="2"/>
  <c r="AJ33" i="2"/>
  <c r="BB17" i="1"/>
  <c r="BA17" i="1"/>
  <c r="BC17" i="1"/>
  <c r="AE84" i="2"/>
  <c r="AE34" i="2"/>
  <c r="AA84" i="2"/>
  <c r="AA34" i="2"/>
  <c r="AX84" i="2"/>
  <c r="AW34" i="2"/>
  <c r="AU42" i="2"/>
  <c r="AU40" i="2"/>
  <c r="AU41" i="2"/>
  <c r="W42" i="2"/>
  <c r="W41" i="2"/>
  <c r="W40" i="2"/>
  <c r="AG42" i="2"/>
  <c r="AG41" i="2"/>
  <c r="AG40" i="2"/>
  <c r="AT85" i="2"/>
  <c r="AS35" i="2"/>
  <c r="U41" i="2"/>
  <c r="U42" i="2"/>
  <c r="U40" i="2"/>
  <c r="Y40" i="2"/>
  <c r="Y41" i="2"/>
  <c r="Y42" i="2"/>
  <c r="AA41" i="1"/>
  <c r="AE87" i="1"/>
  <c r="AE37" i="1"/>
  <c r="AU75" i="1"/>
  <c r="AT25" i="1"/>
  <c r="BA76" i="1"/>
  <c r="AZ26" i="1"/>
  <c r="AD75" i="1"/>
  <c r="AD25" i="1"/>
  <c r="AV80" i="1"/>
  <c r="AU30" i="1"/>
  <c r="AG81" i="1"/>
  <c r="AG31" i="1"/>
  <c r="U81" i="1"/>
  <c r="U31" i="1"/>
  <c r="Y81" i="1"/>
  <c r="Y31" i="1"/>
  <c r="AY80" i="1"/>
  <c r="AX30" i="1"/>
  <c r="W83" i="1"/>
  <c r="W33" i="1"/>
  <c r="AA40" i="1"/>
  <c r="AZ80" i="1"/>
  <c r="AY30" i="1"/>
  <c r="AC81" i="1"/>
  <c r="AC31" i="1"/>
  <c r="AF71" i="1"/>
  <c r="AF21" i="1"/>
  <c r="AB73" i="1"/>
  <c r="AB23" i="1"/>
  <c r="X75" i="1"/>
  <c r="X25" i="1"/>
  <c r="AR80" i="1"/>
  <c r="AQ30" i="1"/>
  <c r="BB34" i="2" l="1"/>
  <c r="BA34" i="2"/>
  <c r="AO35" i="2"/>
  <c r="AP85" i="2"/>
  <c r="Z69" i="1"/>
  <c r="Z19" i="1"/>
  <c r="AZ86" i="2"/>
  <c r="AZ87" i="2" s="1"/>
  <c r="AZ88" i="2" s="1"/>
  <c r="AY36" i="2"/>
  <c r="AW69" i="1"/>
  <c r="AV19" i="1"/>
  <c r="BC34" i="2"/>
  <c r="AW35" i="2"/>
  <c r="AX85" i="2"/>
  <c r="AE85" i="2"/>
  <c r="AE35" i="2"/>
  <c r="AS69" i="1"/>
  <c r="AR19" i="1"/>
  <c r="AO69" i="1"/>
  <c r="AN19" i="1"/>
  <c r="AS38" i="1"/>
  <c r="AT88" i="1"/>
  <c r="AS39" i="1" s="1"/>
  <c r="AJ34" i="2"/>
  <c r="AI34" i="2"/>
  <c r="AH34" i="2"/>
  <c r="AH18" i="1"/>
  <c r="AI18" i="1"/>
  <c r="AJ18" i="1"/>
  <c r="AQ70" i="1"/>
  <c r="AP20" i="1"/>
  <c r="AA35" i="2"/>
  <c r="AA85" i="2"/>
  <c r="V69" i="1"/>
  <c r="V19" i="1"/>
  <c r="AC86" i="2"/>
  <c r="AC87" i="2" s="1"/>
  <c r="AC88" i="2" s="1"/>
  <c r="AC36" i="2"/>
  <c r="BC18" i="1"/>
  <c r="BB18" i="1"/>
  <c r="BA18" i="1"/>
  <c r="AT86" i="2"/>
  <c r="AT87" i="2" s="1"/>
  <c r="AT88" i="2" s="1"/>
  <c r="AS36" i="2"/>
  <c r="U82" i="1"/>
  <c r="U32" i="1"/>
  <c r="AV81" i="1"/>
  <c r="AU31" i="1"/>
  <c r="AQ31" i="1"/>
  <c r="AR81" i="1"/>
  <c r="AF72" i="1"/>
  <c r="AF22" i="1"/>
  <c r="AY81" i="1"/>
  <c r="AX31" i="1"/>
  <c r="AU76" i="1"/>
  <c r="AT26" i="1"/>
  <c r="AG82" i="1"/>
  <c r="AG32" i="1"/>
  <c r="AD76" i="1"/>
  <c r="AD26" i="1"/>
  <c r="AE88" i="1"/>
  <c r="AE39" i="1" s="1"/>
  <c r="AE38" i="1"/>
  <c r="X76" i="1"/>
  <c r="X26" i="1"/>
  <c r="AB24" i="1"/>
  <c r="AB74" i="1"/>
  <c r="AZ81" i="1"/>
  <c r="AY31" i="1"/>
  <c r="W34" i="1"/>
  <c r="W84" i="1"/>
  <c r="Y82" i="1"/>
  <c r="Y32" i="1"/>
  <c r="BA77" i="1"/>
  <c r="AZ27" i="1"/>
  <c r="AC82" i="1"/>
  <c r="AC32" i="1"/>
  <c r="BC35" i="2" l="1"/>
  <c r="AS40" i="1"/>
  <c r="BB35" i="2"/>
  <c r="AS42" i="1"/>
  <c r="BA35" i="2"/>
  <c r="AS41" i="1"/>
  <c r="AV20" i="1"/>
  <c r="AW70" i="1"/>
  <c r="Z70" i="1"/>
  <c r="Z20" i="1"/>
  <c r="AY42" i="2"/>
  <c r="AY41" i="2"/>
  <c r="AY40" i="2"/>
  <c r="AO36" i="2"/>
  <c r="AP86" i="2"/>
  <c r="AP87" i="2" s="1"/>
  <c r="AP88" i="2" s="1"/>
  <c r="AC42" i="2"/>
  <c r="AC40" i="2"/>
  <c r="AC41" i="2"/>
  <c r="V70" i="1"/>
  <c r="V20" i="1"/>
  <c r="AH35" i="2"/>
  <c r="AJ35" i="2"/>
  <c r="AI35" i="2"/>
  <c r="AO70" i="1"/>
  <c r="AN20" i="1"/>
  <c r="AE86" i="2"/>
  <c r="AE87" i="2" s="1"/>
  <c r="AE88" i="2" s="1"/>
  <c r="AE36" i="2"/>
  <c r="AE42" i="2" s="1"/>
  <c r="AX86" i="2"/>
  <c r="AX87" i="2" s="1"/>
  <c r="AX88" i="2" s="1"/>
  <c r="AW36" i="2"/>
  <c r="AQ71" i="1"/>
  <c r="AP21" i="1"/>
  <c r="AS70" i="1"/>
  <c r="AR20" i="1"/>
  <c r="AI19" i="1"/>
  <c r="AH19" i="1"/>
  <c r="AJ19" i="1"/>
  <c r="AA36" i="2"/>
  <c r="AA41" i="2" s="1"/>
  <c r="AA86" i="2"/>
  <c r="AA87" i="2" s="1"/>
  <c r="AA88" i="2" s="1"/>
  <c r="BB19" i="1"/>
  <c r="BC19" i="1"/>
  <c r="BA19" i="1"/>
  <c r="AS40" i="2"/>
  <c r="AS42" i="2"/>
  <c r="AS41" i="2"/>
  <c r="AD77" i="1"/>
  <c r="AD27" i="1"/>
  <c r="AC83" i="1"/>
  <c r="AC33" i="1"/>
  <c r="AU77" i="1"/>
  <c r="AT27" i="1"/>
  <c r="AF73" i="1"/>
  <c r="AF23" i="1"/>
  <c r="Y83" i="1"/>
  <c r="Y33" i="1"/>
  <c r="AZ82" i="1"/>
  <c r="AY32" i="1"/>
  <c r="X77" i="1"/>
  <c r="X27" i="1"/>
  <c r="AE41" i="1"/>
  <c r="AE42" i="1"/>
  <c r="AE40" i="1"/>
  <c r="AG83" i="1"/>
  <c r="AG33" i="1"/>
  <c r="AR82" i="1"/>
  <c r="AQ32" i="1"/>
  <c r="AV82" i="1"/>
  <c r="AU32" i="1"/>
  <c r="U83" i="1"/>
  <c r="U33" i="1"/>
  <c r="BA78" i="1"/>
  <c r="AZ28" i="1"/>
  <c r="W85" i="1"/>
  <c r="W35" i="1"/>
  <c r="AB75" i="1"/>
  <c r="AB25" i="1"/>
  <c r="AY82" i="1"/>
  <c r="AX32" i="1"/>
  <c r="AE40" i="2" l="1"/>
  <c r="AE41" i="2"/>
  <c r="BA36" i="2"/>
  <c r="BA40" i="2" s="1"/>
  <c r="Z71" i="1"/>
  <c r="Z21" i="1"/>
  <c r="AW71" i="1"/>
  <c r="AV21" i="1"/>
  <c r="BB36" i="2"/>
  <c r="BB41" i="2" s="1"/>
  <c r="AO40" i="2"/>
  <c r="AO41" i="2"/>
  <c r="AO42" i="2"/>
  <c r="AW42" i="2"/>
  <c r="AW40" i="2"/>
  <c r="AW41" i="2"/>
  <c r="BC20" i="1"/>
  <c r="BA20" i="1"/>
  <c r="BB20" i="1"/>
  <c r="V71" i="1"/>
  <c r="V21" i="1"/>
  <c r="AQ72" i="1"/>
  <c r="AP22" i="1"/>
  <c r="AO71" i="1"/>
  <c r="AN21" i="1"/>
  <c r="AJ36" i="2"/>
  <c r="AJ41" i="2" s="1"/>
  <c r="AI36" i="2"/>
  <c r="AI41" i="2" s="1"/>
  <c r="AH36" i="2"/>
  <c r="AH42" i="2" s="1"/>
  <c r="AA42" i="2"/>
  <c r="AS71" i="1"/>
  <c r="AR21" i="1"/>
  <c r="BC36" i="2"/>
  <c r="AA40" i="2"/>
  <c r="AI20" i="1"/>
  <c r="AH20" i="1"/>
  <c r="AJ20" i="1"/>
  <c r="BA42" i="2"/>
  <c r="BA79" i="1"/>
  <c r="AZ29" i="1"/>
  <c r="AV83" i="1"/>
  <c r="AU33" i="1"/>
  <c r="AG84" i="1"/>
  <c r="AG34" i="1"/>
  <c r="X78" i="1"/>
  <c r="X28" i="1"/>
  <c r="Y84" i="1"/>
  <c r="Y34" i="1"/>
  <c r="AF24" i="1"/>
  <c r="AF74" i="1"/>
  <c r="W86" i="1"/>
  <c r="W36" i="1"/>
  <c r="U84" i="1"/>
  <c r="U34" i="1"/>
  <c r="AR83" i="1"/>
  <c r="AQ33" i="1"/>
  <c r="AC84" i="1"/>
  <c r="AC34" i="1"/>
  <c r="AD78" i="1"/>
  <c r="AD28" i="1"/>
  <c r="AY83" i="1"/>
  <c r="AX33" i="1"/>
  <c r="AZ83" i="1"/>
  <c r="AY33" i="1"/>
  <c r="AU78" i="1"/>
  <c r="AT28" i="1"/>
  <c r="AB76" i="1"/>
  <c r="AB26" i="1"/>
  <c r="AH41" i="2" l="1"/>
  <c r="BA41" i="2"/>
  <c r="BB42" i="2"/>
  <c r="AH40" i="2"/>
  <c r="BB40" i="2"/>
  <c r="AV22" i="1"/>
  <c r="AW72" i="1"/>
  <c r="Z72" i="1"/>
  <c r="Z22" i="1"/>
  <c r="BC40" i="2"/>
  <c r="BC42" i="2"/>
  <c r="BC41" i="2"/>
  <c r="AS72" i="1"/>
  <c r="AR22" i="1"/>
  <c r="AJ42" i="2"/>
  <c r="AQ73" i="1"/>
  <c r="AP23" i="1"/>
  <c r="AI40" i="2"/>
  <c r="BC21" i="1"/>
  <c r="BA21" i="1"/>
  <c r="BB21" i="1"/>
  <c r="AI21" i="1"/>
  <c r="AH21" i="1"/>
  <c r="AJ21" i="1"/>
  <c r="AI42" i="2"/>
  <c r="AJ40" i="2"/>
  <c r="AO72" i="1"/>
  <c r="AN22" i="1"/>
  <c r="V72" i="1"/>
  <c r="V22" i="1"/>
  <c r="AY84" i="1"/>
  <c r="AX34" i="1"/>
  <c r="AF75" i="1"/>
  <c r="AF25" i="1"/>
  <c r="BA80" i="1"/>
  <c r="AZ30" i="1"/>
  <c r="X79" i="1"/>
  <c r="X29" i="1"/>
  <c r="AD79" i="1"/>
  <c r="AD29" i="1"/>
  <c r="AC35" i="1"/>
  <c r="AC85" i="1"/>
  <c r="AV84" i="1"/>
  <c r="AU34" i="1"/>
  <c r="AG85" i="1"/>
  <c r="AG35" i="1"/>
  <c r="U85" i="1"/>
  <c r="U35" i="1"/>
  <c r="AB77" i="1"/>
  <c r="AB27" i="1"/>
  <c r="AU79" i="1"/>
  <c r="AT29" i="1"/>
  <c r="AZ84" i="1"/>
  <c r="AY34" i="1"/>
  <c r="AR84" i="1"/>
  <c r="AQ34" i="1"/>
  <c r="W87" i="1"/>
  <c r="W37" i="1"/>
  <c r="Y85" i="1"/>
  <c r="Y35" i="1"/>
  <c r="Z23" i="1" l="1"/>
  <c r="Z73" i="1"/>
  <c r="AV23" i="1"/>
  <c r="AW73" i="1"/>
  <c r="V73" i="1"/>
  <c r="V23" i="1"/>
  <c r="AR23" i="1"/>
  <c r="AS73" i="1"/>
  <c r="BB22" i="1"/>
  <c r="BA22" i="1"/>
  <c r="BC22" i="1"/>
  <c r="AQ74" i="1"/>
  <c r="AP24" i="1"/>
  <c r="AO73" i="1"/>
  <c r="AN23" i="1"/>
  <c r="AI22" i="1"/>
  <c r="AH22" i="1"/>
  <c r="AJ22" i="1"/>
  <c r="AV85" i="1"/>
  <c r="AU35" i="1"/>
  <c r="AD80" i="1"/>
  <c r="AD30" i="1"/>
  <c r="AR85" i="1"/>
  <c r="AQ35" i="1"/>
  <c r="AG86" i="1"/>
  <c r="AG36" i="1"/>
  <c r="AC86" i="1"/>
  <c r="AC36" i="1"/>
  <c r="X80" i="1"/>
  <c r="X30" i="1"/>
  <c r="AF76" i="1"/>
  <c r="AF26" i="1"/>
  <c r="U86" i="1"/>
  <c r="U36" i="1"/>
  <c r="Y86" i="1"/>
  <c r="Y36" i="1"/>
  <c r="AU80" i="1"/>
  <c r="AT30" i="1"/>
  <c r="W88" i="1"/>
  <c r="W39" i="1" s="1"/>
  <c r="W38" i="1"/>
  <c r="AZ85" i="1"/>
  <c r="AY35" i="1"/>
  <c r="AB78" i="1"/>
  <c r="AB28" i="1"/>
  <c r="AY85" i="1"/>
  <c r="AX35" i="1"/>
  <c r="BA81" i="1"/>
  <c r="AZ31" i="1"/>
  <c r="AV24" i="1" l="1"/>
  <c r="AW74" i="1"/>
  <c r="Z74" i="1"/>
  <c r="Z24" i="1"/>
  <c r="AO74" i="1"/>
  <c r="AN24" i="1"/>
  <c r="AR24" i="1"/>
  <c r="AS74" i="1"/>
  <c r="AP25" i="1"/>
  <c r="AQ75" i="1"/>
  <c r="AJ23" i="1"/>
  <c r="AI23" i="1"/>
  <c r="AH23" i="1"/>
  <c r="BB23" i="1"/>
  <c r="BC23" i="1"/>
  <c r="BA23" i="1"/>
  <c r="V74" i="1"/>
  <c r="V24" i="1"/>
  <c r="AY86" i="1"/>
  <c r="AX36" i="1"/>
  <c r="AZ86" i="1"/>
  <c r="AY36" i="1"/>
  <c r="Y37" i="1"/>
  <c r="Y87" i="1"/>
  <c r="U87" i="1"/>
  <c r="U37" i="1"/>
  <c r="X81" i="1"/>
  <c r="X31" i="1"/>
  <c r="AG87" i="1"/>
  <c r="AG37" i="1"/>
  <c r="AD81" i="1"/>
  <c r="AD31" i="1"/>
  <c r="BA82" i="1"/>
  <c r="AZ32" i="1"/>
  <c r="AB79" i="1"/>
  <c r="AB29" i="1"/>
  <c r="W42" i="1"/>
  <c r="W41" i="1"/>
  <c r="W40" i="1"/>
  <c r="AU81" i="1"/>
  <c r="AT31" i="1"/>
  <c r="AF77" i="1"/>
  <c r="AF27" i="1"/>
  <c r="AC87" i="1"/>
  <c r="AC37" i="1"/>
  <c r="AR86" i="1"/>
  <c r="AQ36" i="1"/>
  <c r="AV86" i="1"/>
  <c r="AU36" i="1"/>
  <c r="Z25" i="1" l="1"/>
  <c r="Z75" i="1"/>
  <c r="AV25" i="1"/>
  <c r="AW75" i="1"/>
  <c r="AJ24" i="1"/>
  <c r="AI24" i="1"/>
  <c r="AH24" i="1"/>
  <c r="AP26" i="1"/>
  <c r="AQ76" i="1"/>
  <c r="AR25" i="1"/>
  <c r="AS75" i="1"/>
  <c r="BA24" i="1"/>
  <c r="BC24" i="1"/>
  <c r="BB24" i="1"/>
  <c r="V75" i="1"/>
  <c r="V25" i="1"/>
  <c r="AO75" i="1"/>
  <c r="AN25" i="1"/>
  <c r="AR87" i="1"/>
  <c r="AQ37" i="1"/>
  <c r="BA83" i="1"/>
  <c r="AZ33" i="1"/>
  <c r="AD82" i="1"/>
  <c r="AD32" i="1"/>
  <c r="AZ87" i="1"/>
  <c r="AY37" i="1"/>
  <c r="AV87" i="1"/>
  <c r="AU37" i="1"/>
  <c r="AF78" i="1"/>
  <c r="AF28" i="1"/>
  <c r="AU82" i="1"/>
  <c r="AT32" i="1"/>
  <c r="AG88" i="1"/>
  <c r="AG39" i="1" s="1"/>
  <c r="AG38" i="1"/>
  <c r="U88" i="1"/>
  <c r="U39" i="1" s="1"/>
  <c r="U38" i="1"/>
  <c r="X82" i="1"/>
  <c r="X32" i="1"/>
  <c r="AC88" i="1"/>
  <c r="AC39" i="1" s="1"/>
  <c r="AC38" i="1"/>
  <c r="AB80" i="1"/>
  <c r="AB30" i="1"/>
  <c r="Y88" i="1"/>
  <c r="Y39" i="1" s="1"/>
  <c r="Y38" i="1"/>
  <c r="AY87" i="1"/>
  <c r="AX37" i="1"/>
  <c r="AW76" i="1" l="1"/>
  <c r="AV26" i="1"/>
  <c r="Z76" i="1"/>
  <c r="Z26" i="1"/>
  <c r="AH25" i="1"/>
  <c r="AJ25" i="1"/>
  <c r="AI25" i="1"/>
  <c r="V76" i="1"/>
  <c r="V26" i="1"/>
  <c r="AS76" i="1"/>
  <c r="AR26" i="1"/>
  <c r="BB25" i="1"/>
  <c r="BA25" i="1"/>
  <c r="BC25" i="1"/>
  <c r="AO76" i="1"/>
  <c r="AN26" i="1"/>
  <c r="AQ77" i="1"/>
  <c r="AP27" i="1"/>
  <c r="X83" i="1"/>
  <c r="X33" i="1"/>
  <c r="AV88" i="1"/>
  <c r="AU39" i="1" s="1"/>
  <c r="AU38" i="1"/>
  <c r="BA84" i="1"/>
  <c r="AZ34" i="1"/>
  <c r="AY88" i="1"/>
  <c r="AX39" i="1" s="1"/>
  <c r="AX38" i="1"/>
  <c r="AB81" i="1"/>
  <c r="AB31" i="1"/>
  <c r="AC40" i="1"/>
  <c r="AC41" i="1"/>
  <c r="AC42" i="1"/>
  <c r="U42" i="1"/>
  <c r="U40" i="1"/>
  <c r="U41" i="1"/>
  <c r="AG42" i="1"/>
  <c r="AG40" i="1"/>
  <c r="AG41" i="1"/>
  <c r="AF79" i="1"/>
  <c r="AF29" i="1"/>
  <c r="AZ88" i="1"/>
  <c r="AY39" i="1" s="1"/>
  <c r="AY38" i="1"/>
  <c r="AD83" i="1"/>
  <c r="AD33" i="1"/>
  <c r="AR88" i="1"/>
  <c r="AQ39" i="1" s="1"/>
  <c r="AQ38" i="1"/>
  <c r="AU83" i="1"/>
  <c r="AT33" i="1"/>
  <c r="Y40" i="1"/>
  <c r="Y41" i="1"/>
  <c r="Y42" i="1"/>
  <c r="Z77" i="1" l="1"/>
  <c r="Z27" i="1"/>
  <c r="AV27" i="1"/>
  <c r="AW77" i="1"/>
  <c r="BA26" i="1"/>
  <c r="BC26" i="1"/>
  <c r="BB26" i="1"/>
  <c r="V77" i="1"/>
  <c r="V27" i="1"/>
  <c r="AO77" i="1"/>
  <c r="AN27" i="1"/>
  <c r="AS77" i="1"/>
  <c r="AR27" i="1"/>
  <c r="AQ78" i="1"/>
  <c r="AP28" i="1"/>
  <c r="AI26" i="1"/>
  <c r="AH26" i="1"/>
  <c r="AJ26" i="1"/>
  <c r="AU40" i="1"/>
  <c r="AU41" i="1"/>
  <c r="AU42" i="1"/>
  <c r="X84" i="1"/>
  <c r="X34" i="1"/>
  <c r="AU84" i="1"/>
  <c r="AT34" i="1"/>
  <c r="AD84" i="1"/>
  <c r="AD34" i="1"/>
  <c r="AF80" i="1"/>
  <c r="AF30" i="1"/>
  <c r="AB82" i="1"/>
  <c r="AB32" i="1"/>
  <c r="AX42" i="1"/>
  <c r="AX41" i="1"/>
  <c r="AX40" i="1"/>
  <c r="BA85" i="1"/>
  <c r="AZ35" i="1"/>
  <c r="AQ40" i="1"/>
  <c r="AQ42" i="1"/>
  <c r="AQ41" i="1"/>
  <c r="AY41" i="1"/>
  <c r="AY40" i="1"/>
  <c r="AY42" i="1"/>
  <c r="AW78" i="1" l="1"/>
  <c r="AV28" i="1"/>
  <c r="Z28" i="1"/>
  <c r="Z78" i="1"/>
  <c r="AP29" i="1"/>
  <c r="AQ79" i="1"/>
  <c r="AN28" i="1"/>
  <c r="AO78" i="1"/>
  <c r="AH27" i="1"/>
  <c r="AI27" i="1"/>
  <c r="AJ27" i="1"/>
  <c r="AS78" i="1"/>
  <c r="AR28" i="1"/>
  <c r="V78" i="1"/>
  <c r="V28" i="1"/>
  <c r="BB27" i="1"/>
  <c r="BA27" i="1"/>
  <c r="BC27" i="1"/>
  <c r="X85" i="1"/>
  <c r="X35" i="1"/>
  <c r="AF81" i="1"/>
  <c r="AF31" i="1"/>
  <c r="AU85" i="1"/>
  <c r="AT35" i="1"/>
  <c r="BA86" i="1"/>
  <c r="AZ36" i="1"/>
  <c r="AB83" i="1"/>
  <c r="AB33" i="1"/>
  <c r="AD85" i="1"/>
  <c r="AD35" i="1"/>
  <c r="Z29" i="1" l="1"/>
  <c r="Z79" i="1"/>
  <c r="AV29" i="1"/>
  <c r="AW79" i="1"/>
  <c r="AJ28" i="1"/>
  <c r="AI28" i="1"/>
  <c r="AH28" i="1"/>
  <c r="BA28" i="1"/>
  <c r="BC28" i="1"/>
  <c r="BB28" i="1"/>
  <c r="V79" i="1"/>
  <c r="V29" i="1"/>
  <c r="AQ80" i="1"/>
  <c r="AP30" i="1"/>
  <c r="AS79" i="1"/>
  <c r="AR29" i="1"/>
  <c r="AO79" i="1"/>
  <c r="AN29" i="1"/>
  <c r="X86" i="1"/>
  <c r="X36" i="1"/>
  <c r="AD86" i="1"/>
  <c r="AD36" i="1"/>
  <c r="BA87" i="1"/>
  <c r="AZ37" i="1"/>
  <c r="AF82" i="1"/>
  <c r="AF32" i="1"/>
  <c r="AB84" i="1"/>
  <c r="AB34" i="1"/>
  <c r="AU86" i="1"/>
  <c r="AT36" i="1"/>
  <c r="AV30" i="1" l="1"/>
  <c r="AW80" i="1"/>
  <c r="Z80" i="1"/>
  <c r="Z30" i="1"/>
  <c r="BB29" i="1"/>
  <c r="BA29" i="1"/>
  <c r="BC29" i="1"/>
  <c r="V80" i="1"/>
  <c r="V30" i="1"/>
  <c r="AS80" i="1"/>
  <c r="AR30" i="1"/>
  <c r="AO80" i="1"/>
  <c r="AN30" i="1"/>
  <c r="AQ81" i="1"/>
  <c r="AP31" i="1"/>
  <c r="AH29" i="1"/>
  <c r="AI29" i="1"/>
  <c r="AJ29" i="1"/>
  <c r="AB85" i="1"/>
  <c r="AB35" i="1"/>
  <c r="BA88" i="1"/>
  <c r="AZ39" i="1" s="1"/>
  <c r="AZ38" i="1"/>
  <c r="X87" i="1"/>
  <c r="X37" i="1"/>
  <c r="AU87" i="1"/>
  <c r="AT37" i="1"/>
  <c r="AF83" i="1"/>
  <c r="AF33" i="1"/>
  <c r="AD87" i="1"/>
  <c r="AD37" i="1"/>
  <c r="Z81" i="1" l="1"/>
  <c r="Z31" i="1"/>
  <c r="AW81" i="1"/>
  <c r="AV31" i="1"/>
  <c r="AQ82" i="1"/>
  <c r="AP32" i="1"/>
  <c r="AJ30" i="1"/>
  <c r="AI30" i="1"/>
  <c r="AH30" i="1"/>
  <c r="BC30" i="1"/>
  <c r="BB30" i="1"/>
  <c r="BA30" i="1"/>
  <c r="V31" i="1"/>
  <c r="V81" i="1"/>
  <c r="AN31" i="1"/>
  <c r="AO81" i="1"/>
  <c r="AS81" i="1"/>
  <c r="AR31" i="1"/>
  <c r="AU88" i="1"/>
  <c r="AT39" i="1" s="1"/>
  <c r="AT38" i="1"/>
  <c r="X88" i="1"/>
  <c r="X39" i="1" s="1"/>
  <c r="X38" i="1"/>
  <c r="AZ41" i="1"/>
  <c r="AZ40" i="1"/>
  <c r="AZ42" i="1"/>
  <c r="AD88" i="1"/>
  <c r="AD39" i="1" s="1"/>
  <c r="AD38" i="1"/>
  <c r="AF84" i="1"/>
  <c r="AF34" i="1"/>
  <c r="AB86" i="1"/>
  <c r="AB36" i="1"/>
  <c r="AW82" i="1" l="1"/>
  <c r="AV32" i="1"/>
  <c r="Z82" i="1"/>
  <c r="Z32" i="1"/>
  <c r="AR32" i="1"/>
  <c r="AS82" i="1"/>
  <c r="AO82" i="1"/>
  <c r="AN32" i="1"/>
  <c r="AQ83" i="1"/>
  <c r="AP33" i="1"/>
  <c r="BC31" i="1"/>
  <c r="BB31" i="1"/>
  <c r="BA31" i="1"/>
  <c r="V32" i="1"/>
  <c r="V82" i="1"/>
  <c r="AJ31" i="1"/>
  <c r="AH31" i="1"/>
  <c r="AI31" i="1"/>
  <c r="X42" i="1"/>
  <c r="X41" i="1"/>
  <c r="X40" i="1"/>
  <c r="AB87" i="1"/>
  <c r="AB37" i="1"/>
  <c r="AD42" i="1"/>
  <c r="AD40" i="1"/>
  <c r="AD41" i="1"/>
  <c r="AF85" i="1"/>
  <c r="AF35" i="1"/>
  <c r="AT42" i="1"/>
  <c r="AT40" i="1"/>
  <c r="AT41" i="1"/>
  <c r="Z33" i="1" l="1"/>
  <c r="Z83" i="1"/>
  <c r="AV33" i="1"/>
  <c r="AW83" i="1"/>
  <c r="AH32" i="1"/>
  <c r="AI32" i="1"/>
  <c r="AJ32" i="1"/>
  <c r="AP34" i="1"/>
  <c r="AQ84" i="1"/>
  <c r="BA32" i="1"/>
  <c r="BB32" i="1"/>
  <c r="BC32" i="1"/>
  <c r="AO83" i="1"/>
  <c r="AN33" i="1"/>
  <c r="AR33" i="1"/>
  <c r="AS83" i="1"/>
  <c r="V33" i="1"/>
  <c r="V83" i="1"/>
  <c r="AF86" i="1"/>
  <c r="AF36" i="1"/>
  <c r="AB88" i="1"/>
  <c r="AB39" i="1" s="1"/>
  <c r="AB38" i="1"/>
  <c r="AW84" i="1" l="1"/>
  <c r="AV34" i="1"/>
  <c r="Z84" i="1"/>
  <c r="Z34" i="1"/>
  <c r="V34" i="1"/>
  <c r="V84" i="1"/>
  <c r="AO84" i="1"/>
  <c r="AN34" i="1"/>
  <c r="AJ33" i="1"/>
  <c r="AI33" i="1"/>
  <c r="AH33" i="1"/>
  <c r="AQ85" i="1"/>
  <c r="AP35" i="1"/>
  <c r="AR34" i="1"/>
  <c r="AS84" i="1"/>
  <c r="BA33" i="1"/>
  <c r="BB33" i="1"/>
  <c r="BC33" i="1"/>
  <c r="AF87" i="1"/>
  <c r="AF37" i="1"/>
  <c r="AB42" i="1"/>
  <c r="AB40" i="1"/>
  <c r="AB41" i="1"/>
  <c r="Z85" i="1" l="1"/>
  <c r="Z35" i="1"/>
  <c r="AV35" i="1"/>
  <c r="AW85" i="1"/>
  <c r="V85" i="1"/>
  <c r="V35" i="1"/>
  <c r="BB34" i="1"/>
  <c r="BA34" i="1"/>
  <c r="BC34" i="1"/>
  <c r="AH34" i="1"/>
  <c r="AI34" i="1"/>
  <c r="AJ34" i="1"/>
  <c r="AS85" i="1"/>
  <c r="AR35" i="1"/>
  <c r="AQ86" i="1"/>
  <c r="AP36" i="1"/>
  <c r="AO85" i="1"/>
  <c r="AN35" i="1"/>
  <c r="AF88" i="1"/>
  <c r="AF39" i="1" s="1"/>
  <c r="AF38" i="1"/>
  <c r="AV36" i="1" l="1"/>
  <c r="AW86" i="1"/>
  <c r="Z36" i="1"/>
  <c r="Z86" i="1"/>
  <c r="BB35" i="1"/>
  <c r="BA35" i="1"/>
  <c r="BC35" i="1"/>
  <c r="AJ35" i="1"/>
  <c r="AI35" i="1"/>
  <c r="AH35" i="1"/>
  <c r="AQ87" i="1"/>
  <c r="AP37" i="1"/>
  <c r="AR36" i="1"/>
  <c r="AS86" i="1"/>
  <c r="AN36" i="1"/>
  <c r="AO86" i="1"/>
  <c r="V86" i="1"/>
  <c r="V36" i="1"/>
  <c r="AF41" i="1"/>
  <c r="AF42" i="1"/>
  <c r="AF40" i="1"/>
  <c r="Z87" i="1" l="1"/>
  <c r="Z37" i="1"/>
  <c r="AW87" i="1"/>
  <c r="AV37" i="1"/>
  <c r="AO87" i="1"/>
  <c r="AN37" i="1"/>
  <c r="AH36" i="1"/>
  <c r="AI36" i="1"/>
  <c r="AJ36" i="1"/>
  <c r="BC36" i="1"/>
  <c r="BA36" i="1"/>
  <c r="BB36" i="1"/>
  <c r="AQ88" i="1"/>
  <c r="AP39" i="1" s="1"/>
  <c r="AP38" i="1"/>
  <c r="V87" i="1"/>
  <c r="V37" i="1"/>
  <c r="AS87" i="1"/>
  <c r="AR37" i="1"/>
  <c r="AW88" i="1" l="1"/>
  <c r="AV39" i="1" s="1"/>
  <c r="AV38" i="1"/>
  <c r="Z38" i="1"/>
  <c r="Z88" i="1"/>
  <c r="Z39" i="1" s="1"/>
  <c r="AS88" i="1"/>
  <c r="AR39" i="1" s="1"/>
  <c r="AR38" i="1"/>
  <c r="AP41" i="1"/>
  <c r="AP42" i="1"/>
  <c r="AP40" i="1"/>
  <c r="AH37" i="1"/>
  <c r="AI37" i="1"/>
  <c r="AJ37" i="1"/>
  <c r="BC37" i="1"/>
  <c r="BB37" i="1"/>
  <c r="BA37" i="1"/>
  <c r="V88" i="1"/>
  <c r="V39" i="1" s="1"/>
  <c r="V38" i="1"/>
  <c r="AO88" i="1"/>
  <c r="AN39" i="1" s="1"/>
  <c r="AN38" i="1"/>
  <c r="AV40" i="1" l="1"/>
  <c r="Z42" i="1"/>
  <c r="Z41" i="1"/>
  <c r="Z40" i="1"/>
  <c r="AV41" i="1"/>
  <c r="AV42" i="1"/>
  <c r="V42" i="1"/>
  <c r="V40" i="1"/>
  <c r="V41" i="1"/>
  <c r="AH39" i="1"/>
  <c r="AJ39" i="1"/>
  <c r="AI39" i="1"/>
  <c r="AR40" i="1"/>
  <c r="AR41" i="1"/>
  <c r="AR42" i="1"/>
  <c r="BA38" i="1"/>
  <c r="BC38" i="1"/>
  <c r="BB38" i="1"/>
  <c r="BA39" i="1"/>
  <c r="BC39" i="1"/>
  <c r="BB39" i="1"/>
  <c r="AN42" i="1"/>
  <c r="AN40" i="1"/>
  <c r="AN41" i="1"/>
  <c r="AH38" i="1"/>
  <c r="AI38" i="1"/>
  <c r="AJ38" i="1"/>
  <c r="AJ42" i="1" s="1"/>
  <c r="BA41" i="1" l="1"/>
  <c r="AI41" i="1"/>
  <c r="AI40" i="1"/>
  <c r="BA40" i="1"/>
  <c r="AI42" i="1"/>
  <c r="BB42" i="1"/>
  <c r="AJ41" i="1"/>
  <c r="AH41" i="1"/>
  <c r="BA42" i="1"/>
  <c r="BC40" i="1"/>
  <c r="BC42" i="1"/>
  <c r="BC41" i="1"/>
  <c r="AH40" i="1"/>
  <c r="AH42" i="1"/>
  <c r="AJ40" i="1"/>
  <c r="BB40" i="1"/>
  <c r="BB41" i="1"/>
</calcChain>
</file>

<file path=xl/sharedStrings.xml><?xml version="1.0" encoding="utf-8"?>
<sst xmlns="http://schemas.openxmlformats.org/spreadsheetml/2006/main" count="1159" uniqueCount="57">
  <si>
    <t>DATA UNSUR  :</t>
  </si>
  <si>
    <t>SUHU TERMOMETER BOLA KERING</t>
  </si>
  <si>
    <t>SUHU TERMOMETER BOLA BASAH</t>
  </si>
  <si>
    <t>TITIK EMBUN</t>
  </si>
  <si>
    <t>BULAN            :</t>
  </si>
  <si>
    <t>SATUAN          :</t>
  </si>
  <si>
    <t>CELSIUS</t>
  </si>
  <si>
    <t xml:space="preserve">Pengamat : </t>
  </si>
  <si>
    <t>Tgl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</si>
  <si>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</si>
  <si>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</si>
  <si>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</si>
  <si>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</si>
  <si>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</si>
  <si>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</si>
  <si>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</si>
  <si>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</si>
  <si>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</si>
  <si>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</si>
  <si>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</si>
  <si>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</si>
  <si>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</si>
  <si>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MAX</t>
  </si>
  <si>
    <t>MIN</t>
  </si>
  <si>
    <t>RATA-RATA</t>
  </si>
  <si>
    <t>Max</t>
  </si>
  <si>
    <t>Min</t>
  </si>
  <si>
    <t>Rata-Rata</t>
  </si>
  <si>
    <t>MARET 2022</t>
  </si>
  <si>
    <t>STASIUN KLIMATOLOGI KLAS IV D.I. YOGYAKARTA</t>
  </si>
  <si>
    <t>D.I Yogyakarta</t>
  </si>
  <si>
    <t>JUNI 2022</t>
  </si>
  <si>
    <t>STASIUN KLIMATOLOGI KELAS IV D.I.YOGYAKARTA</t>
  </si>
  <si>
    <t>BADAN  METEOROLOGI, KLIMATOLOGI  DAN  GEOFISIKA</t>
  </si>
  <si>
    <t>STASIUN  KLIMATOLOGI  KELAS IV D.I. YOGYAKARTA</t>
  </si>
  <si>
    <t>jl. Kabupaten KM 5.5 Duwet Sendangadi Mlati Sleman  telp. (0274) 2880152</t>
  </si>
  <si>
    <t>email : staklim.yogya@gmail.com</t>
  </si>
  <si>
    <t>Lintang</t>
  </si>
  <si>
    <t>: 7° 43' 52.23" LS</t>
  </si>
  <si>
    <t>Bujur</t>
  </si>
  <si>
    <t>: 110° 21' 13.27" BT</t>
  </si>
  <si>
    <t>Elevasi</t>
  </si>
  <si>
    <t>: 182 meter</t>
  </si>
  <si>
    <t>No. Sta. Hujan</t>
  </si>
  <si>
    <t>:  96851</t>
  </si>
  <si>
    <t>DATA SUHU BOLA KERING ( BK )</t>
  </si>
  <si>
    <t>BULAN  : JULI 2022</t>
  </si>
  <si>
    <t>DATA SUHU BOLA BASAH ( BB )</t>
  </si>
  <si>
    <t>DATA SUHU TITIK EMBUN ( TD )</t>
  </si>
  <si>
    <t>BULAN  : AGUSTUS 2022</t>
  </si>
  <si>
    <t>BULAN  : SEPTEMBER 2022</t>
  </si>
  <si>
    <t>BULAN  : OKTOBER 2022</t>
  </si>
  <si>
    <t>BULAN  : NOVEMBER 2022</t>
  </si>
  <si>
    <t>BULAN  : DESEMBER 2022</t>
  </si>
  <si>
    <t>Pengolah</t>
  </si>
  <si>
    <t>Yogyakarta, 04 November 2022</t>
  </si>
  <si>
    <t>Yogyakarta, 04 Januari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</si>
</sst>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1"/>
      <name val="Times New Roman"/>
      <family val="1"/>
    </font>
    <font>
      <sz val="8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  <xf numFmtId="0" fontId="1" fillId="0" borderId="0" xfId="1" quotePrefix="1"/>
    <xf numFmtId="0" fontId="4" fillId="0" borderId="0" xfId="1" applyFont="1" applyAlignment="1">
      <alignment horizontal="center"/>
    </xf>
    <xf numFmtId="0" fontId="4" fillId="0" borderId="0" xfId="1" applyFont="1"/>
    <xf numFmtId="0" fontId="1" fillId="0" borderId="0" xfId="1" applyAlignment="1">
      <alignment horizontal="left"/>
    </xf>
    <xf numFmtId="49" fontId="1" fillId="0" borderId="0" xfId="1" applyNumberFormat="1"/>
    <xf numFmtId="49" fontId="4" fillId="0" borderId="0" xfId="1" applyNumberFormat="1" applyFont="1"/>
    <xf numFmtId="0" fontId="4" fillId="0" borderId="3" xfId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0" xfId="1" applyNumberFormat="1" applyFont="1" applyBorder="1" applyAlignment="1">
      <alignment horizontal="center" vertical="center"/>
    </xf>
    <xf numFmtId="164" fontId="4" fillId="0" borderId="11" xfId="1" applyNumberFormat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164" fontId="4" fillId="0" borderId="16" xfId="1" applyNumberFormat="1" applyFont="1" applyBorder="1" applyAlignment="1">
      <alignment horizontal="center" vertical="center"/>
    </xf>
    <xf numFmtId="164" fontId="4" fillId="0" borderId="17" xfId="1" applyNumberFormat="1" applyFont="1" applyBorder="1" applyAlignment="1">
      <alignment horizontal="center" vertical="center"/>
    </xf>
    <xf numFmtId="164" fontId="4" fillId="0" borderId="18" xfId="1" applyNumberFormat="1" applyFont="1" applyBorder="1" applyAlignment="1">
      <alignment horizontal="center" vertical="center"/>
    </xf>
    <xf numFmtId="164" fontId="4" fillId="0" borderId="19" xfId="1" applyNumberFormat="1" applyFont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164" fontId="4" fillId="0" borderId="21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2" fillId="0" borderId="0" xfId="1" applyFont="1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quotePrefix="1" applyFont="1" applyFill="1"/>
    <xf numFmtId="0" fontId="1" fillId="2" borderId="0" xfId="0" applyFont="1" applyFill="1" applyAlignment="1">
      <alignment horizontal="right"/>
    </xf>
    <xf numFmtId="0" fontId="1" fillId="2" borderId="0" xfId="0" quotePrefix="1" applyFont="1" applyFill="1" applyAlignment="1">
      <alignment horizontal="right"/>
    </xf>
    <xf numFmtId="0" fontId="1" fillId="0" borderId="3" xfId="1" applyBorder="1" applyAlignment="1">
      <alignment horizontal="center" vertical="center"/>
    </xf>
    <xf numFmtId="164" fontId="1" fillId="0" borderId="4" xfId="1" applyNumberFormat="1" applyBorder="1" applyAlignment="1">
      <alignment horizontal="center" vertical="center"/>
    </xf>
    <xf numFmtId="164" fontId="1" fillId="0" borderId="5" xfId="1" applyNumberFormat="1" applyBorder="1" applyAlignment="1">
      <alignment horizontal="center" vertical="center"/>
    </xf>
    <xf numFmtId="164" fontId="1" fillId="0" borderId="6" xfId="1" applyNumberFormat="1" applyBorder="1" applyAlignment="1">
      <alignment horizontal="center" vertical="center"/>
    </xf>
    <xf numFmtId="164" fontId="1" fillId="0" borderId="7" xfId="1" applyNumberFormat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164" fontId="1" fillId="0" borderId="9" xfId="1" applyNumberFormat="1" applyBorder="1" applyAlignment="1">
      <alignment horizontal="center" vertical="center"/>
    </xf>
    <xf numFmtId="164" fontId="1" fillId="0" borderId="10" xfId="1" applyNumberFormat="1" applyBorder="1" applyAlignment="1">
      <alignment horizontal="center" vertical="center"/>
    </xf>
    <xf numFmtId="164" fontId="1" fillId="0" borderId="11" xfId="1" applyNumberFormat="1" applyBorder="1" applyAlignment="1">
      <alignment horizontal="center" vertical="center"/>
    </xf>
    <xf numFmtId="164" fontId="1" fillId="0" borderId="12" xfId="1" applyNumberFormat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164" fontId="1" fillId="0" borderId="15" xfId="1" applyNumberFormat="1" applyBorder="1" applyAlignment="1">
      <alignment horizontal="center" vertical="center"/>
    </xf>
    <xf numFmtId="164" fontId="1" fillId="0" borderId="16" xfId="1" applyNumberFormat="1" applyBorder="1" applyAlignment="1">
      <alignment horizontal="center" vertical="center"/>
    </xf>
    <xf numFmtId="164" fontId="1" fillId="0" borderId="17" xfId="1" applyNumberFormat="1" applyBorder="1" applyAlignment="1">
      <alignment horizontal="center" vertical="center"/>
    </xf>
    <xf numFmtId="164" fontId="1" fillId="0" borderId="19" xfId="1" applyNumberFormat="1" applyBorder="1" applyAlignment="1">
      <alignment horizontal="center" vertical="center"/>
    </xf>
    <xf numFmtId="164" fontId="1" fillId="0" borderId="20" xfId="1" applyNumberFormat="1" applyBorder="1" applyAlignment="1">
      <alignment horizontal="center" vertical="center"/>
    </xf>
    <xf numFmtId="164" fontId="1" fillId="0" borderId="21" xfId="1" applyNumberFormat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164" fontId="1" fillId="0" borderId="13" xfId="1" applyNumberFormat="1" applyBorder="1" applyAlignment="1">
      <alignment horizontal="center" vertical="center"/>
    </xf>
    <xf numFmtId="164" fontId="1" fillId="0" borderId="18" xfId="1" applyNumberFormat="1" applyBorder="1" applyAlignment="1">
      <alignment horizontal="center" vertical="center"/>
    </xf>
    <xf numFmtId="164" fontId="1" fillId="0" borderId="24" xfId="1" applyNumberFormat="1" applyBorder="1" applyAlignment="1">
      <alignment horizontal="center" vertical="center"/>
    </xf>
    <xf numFmtId="164" fontId="1" fillId="0" borderId="25" xfId="1" applyNumberFormat="1" applyBorder="1" applyAlignment="1">
      <alignment horizontal="center" vertical="center"/>
    </xf>
    <xf numFmtId="164" fontId="1" fillId="0" borderId="26" xfId="1" applyNumberFormat="1" applyBorder="1" applyAlignment="1">
      <alignment horizontal="center" vertical="center"/>
    </xf>
    <xf numFmtId="164" fontId="1" fillId="0" borderId="27" xfId="1" applyNumberFormat="1" applyBorder="1" applyAlignment="1">
      <alignment horizontal="center" vertical="center"/>
    </xf>
    <xf numFmtId="164" fontId="1" fillId="0" borderId="28" xfId="1" applyNumberFormat="1" applyBorder="1" applyAlignment="1">
      <alignment horizontal="center" vertical="center"/>
    </xf>
    <xf numFmtId="164" fontId="1" fillId="0" borderId="29" xfId="1" applyNumberFormat="1" applyBorder="1" applyAlignment="1">
      <alignment horizontal="center" vertical="center"/>
    </xf>
    <xf numFmtId="164" fontId="1" fillId="0" borderId="30" xfId="1" applyNumberFormat="1" applyBorder="1" applyAlignment="1">
      <alignment horizontal="center" vertical="center"/>
    </xf>
    <xf numFmtId="164" fontId="1" fillId="0" borderId="31" xfId="1" applyNumberFormat="1" applyBorder="1" applyAlignment="1">
      <alignment horizontal="center" vertical="center"/>
    </xf>
    <xf numFmtId="164" fontId="1" fillId="0" borderId="32" xfId="1" applyNumberFormat="1" applyBorder="1" applyAlignment="1">
      <alignment horizontal="center" vertical="center"/>
    </xf>
    <xf numFmtId="164" fontId="1" fillId="0" borderId="33" xfId="1" applyNumberFormat="1" applyBorder="1" applyAlignment="1">
      <alignment horizontal="center" vertical="center"/>
    </xf>
    <xf numFmtId="164" fontId="1" fillId="3" borderId="5" xfId="1" applyNumberFormat="1" applyFill="1" applyBorder="1" applyAlignment="1">
      <alignment horizontal="center" vertical="center"/>
    </xf>
    <xf numFmtId="164" fontId="1" fillId="3" borderId="6" xfId="1" applyNumberFormat="1" applyFill="1" applyBorder="1" applyAlignment="1">
      <alignment horizontal="center" vertical="center"/>
    </xf>
    <xf numFmtId="164" fontId="1" fillId="3" borderId="7" xfId="1" applyNumberFormat="1" applyFill="1" applyBorder="1" applyAlignment="1">
      <alignment horizontal="center" vertical="center"/>
    </xf>
    <xf numFmtId="0" fontId="1" fillId="3" borderId="14" xfId="1" applyFill="1" applyBorder="1" applyAlignment="1">
      <alignment horizontal="center" vertical="center"/>
    </xf>
    <xf numFmtId="164" fontId="1" fillId="3" borderId="15" xfId="1" applyNumberFormat="1" applyFill="1" applyBorder="1" applyAlignment="1">
      <alignment horizontal="center" vertical="center"/>
    </xf>
    <xf numFmtId="0" fontId="1" fillId="3" borderId="8" xfId="1" applyFill="1" applyBorder="1" applyAlignment="1">
      <alignment horizontal="center" vertical="center"/>
    </xf>
    <xf numFmtId="164" fontId="1" fillId="3" borderId="19" xfId="1" applyNumberFormat="1" applyFill="1" applyBorder="1" applyAlignment="1">
      <alignment horizontal="center" vertical="center"/>
    </xf>
    <xf numFmtId="0" fontId="1" fillId="3" borderId="22" xfId="1" applyFill="1" applyBorder="1" applyAlignment="1">
      <alignment horizontal="center" vertical="center"/>
    </xf>
    <xf numFmtId="164" fontId="1" fillId="3" borderId="11" xfId="1" applyNumberFormat="1" applyFill="1" applyBorder="1" applyAlignment="1">
      <alignment horizontal="center" vertical="center"/>
    </xf>
    <xf numFmtId="164" fontId="1" fillId="3" borderId="18" xfId="1" applyNumberFormat="1" applyFill="1" applyBorder="1" applyAlignment="1">
      <alignment horizontal="center" vertical="center"/>
    </xf>
    <xf numFmtId="164" fontId="1" fillId="3" borderId="16" xfId="1" applyNumberFormat="1" applyFill="1" applyBorder="1" applyAlignment="1">
      <alignment horizontal="center" vertical="center"/>
    </xf>
    <xf numFmtId="164" fontId="1" fillId="3" borderId="17" xfId="1" applyNumberFormat="1" applyFill="1" applyBorder="1" applyAlignment="1">
      <alignment horizontal="center" vertical="center"/>
    </xf>
    <xf numFmtId="164" fontId="1" fillId="3" borderId="20" xfId="1" applyNumberFormat="1" applyFill="1" applyBorder="1" applyAlignment="1">
      <alignment horizontal="center" vertical="center"/>
    </xf>
    <xf numFmtId="164" fontId="1" fillId="3" borderId="21" xfId="1" applyNumberFormat="1" applyFill="1" applyBorder="1" applyAlignment="1">
      <alignment horizontal="center" vertical="center"/>
    </xf>
    <xf numFmtId="164" fontId="1" fillId="3" borderId="10" xfId="1" applyNumberFormat="1" applyFill="1" applyBorder="1" applyAlignment="1">
      <alignment horizontal="center" vertical="center"/>
    </xf>
    <xf numFmtId="164" fontId="1" fillId="3" borderId="12" xfId="1" applyNumberFormat="1" applyFill="1" applyBorder="1" applyAlignment="1">
      <alignment horizontal="center" vertical="center"/>
    </xf>
    <xf numFmtId="164" fontId="1" fillId="3" borderId="34" xfId="1" applyNumberFormat="1" applyFill="1" applyBorder="1" applyAlignment="1">
      <alignment horizontal="center" vertical="center"/>
    </xf>
    <xf numFmtId="164" fontId="1" fillId="3" borderId="13" xfId="1" applyNumberFormat="1" applyFill="1" applyBorder="1" applyAlignment="1">
      <alignment horizontal="center" vertical="center"/>
    </xf>
    <xf numFmtId="164" fontId="1" fillId="3" borderId="25" xfId="1" applyNumberFormat="1" applyFill="1" applyBorder="1" applyAlignment="1">
      <alignment horizontal="center" vertical="center"/>
    </xf>
    <xf numFmtId="164" fontId="1" fillId="3" borderId="24" xfId="1" applyNumberFormat="1" applyFill="1" applyBorder="1" applyAlignment="1">
      <alignment horizontal="center" vertical="center"/>
    </xf>
    <xf numFmtId="164" fontId="1" fillId="3" borderId="9" xfId="1" applyNumberFormat="1" applyFill="1" applyBorder="1" applyAlignment="1">
      <alignment horizontal="center" vertical="center"/>
    </xf>
    <xf numFmtId="164" fontId="1" fillId="3" borderId="29" xfId="1" applyNumberFormat="1" applyFill="1" applyBorder="1" applyAlignment="1">
      <alignment horizontal="center" vertical="center"/>
    </xf>
    <xf numFmtId="164" fontId="1" fillId="3" borderId="32" xfId="1" applyNumberFormat="1" applyFill="1" applyBorder="1" applyAlignment="1">
      <alignment horizontal="center" vertical="center"/>
    </xf>
    <xf numFmtId="164" fontId="1" fillId="3" borderId="26" xfId="1" applyNumberForma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49" fontId="5" fillId="0" borderId="0" xfId="1" applyNumberFormat="1" applyFont="1" applyAlignment="1">
      <alignment horizontal="center"/>
    </xf>
    <xf numFmtId="49" fontId="1" fillId="0" borderId="0" xfId="1" applyNumberFormat="1" applyAlignment="1">
      <alignment horizontal="center"/>
    </xf>
    <xf numFmtId="49" fontId="4" fillId="0" borderId="0" xfId="1" applyNumberFormat="1" applyFont="1" applyAlignment="1">
      <alignment horizontal="center"/>
    </xf>
    <xf numFmtId="49" fontId="1" fillId="0" borderId="1" xfId="1" applyNumberForma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1" fillId="0" borderId="2" xfId="1" applyNumberForma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1" applyAlignment="1">
      <alignment horizontal="center"/>
    </xf>
    <xf numFmtId="49" fontId="1" fillId="3" borderId="1" xfId="1" applyNumberFormat="1" applyFill="1" applyBorder="1" applyAlignment="1">
      <alignment horizontal="center" vertical="center"/>
    </xf>
    <xf numFmtId="49" fontId="1" fillId="3" borderId="2" xfId="1" applyNumberFormat="1" applyFill="1" applyBorder="1" applyAlignment="1">
      <alignment horizontal="center" vertical="center"/>
    </xf>
    <xf numFmtId="49" fontId="1" fillId="3" borderId="1" xfId="1" applyNumberFormat="1" applyFill="1" applyBorder="1" applyAlignment="1">
      <alignment horizontal="center" vertical="center" wrapText="1"/>
    </xf>
    <xf numFmtId="49" fontId="1" fillId="3" borderId="2" xfId="1" applyNumberForma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0</xdr:rowOff>
    </xdr:from>
    <xdr:to>
      <xdr:col>1</xdr:col>
      <xdr:colOff>246885</xdr:colOff>
      <xdr:row>3</xdr:row>
      <xdr:rowOff>161925</xdr:rowOff>
    </xdr:to>
    <xdr:pic>
      <xdr:nvPicPr>
        <xdr:cNvPr id="3" name="Picture 1" descr="logo-bmkg-140p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6" y="0"/>
          <a:ext cx="66598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352426</xdr:colOff>
      <xdr:row>0</xdr:row>
      <xdr:rowOff>0</xdr:rowOff>
    </xdr:from>
    <xdr:to>
      <xdr:col>20</xdr:col>
      <xdr:colOff>409575</xdr:colOff>
      <xdr:row>3</xdr:row>
      <xdr:rowOff>161925</xdr:rowOff>
    </xdr:to>
    <xdr:pic>
      <xdr:nvPicPr>
        <xdr:cNvPr id="4" name="Picture 1" descr="logo-bmkg-140p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6" y="0"/>
          <a:ext cx="6667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352426</xdr:colOff>
      <xdr:row>0</xdr:row>
      <xdr:rowOff>0</xdr:rowOff>
    </xdr:from>
    <xdr:to>
      <xdr:col>39</xdr:col>
      <xdr:colOff>381000</xdr:colOff>
      <xdr:row>3</xdr:row>
      <xdr:rowOff>161925</xdr:rowOff>
    </xdr:to>
    <xdr:pic>
      <xdr:nvPicPr>
        <xdr:cNvPr id="5" name="Picture 1" descr="logo-bmkg-140p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802726" y="0"/>
          <a:ext cx="6381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0</xdr:rowOff>
    </xdr:from>
    <xdr:to>
      <xdr:col>1</xdr:col>
      <xdr:colOff>246885</xdr:colOff>
      <xdr:row>3</xdr:row>
      <xdr:rowOff>161925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6" y="0"/>
          <a:ext cx="66598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352426</xdr:colOff>
      <xdr:row>0</xdr:row>
      <xdr:rowOff>0</xdr:rowOff>
    </xdr:from>
    <xdr:to>
      <xdr:col>20</xdr:col>
      <xdr:colOff>409575</xdr:colOff>
      <xdr:row>3</xdr:row>
      <xdr:rowOff>161925</xdr:rowOff>
    </xdr:to>
    <xdr:pic>
      <xdr:nvPicPr>
        <xdr:cNvPr id="3" name="Picture 1" descr="logo-bmkg-140p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0326" y="0"/>
          <a:ext cx="6667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352426</xdr:colOff>
      <xdr:row>0</xdr:row>
      <xdr:rowOff>0</xdr:rowOff>
    </xdr:from>
    <xdr:to>
      <xdr:col>39</xdr:col>
      <xdr:colOff>381000</xdr:colOff>
      <xdr:row>3</xdr:row>
      <xdr:rowOff>161925</xdr:rowOff>
    </xdr:to>
    <xdr:pic>
      <xdr:nvPicPr>
        <xdr:cNvPr id="4" name="Picture 1" descr="logo-bmkg-140p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802726" y="0"/>
          <a:ext cx="6381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0</xdr:rowOff>
    </xdr:from>
    <xdr:to>
      <xdr:col>1</xdr:col>
      <xdr:colOff>246885</xdr:colOff>
      <xdr:row>3</xdr:row>
      <xdr:rowOff>161925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6" y="0"/>
          <a:ext cx="50405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352426</xdr:colOff>
      <xdr:row>0</xdr:row>
      <xdr:rowOff>0</xdr:rowOff>
    </xdr:from>
    <xdr:to>
      <xdr:col>20</xdr:col>
      <xdr:colOff>409575</xdr:colOff>
      <xdr:row>3</xdr:row>
      <xdr:rowOff>161925</xdr:rowOff>
    </xdr:to>
    <xdr:pic>
      <xdr:nvPicPr>
        <xdr:cNvPr id="3" name="Picture 1" descr="logo-bmkg-140p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6" y="0"/>
          <a:ext cx="6667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352426</xdr:colOff>
      <xdr:row>0</xdr:row>
      <xdr:rowOff>0</xdr:rowOff>
    </xdr:from>
    <xdr:to>
      <xdr:col>39</xdr:col>
      <xdr:colOff>381000</xdr:colOff>
      <xdr:row>3</xdr:row>
      <xdr:rowOff>161925</xdr:rowOff>
    </xdr:to>
    <xdr:pic>
      <xdr:nvPicPr>
        <xdr:cNvPr id="4" name="Picture 1" descr="logo-bmkg-140p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17226" y="0"/>
          <a:ext cx="6381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0</xdr:rowOff>
    </xdr:from>
    <xdr:to>
      <xdr:col>1</xdr:col>
      <xdr:colOff>246885</xdr:colOff>
      <xdr:row>3</xdr:row>
      <xdr:rowOff>161925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585390BB-4673-4A5F-8530-71987263C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6" y="0"/>
          <a:ext cx="50405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352426</xdr:colOff>
      <xdr:row>0</xdr:row>
      <xdr:rowOff>0</xdr:rowOff>
    </xdr:from>
    <xdr:to>
      <xdr:col>20</xdr:col>
      <xdr:colOff>409575</xdr:colOff>
      <xdr:row>3</xdr:row>
      <xdr:rowOff>161925</xdr:rowOff>
    </xdr:to>
    <xdr:pic>
      <xdr:nvPicPr>
        <xdr:cNvPr id="3" name="Picture 1" descr="logo-bmkg-140p">
          <a:extLst>
            <a:ext uri="{FF2B5EF4-FFF2-40B4-BE49-F238E27FC236}">
              <a16:creationId xmlns:a16="http://schemas.microsoft.com/office/drawing/2014/main" id="{D6692A53-AAEF-4D5E-8D33-F7D91FB3B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6" y="0"/>
          <a:ext cx="6667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352426</xdr:colOff>
      <xdr:row>0</xdr:row>
      <xdr:rowOff>0</xdr:rowOff>
    </xdr:from>
    <xdr:to>
      <xdr:col>39</xdr:col>
      <xdr:colOff>381000</xdr:colOff>
      <xdr:row>3</xdr:row>
      <xdr:rowOff>161925</xdr:rowOff>
    </xdr:to>
    <xdr:pic>
      <xdr:nvPicPr>
        <xdr:cNvPr id="4" name="Picture 1" descr="logo-bmkg-140p">
          <a:extLst>
            <a:ext uri="{FF2B5EF4-FFF2-40B4-BE49-F238E27FC236}">
              <a16:creationId xmlns:a16="http://schemas.microsoft.com/office/drawing/2014/main" id="{19EAB4E4-A198-4672-ADD8-88504D8D7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17226" y="0"/>
          <a:ext cx="6381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0</xdr:rowOff>
    </xdr:from>
    <xdr:to>
      <xdr:col>1</xdr:col>
      <xdr:colOff>246885</xdr:colOff>
      <xdr:row>3</xdr:row>
      <xdr:rowOff>161925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6FEF1C62-9417-45F2-AD19-2E375C21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6" y="0"/>
          <a:ext cx="50405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352426</xdr:colOff>
      <xdr:row>0</xdr:row>
      <xdr:rowOff>0</xdr:rowOff>
    </xdr:from>
    <xdr:to>
      <xdr:col>20</xdr:col>
      <xdr:colOff>409575</xdr:colOff>
      <xdr:row>3</xdr:row>
      <xdr:rowOff>161925</xdr:rowOff>
    </xdr:to>
    <xdr:pic>
      <xdr:nvPicPr>
        <xdr:cNvPr id="3" name="Picture 1" descr="logo-bmkg-140p">
          <a:extLst>
            <a:ext uri="{FF2B5EF4-FFF2-40B4-BE49-F238E27FC236}">
              <a16:creationId xmlns:a16="http://schemas.microsoft.com/office/drawing/2014/main" id="{01DC4B16-8ED0-4846-A4F7-D7389824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6" y="0"/>
          <a:ext cx="6667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352426</xdr:colOff>
      <xdr:row>0</xdr:row>
      <xdr:rowOff>0</xdr:rowOff>
    </xdr:from>
    <xdr:to>
      <xdr:col>39</xdr:col>
      <xdr:colOff>381000</xdr:colOff>
      <xdr:row>3</xdr:row>
      <xdr:rowOff>161925</xdr:rowOff>
    </xdr:to>
    <xdr:pic>
      <xdr:nvPicPr>
        <xdr:cNvPr id="4" name="Picture 1" descr="logo-bmkg-140p">
          <a:extLst>
            <a:ext uri="{FF2B5EF4-FFF2-40B4-BE49-F238E27FC236}">
              <a16:creationId xmlns:a16="http://schemas.microsoft.com/office/drawing/2014/main" id="{F224EF11-8897-4FCA-8690-CCA56C5D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17226" y="0"/>
          <a:ext cx="6381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0</xdr:row>
      <xdr:rowOff>0</xdr:rowOff>
    </xdr:from>
    <xdr:to>
      <xdr:col>1</xdr:col>
      <xdr:colOff>246885</xdr:colOff>
      <xdr:row>3</xdr:row>
      <xdr:rowOff>161925</xdr:rowOff>
    </xdr:to>
    <xdr:pic>
      <xdr:nvPicPr>
        <xdr:cNvPr id="2" name="Picture 1" descr="logo-bmkg-140p">
          <a:extLst>
            <a:ext uri="{FF2B5EF4-FFF2-40B4-BE49-F238E27FC236}">
              <a16:creationId xmlns:a16="http://schemas.microsoft.com/office/drawing/2014/main" id="{FB9A0BBC-AEF7-4281-A2BA-401D0D94E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6" y="0"/>
          <a:ext cx="50405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19</xdr:col>
      <xdr:colOff>352426</xdr:colOff>
      <xdr:row>0</xdr:row>
      <xdr:rowOff>0</xdr:rowOff>
    </xdr:from>
    <xdr:to>
      <xdr:col>20</xdr:col>
      <xdr:colOff>409575</xdr:colOff>
      <xdr:row>3</xdr:row>
      <xdr:rowOff>161925</xdr:rowOff>
    </xdr:to>
    <xdr:pic>
      <xdr:nvPicPr>
        <xdr:cNvPr id="3" name="Picture 1" descr="logo-bmkg-140p">
          <a:extLst>
            <a:ext uri="{FF2B5EF4-FFF2-40B4-BE49-F238E27FC236}">
              <a16:creationId xmlns:a16="http://schemas.microsoft.com/office/drawing/2014/main" id="{4E065DE4-1356-4092-B481-C9CC5A90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934826" y="0"/>
          <a:ext cx="666749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38</xdr:col>
      <xdr:colOff>352426</xdr:colOff>
      <xdr:row>0</xdr:row>
      <xdr:rowOff>0</xdr:rowOff>
    </xdr:from>
    <xdr:to>
      <xdr:col>39</xdr:col>
      <xdr:colOff>381000</xdr:colOff>
      <xdr:row>3</xdr:row>
      <xdr:rowOff>161925</xdr:rowOff>
    </xdr:to>
    <xdr:pic>
      <xdr:nvPicPr>
        <xdr:cNvPr id="4" name="Picture 1" descr="logo-bmkg-140p">
          <a:extLst>
            <a:ext uri="{FF2B5EF4-FFF2-40B4-BE49-F238E27FC236}">
              <a16:creationId xmlns:a16="http://schemas.microsoft.com/office/drawing/2014/main" id="{4AE9EE99-B644-47CA-8E7C-7E95F98A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517226" y="0"/>
          <a:ext cx="638174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5.MEI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1.JANUAR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2.FEBRUAR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3.MARET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4.%20APRIL%20new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6.%20JUNI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%20Obs%202\SYNOP%202022\7.%20JULI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MEI</v>
          </cell>
          <cell r="G2">
            <v>0</v>
          </cell>
        </row>
        <row r="3">
          <cell r="F3">
            <v>0</v>
          </cell>
          <cell r="G3">
            <v>0</v>
          </cell>
        </row>
        <row r="4">
          <cell r="F4" t="str">
            <v>BB</v>
          </cell>
          <cell r="G4" t="str">
            <v>TTD</v>
          </cell>
        </row>
        <row r="5">
          <cell r="F5">
            <v>0</v>
          </cell>
          <cell r="G5">
            <v>0</v>
          </cell>
        </row>
        <row r="6">
          <cell r="E6">
            <v>25.1</v>
          </cell>
          <cell r="F6">
            <v>23.8</v>
          </cell>
          <cell r="G6">
            <v>23.108002021084449</v>
          </cell>
        </row>
        <row r="7">
          <cell r="E7">
            <v>27.4</v>
          </cell>
          <cell r="F7">
            <v>24.3</v>
          </cell>
          <cell r="G7">
            <v>22.796069393403265</v>
          </cell>
        </row>
        <row r="8">
          <cell r="E8">
            <v>28.7</v>
          </cell>
          <cell r="F8">
            <v>24.7</v>
          </cell>
          <cell r="G8">
            <v>22.808324970948835</v>
          </cell>
        </row>
        <row r="9">
          <cell r="E9">
            <v>29.8</v>
          </cell>
          <cell r="F9">
            <v>25.1</v>
          </cell>
          <cell r="G9">
            <v>22.923312230764488</v>
          </cell>
        </row>
        <row r="10">
          <cell r="E10">
            <v>31.1</v>
          </cell>
          <cell r="F10">
            <v>26.2</v>
          </cell>
          <cell r="G10">
            <v>24.05757050152333</v>
          </cell>
        </row>
        <row r="11">
          <cell r="E11">
            <v>31</v>
          </cell>
          <cell r="F11">
            <v>26.6</v>
          </cell>
          <cell r="G11">
            <v>24.715454083602051</v>
          </cell>
        </row>
        <row r="12">
          <cell r="E12">
            <v>32.299999999999997</v>
          </cell>
          <cell r="F12">
            <v>25.2</v>
          </cell>
          <cell r="G12">
            <v>21.886741200021163</v>
          </cell>
        </row>
        <row r="13">
          <cell r="E13">
            <v>32.6</v>
          </cell>
          <cell r="F13">
            <v>25.2</v>
          </cell>
          <cell r="G13">
            <v>21.738181241058303</v>
          </cell>
        </row>
        <row r="14">
          <cell r="E14">
            <v>31.6</v>
          </cell>
          <cell r="F14">
            <v>25.6</v>
          </cell>
          <cell r="G14">
            <v>22.881196397786919</v>
          </cell>
        </row>
        <row r="15">
          <cell r="E15">
            <v>28.8</v>
          </cell>
          <cell r="F15">
            <v>25.6</v>
          </cell>
          <cell r="G15">
            <v>24.148033521051371</v>
          </cell>
        </row>
        <row r="16">
          <cell r="E16">
            <v>26.2</v>
          </cell>
          <cell r="F16">
            <v>25</v>
          </cell>
          <cell r="G16">
            <v>24.388027271235554</v>
          </cell>
        </row>
        <row r="17">
          <cell r="E17">
            <v>25.6</v>
          </cell>
          <cell r="F17">
            <v>24.4</v>
          </cell>
          <cell r="G17">
            <v>23.771410936659056</v>
          </cell>
        </row>
        <row r="18">
          <cell r="E18">
            <v>25.4</v>
          </cell>
          <cell r="F18">
            <v>24.4</v>
          </cell>
          <cell r="G18">
            <v>23.860484247779919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25.4</v>
          </cell>
          <cell r="G30">
            <v>25.399993896484375</v>
          </cell>
        </row>
        <row r="33">
          <cell r="F33" t="str">
            <v>WXREV</v>
          </cell>
        </row>
        <row r="34">
          <cell r="F34">
            <v>25.399993896484375</v>
          </cell>
          <cell r="G34">
            <v>25.399993896484375</v>
          </cell>
        </row>
        <row r="35">
          <cell r="F35">
            <v>25.399993896484375</v>
          </cell>
          <cell r="G35">
            <v>25.399993896484375</v>
          </cell>
        </row>
        <row r="36">
          <cell r="F36">
            <v>25.399993896484375</v>
          </cell>
          <cell r="G36">
            <v>25.399993896484375</v>
          </cell>
        </row>
        <row r="37">
          <cell r="F37">
            <v>25.399993896484375</v>
          </cell>
          <cell r="G37">
            <v>25.399993896484375</v>
          </cell>
        </row>
        <row r="38">
          <cell r="F38" t="str">
            <v>MEI</v>
          </cell>
          <cell r="G38">
            <v>25.399993896484375</v>
          </cell>
        </row>
        <row r="39">
          <cell r="F39">
            <v>25.399993896484375</v>
          </cell>
          <cell r="G39">
            <v>25.399993896484375</v>
          </cell>
        </row>
        <row r="40">
          <cell r="F40" t="str">
            <v>BB</v>
          </cell>
          <cell r="G40" t="str">
            <v>TTD</v>
          </cell>
        </row>
        <row r="41">
          <cell r="F41">
            <v>25.399993896484375</v>
          </cell>
          <cell r="G41">
            <v>25.399993896484375</v>
          </cell>
        </row>
        <row r="42">
          <cell r="E42">
            <v>26.2</v>
          </cell>
          <cell r="F42">
            <v>24.8</v>
          </cell>
          <cell r="G42">
            <v>24.09497496904363</v>
          </cell>
        </row>
        <row r="43">
          <cell r="E43">
            <v>27.2</v>
          </cell>
          <cell r="F43">
            <v>25.2</v>
          </cell>
          <cell r="G43">
            <v>24.248231050640438</v>
          </cell>
        </row>
        <row r="44">
          <cell r="E44">
            <v>28.5</v>
          </cell>
          <cell r="F44">
            <v>25.6</v>
          </cell>
          <cell r="G44">
            <v>24.278899833422276</v>
          </cell>
        </row>
        <row r="45">
          <cell r="E45">
            <v>29.4</v>
          </cell>
          <cell r="F45">
            <v>26.6</v>
          </cell>
          <cell r="G45">
            <v>25.383655494177017</v>
          </cell>
        </row>
        <row r="46">
          <cell r="E46">
            <v>30.4</v>
          </cell>
          <cell r="F46">
            <v>26.3</v>
          </cell>
          <cell r="G46">
            <v>24.515386240018543</v>
          </cell>
        </row>
        <row r="47">
          <cell r="E47">
            <v>31.6</v>
          </cell>
          <cell r="F47">
            <v>26.2</v>
          </cell>
          <cell r="G47">
            <v>23.836385843550101</v>
          </cell>
        </row>
        <row r="48">
          <cell r="E48">
            <v>32</v>
          </cell>
          <cell r="F48">
            <v>25.6</v>
          </cell>
          <cell r="G48">
            <v>22.693108806731502</v>
          </cell>
        </row>
        <row r="49">
          <cell r="E49">
            <v>32.799999999999997</v>
          </cell>
          <cell r="F49">
            <v>26.2</v>
          </cell>
          <cell r="G49">
            <v>23.294818096606175</v>
          </cell>
        </row>
        <row r="50">
          <cell r="E50">
            <v>31.6</v>
          </cell>
          <cell r="F50">
            <v>27.2</v>
          </cell>
          <cell r="G50">
            <v>25.372415932046216</v>
          </cell>
        </row>
        <row r="51">
          <cell r="E51">
            <v>24.8</v>
          </cell>
          <cell r="F51">
            <v>23.6</v>
          </cell>
          <cell r="G51">
            <v>22.948281918843517</v>
          </cell>
        </row>
        <row r="52">
          <cell r="E52">
            <v>27.8</v>
          </cell>
          <cell r="F52">
            <v>24.6</v>
          </cell>
          <cell r="G52">
            <v>23.072611503492613</v>
          </cell>
        </row>
        <row r="53">
          <cell r="E53">
            <v>27.4</v>
          </cell>
          <cell r="F53">
            <v>24.4</v>
          </cell>
          <cell r="G53">
            <v>22.950390620266091</v>
          </cell>
        </row>
        <row r="54">
          <cell r="E54">
            <v>26.6</v>
          </cell>
          <cell r="F54">
            <v>24</v>
          </cell>
          <cell r="G54">
            <v>22.710351727825326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24.8</v>
          </cell>
          <cell r="G66">
            <v>24.79998779296875</v>
          </cell>
        </row>
        <row r="67">
          <cell r="F67">
            <v>24.79998779296875</v>
          </cell>
          <cell r="G67">
            <v>24.79998779296875</v>
          </cell>
        </row>
        <row r="68">
          <cell r="F68">
            <v>24.79998779296875</v>
          </cell>
          <cell r="G68">
            <v>24.79998779296875</v>
          </cell>
        </row>
        <row r="69">
          <cell r="F69" t="str">
            <v>WXREV</v>
          </cell>
          <cell r="G69">
            <v>24.79998779296875</v>
          </cell>
        </row>
        <row r="70">
          <cell r="F70">
            <v>24.79998779296875</v>
          </cell>
          <cell r="G70">
            <v>24.79998779296875</v>
          </cell>
        </row>
        <row r="71">
          <cell r="F71">
            <v>24.79998779296875</v>
          </cell>
          <cell r="G71">
            <v>24.79998779296875</v>
          </cell>
        </row>
        <row r="72">
          <cell r="F72">
            <v>24.79998779296875</v>
          </cell>
          <cell r="G72">
            <v>24.79998779296875</v>
          </cell>
        </row>
        <row r="73">
          <cell r="F73">
            <v>24.79998779296875</v>
          </cell>
          <cell r="G73">
            <v>24.79998779296875</v>
          </cell>
        </row>
        <row r="74">
          <cell r="F74" t="str">
            <v>MEI</v>
          </cell>
          <cell r="G74">
            <v>24.79998779296875</v>
          </cell>
        </row>
        <row r="75">
          <cell r="F75">
            <v>24.79998779296875</v>
          </cell>
          <cell r="G75">
            <v>24.79998779296875</v>
          </cell>
        </row>
        <row r="76">
          <cell r="F76" t="str">
            <v>BB</v>
          </cell>
          <cell r="G76" t="str">
            <v>TTD</v>
          </cell>
        </row>
        <row r="77">
          <cell r="F77">
            <v>24.79998779296875</v>
          </cell>
          <cell r="G77">
            <v>24.79998779296875</v>
          </cell>
        </row>
        <row r="78">
          <cell r="E78">
            <v>26.4</v>
          </cell>
          <cell r="F78">
            <v>24.4</v>
          </cell>
          <cell r="G78">
            <v>23.41088917767016</v>
          </cell>
        </row>
        <row r="79">
          <cell r="E79">
            <v>27.4</v>
          </cell>
          <cell r="F79">
            <v>24.6</v>
          </cell>
          <cell r="G79">
            <v>23.256970699803183</v>
          </cell>
        </row>
        <row r="80">
          <cell r="E80">
            <v>28.6</v>
          </cell>
          <cell r="F80">
            <v>25</v>
          </cell>
          <cell r="G80">
            <v>23.321392650725961</v>
          </cell>
        </row>
        <row r="81">
          <cell r="E81">
            <v>29.8</v>
          </cell>
          <cell r="F81">
            <v>25</v>
          </cell>
          <cell r="G81">
            <v>22.764750111093644</v>
          </cell>
        </row>
        <row r="82">
          <cell r="E82">
            <v>30.8</v>
          </cell>
          <cell r="F82">
            <v>25</v>
          </cell>
          <cell r="G82">
            <v>22.288017674935872</v>
          </cell>
        </row>
        <row r="83">
          <cell r="E83">
            <v>32.4</v>
          </cell>
          <cell r="F83">
            <v>25</v>
          </cell>
          <cell r="G83">
            <v>21.49917598577947</v>
          </cell>
        </row>
        <row r="84">
          <cell r="E84">
            <v>33.6</v>
          </cell>
          <cell r="F84">
            <v>25.2</v>
          </cell>
          <cell r="G84">
            <v>21.234288712855516</v>
          </cell>
        </row>
        <row r="85">
          <cell r="E85">
            <v>33.4</v>
          </cell>
          <cell r="F85">
            <v>26.2</v>
          </cell>
          <cell r="G85">
            <v>23.018129363511846</v>
          </cell>
        </row>
        <row r="86">
          <cell r="E86">
            <v>32</v>
          </cell>
          <cell r="F86">
            <v>26.6</v>
          </cell>
          <cell r="G86">
            <v>24.285705103391685</v>
          </cell>
        </row>
        <row r="87">
          <cell r="E87">
            <v>32</v>
          </cell>
          <cell r="F87">
            <v>26.6</v>
          </cell>
          <cell r="G87">
            <v>24.285705103391685</v>
          </cell>
        </row>
        <row r="88">
          <cell r="E88">
            <v>30</v>
          </cell>
          <cell r="F88">
            <v>26.6</v>
          </cell>
          <cell r="G88">
            <v>25.135790377940566</v>
          </cell>
        </row>
        <row r="89">
          <cell r="E89">
            <v>28.6</v>
          </cell>
          <cell r="F89">
            <v>26.4</v>
          </cell>
          <cell r="G89">
            <v>25.419099587645718</v>
          </cell>
        </row>
        <row r="90">
          <cell r="E90">
            <v>28</v>
          </cell>
          <cell r="F90">
            <v>25.8</v>
          </cell>
          <cell r="G90">
            <v>24.790567712284382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28</v>
          </cell>
          <cell r="G102">
            <v>28</v>
          </cell>
        </row>
        <row r="103">
          <cell r="F103">
            <v>28</v>
          </cell>
          <cell r="G103">
            <v>28</v>
          </cell>
        </row>
        <row r="104">
          <cell r="F104">
            <v>28</v>
          </cell>
          <cell r="G104">
            <v>28</v>
          </cell>
        </row>
        <row r="105">
          <cell r="F105" t="str">
            <v>WXREV</v>
          </cell>
          <cell r="G105">
            <v>28</v>
          </cell>
        </row>
        <row r="106">
          <cell r="F106">
            <v>28</v>
          </cell>
          <cell r="G106">
            <v>28</v>
          </cell>
        </row>
        <row r="107">
          <cell r="F107">
            <v>28</v>
          </cell>
          <cell r="G107">
            <v>28</v>
          </cell>
        </row>
        <row r="108">
          <cell r="F108">
            <v>28</v>
          </cell>
          <cell r="G108">
            <v>28</v>
          </cell>
        </row>
        <row r="109">
          <cell r="F109">
            <v>28</v>
          </cell>
          <cell r="G109">
            <v>28</v>
          </cell>
        </row>
        <row r="110">
          <cell r="F110" t="str">
            <v>MEI</v>
          </cell>
          <cell r="G110">
            <v>28</v>
          </cell>
        </row>
        <row r="111">
          <cell r="F111">
            <v>28</v>
          </cell>
          <cell r="G111">
            <v>28</v>
          </cell>
        </row>
        <row r="112">
          <cell r="F112" t="str">
            <v>BB</v>
          </cell>
          <cell r="G112" t="str">
            <v>TTD</v>
          </cell>
        </row>
        <row r="113">
          <cell r="F113">
            <v>28</v>
          </cell>
          <cell r="G113">
            <v>28</v>
          </cell>
        </row>
        <row r="114">
          <cell r="E114">
            <v>25.2</v>
          </cell>
          <cell r="F114">
            <v>24.6</v>
          </cell>
          <cell r="G114">
            <v>24.240171052708501</v>
          </cell>
        </row>
        <row r="115">
          <cell r="E115">
            <v>27.7</v>
          </cell>
          <cell r="F115">
            <v>25.2</v>
          </cell>
          <cell r="G115">
            <v>24.029272851593944</v>
          </cell>
        </row>
        <row r="116">
          <cell r="E116">
            <v>29.8</v>
          </cell>
          <cell r="F116">
            <v>25.3</v>
          </cell>
          <cell r="G116">
            <v>23.238220957061539</v>
          </cell>
        </row>
        <row r="117">
          <cell r="E117">
            <v>30.6</v>
          </cell>
          <cell r="F117">
            <v>25</v>
          </cell>
          <cell r="G117">
            <v>22.384333702710158</v>
          </cell>
        </row>
        <row r="118">
          <cell r="E118">
            <v>31</v>
          </cell>
          <cell r="F118">
            <v>24.6</v>
          </cell>
          <cell r="G118">
            <v>21.529064030477215</v>
          </cell>
        </row>
        <row r="119">
          <cell r="E119">
            <v>32</v>
          </cell>
          <cell r="F119">
            <v>25.6</v>
          </cell>
          <cell r="G119">
            <v>22.693108806731502</v>
          </cell>
        </row>
        <row r="120">
          <cell r="E120">
            <v>31.8</v>
          </cell>
          <cell r="F120">
            <v>25.6</v>
          </cell>
          <cell r="G120">
            <v>22.787386628827527</v>
          </cell>
        </row>
        <row r="121">
          <cell r="E121">
            <v>32.5</v>
          </cell>
          <cell r="F121">
            <v>25.2</v>
          </cell>
          <cell r="G121">
            <v>21.787832160431243</v>
          </cell>
        </row>
        <row r="122">
          <cell r="E122">
            <v>32.1</v>
          </cell>
          <cell r="F122">
            <v>24.7</v>
          </cell>
          <cell r="G122">
            <v>21.13959302807228</v>
          </cell>
        </row>
        <row r="123">
          <cell r="E123">
            <v>30.9</v>
          </cell>
          <cell r="F123">
            <v>27.1</v>
          </cell>
          <cell r="G123">
            <v>25.509330031977925</v>
          </cell>
        </row>
        <row r="124">
          <cell r="E124">
            <v>29.5</v>
          </cell>
          <cell r="F124">
            <v>26</v>
          </cell>
          <cell r="G124">
            <v>24.448028104251726</v>
          </cell>
        </row>
        <row r="125">
          <cell r="E125">
            <v>27.9</v>
          </cell>
          <cell r="F125">
            <v>25.8</v>
          </cell>
          <cell r="G125">
            <v>24.83284948699842</v>
          </cell>
        </row>
        <row r="126">
          <cell r="E126">
            <v>27.3</v>
          </cell>
          <cell r="F126">
            <v>26.1</v>
          </cell>
          <cell r="G126">
            <v>25.516958861934871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27.3</v>
          </cell>
          <cell r="G138">
            <v>27.29998779296875</v>
          </cell>
        </row>
        <row r="139">
          <cell r="F139">
            <v>27.29998779296875</v>
          </cell>
          <cell r="G139">
            <v>27.29998779296875</v>
          </cell>
        </row>
        <row r="140">
          <cell r="F140">
            <v>27.29998779296875</v>
          </cell>
          <cell r="G140">
            <v>27.29998779296875</v>
          </cell>
        </row>
        <row r="141">
          <cell r="F141" t="str">
            <v>WXREV</v>
          </cell>
          <cell r="G141">
            <v>27.29998779296875</v>
          </cell>
        </row>
        <row r="142">
          <cell r="F142">
            <v>27.29998779296875</v>
          </cell>
          <cell r="G142">
            <v>27.29998779296875</v>
          </cell>
        </row>
        <row r="143">
          <cell r="F143">
            <v>27.29998779296875</v>
          </cell>
          <cell r="G143">
            <v>27.29998779296875</v>
          </cell>
        </row>
        <row r="144">
          <cell r="F144">
            <v>27.29998779296875</v>
          </cell>
          <cell r="G144">
            <v>27.29998779296875</v>
          </cell>
        </row>
        <row r="145">
          <cell r="F145">
            <v>27.29998779296875</v>
          </cell>
          <cell r="G145">
            <v>27.29998779296875</v>
          </cell>
        </row>
        <row r="146">
          <cell r="F146" t="str">
            <v>MEI</v>
          </cell>
          <cell r="G146">
            <v>27.29998779296875</v>
          </cell>
        </row>
        <row r="147">
          <cell r="F147">
            <v>27.29998779296875</v>
          </cell>
          <cell r="G147">
            <v>27.29998779296875</v>
          </cell>
        </row>
        <row r="148">
          <cell r="F148" t="str">
            <v>BB</v>
          </cell>
          <cell r="G148" t="str">
            <v>TTD</v>
          </cell>
        </row>
        <row r="149">
          <cell r="F149">
            <v>27.29998779296875</v>
          </cell>
          <cell r="G149">
            <v>27.29998779296875</v>
          </cell>
        </row>
        <row r="150">
          <cell r="E150">
            <v>25.6</v>
          </cell>
          <cell r="F150">
            <v>24.9</v>
          </cell>
          <cell r="G150">
            <v>24.50135780969012</v>
          </cell>
        </row>
        <row r="151">
          <cell r="E151">
            <v>26.8</v>
          </cell>
          <cell r="F151">
            <v>24.8</v>
          </cell>
          <cell r="G151">
            <v>23.829794165744062</v>
          </cell>
        </row>
        <row r="152">
          <cell r="E152">
            <v>28.4</v>
          </cell>
          <cell r="F152">
            <v>25.6</v>
          </cell>
          <cell r="G152">
            <v>24.32232363916911</v>
          </cell>
        </row>
        <row r="153">
          <cell r="E153">
            <v>29.3</v>
          </cell>
          <cell r="F153">
            <v>25.8</v>
          </cell>
          <cell r="G153">
            <v>24.232248791878977</v>
          </cell>
        </row>
        <row r="154">
          <cell r="E154">
            <v>30</v>
          </cell>
          <cell r="F154">
            <v>25.8</v>
          </cell>
          <cell r="G154">
            <v>23.924726871474732</v>
          </cell>
        </row>
        <row r="155">
          <cell r="E155">
            <v>30.6</v>
          </cell>
          <cell r="F155">
            <v>25.7</v>
          </cell>
          <cell r="G155">
            <v>23.500621985768088</v>
          </cell>
        </row>
        <row r="156">
          <cell r="E156">
            <v>31.2</v>
          </cell>
          <cell r="F156">
            <v>26.4</v>
          </cell>
          <cell r="G156">
            <v>24.323248278322577</v>
          </cell>
        </row>
        <row r="157">
          <cell r="E157">
            <v>30.1</v>
          </cell>
          <cell r="F157">
            <v>26.4</v>
          </cell>
          <cell r="G157">
            <v>24.794527482178328</v>
          </cell>
        </row>
        <row r="158">
          <cell r="E158">
            <v>29.8</v>
          </cell>
          <cell r="F158">
            <v>25.4</v>
          </cell>
          <cell r="G158">
            <v>23.394590685489504</v>
          </cell>
        </row>
        <row r="159">
          <cell r="E159">
            <v>26.3</v>
          </cell>
          <cell r="F159">
            <v>24.6</v>
          </cell>
          <cell r="G159">
            <v>23.754915932393299</v>
          </cell>
        </row>
        <row r="160">
          <cell r="E160">
            <v>26.7</v>
          </cell>
          <cell r="F160">
            <v>25</v>
          </cell>
          <cell r="G160">
            <v>24.170676959407547</v>
          </cell>
        </row>
        <row r="161">
          <cell r="E161">
            <v>26.5</v>
          </cell>
          <cell r="F161">
            <v>24.9</v>
          </cell>
          <cell r="G161">
            <v>24.110679096015026</v>
          </cell>
        </row>
        <row r="162">
          <cell r="E162">
            <v>26.2</v>
          </cell>
          <cell r="F162">
            <v>24.8</v>
          </cell>
          <cell r="G162">
            <v>24.09497496904363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26.2</v>
          </cell>
          <cell r="G174">
            <v>26.199996948242188</v>
          </cell>
        </row>
        <row r="175">
          <cell r="F175">
            <v>26.199996948242188</v>
          </cell>
          <cell r="G175">
            <v>26.199996948242188</v>
          </cell>
        </row>
        <row r="176">
          <cell r="F176">
            <v>26.199996948242188</v>
          </cell>
          <cell r="G176">
            <v>26.199996948242188</v>
          </cell>
        </row>
        <row r="177">
          <cell r="F177" t="str">
            <v>WXREV</v>
          </cell>
          <cell r="G177">
            <v>26.199996948242188</v>
          </cell>
        </row>
        <row r="178">
          <cell r="F178">
            <v>26.199996948242188</v>
          </cell>
          <cell r="G178">
            <v>26.199996948242188</v>
          </cell>
        </row>
        <row r="179">
          <cell r="F179">
            <v>26.199996948242188</v>
          </cell>
          <cell r="G179">
            <v>26.199996948242188</v>
          </cell>
        </row>
        <row r="180">
          <cell r="F180">
            <v>26.199996948242188</v>
          </cell>
          <cell r="G180">
            <v>26.199996948242188</v>
          </cell>
        </row>
        <row r="181">
          <cell r="F181">
            <v>26.199996948242188</v>
          </cell>
          <cell r="G181">
            <v>26.199996948242188</v>
          </cell>
        </row>
        <row r="182">
          <cell r="F182" t="str">
            <v>MEI</v>
          </cell>
          <cell r="G182">
            <v>26.199996948242188</v>
          </cell>
        </row>
        <row r="183">
          <cell r="F183">
            <v>26.199996948242188</v>
          </cell>
          <cell r="G183">
            <v>26.199996948242188</v>
          </cell>
        </row>
        <row r="184">
          <cell r="F184" t="str">
            <v>BB</v>
          </cell>
          <cell r="G184" t="str">
            <v>TTD</v>
          </cell>
        </row>
        <row r="185">
          <cell r="F185">
            <v>26.199996948242188</v>
          </cell>
          <cell r="G185">
            <v>26.199996948242188</v>
          </cell>
        </row>
        <row r="186">
          <cell r="E186">
            <v>25.8</v>
          </cell>
          <cell r="F186">
            <v>24.2</v>
          </cell>
          <cell r="G186">
            <v>23.384370540910407</v>
          </cell>
        </row>
        <row r="187">
          <cell r="E187">
            <v>27.3</v>
          </cell>
          <cell r="F187">
            <v>25</v>
          </cell>
          <cell r="G187">
            <v>23.906549780904818</v>
          </cell>
        </row>
        <row r="188">
          <cell r="E188">
            <v>29</v>
          </cell>
          <cell r="F188">
            <v>25.8</v>
          </cell>
          <cell r="G188">
            <v>24.362543776675032</v>
          </cell>
        </row>
        <row r="189">
          <cell r="E189">
            <v>29.6</v>
          </cell>
          <cell r="F189">
            <v>25.8</v>
          </cell>
          <cell r="G189">
            <v>24.1010596629962</v>
          </cell>
        </row>
        <row r="190">
          <cell r="E190">
            <v>31</v>
          </cell>
          <cell r="F190">
            <v>26</v>
          </cell>
          <cell r="G190">
            <v>23.79046980665996</v>
          </cell>
        </row>
        <row r="191">
          <cell r="E191">
            <v>30.9</v>
          </cell>
          <cell r="F191">
            <v>26.2</v>
          </cell>
          <cell r="G191">
            <v>24.145331528903299</v>
          </cell>
        </row>
        <row r="192">
          <cell r="E192">
            <v>31.5</v>
          </cell>
          <cell r="F192">
            <v>26.8</v>
          </cell>
          <cell r="G192">
            <v>24.808228369146487</v>
          </cell>
        </row>
        <row r="193">
          <cell r="E193">
            <v>24.8</v>
          </cell>
          <cell r="F193">
            <v>24.4</v>
          </cell>
          <cell r="G193">
            <v>24.125234420920101</v>
          </cell>
        </row>
        <row r="194">
          <cell r="E194">
            <v>25.6</v>
          </cell>
          <cell r="F194">
            <v>24.4</v>
          </cell>
          <cell r="G194">
            <v>23.771410936659056</v>
          </cell>
        </row>
        <row r="195">
          <cell r="E195">
            <v>26.6</v>
          </cell>
          <cell r="F195">
            <v>25.2</v>
          </cell>
          <cell r="G195">
            <v>24.507713530973501</v>
          </cell>
        </row>
        <row r="196">
          <cell r="E196">
            <v>24.2</v>
          </cell>
          <cell r="F196">
            <v>23.6</v>
          </cell>
          <cell r="G196">
            <v>23.225937351919136</v>
          </cell>
        </row>
        <row r="197">
          <cell r="E197">
            <v>23.8</v>
          </cell>
          <cell r="F197">
            <v>23.4</v>
          </cell>
          <cell r="G197">
            <v>23.115625074420976</v>
          </cell>
        </row>
        <row r="198">
          <cell r="E198">
            <v>24</v>
          </cell>
          <cell r="F198">
            <v>23.2</v>
          </cell>
          <cell r="G198">
            <v>22.725900467116261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23.8</v>
          </cell>
          <cell r="G210">
            <v>23.79998779296875</v>
          </cell>
        </row>
        <row r="211">
          <cell r="F211">
            <v>23.79998779296875</v>
          </cell>
          <cell r="G211">
            <v>23.79998779296875</v>
          </cell>
        </row>
        <row r="212">
          <cell r="F212">
            <v>23.79998779296875</v>
          </cell>
          <cell r="G212">
            <v>23.79998779296875</v>
          </cell>
        </row>
        <row r="213">
          <cell r="F213" t="str">
            <v>WXREV</v>
          </cell>
          <cell r="G213">
            <v>23.79998779296875</v>
          </cell>
        </row>
        <row r="214">
          <cell r="F214">
            <v>23.79998779296875</v>
          </cell>
          <cell r="G214">
            <v>23.79998779296875</v>
          </cell>
        </row>
        <row r="215">
          <cell r="F215">
            <v>23.79998779296875</v>
          </cell>
          <cell r="G215">
            <v>23.79998779296875</v>
          </cell>
        </row>
        <row r="216">
          <cell r="F216">
            <v>23.79998779296875</v>
          </cell>
          <cell r="G216">
            <v>23.79998779296875</v>
          </cell>
        </row>
        <row r="217">
          <cell r="F217">
            <v>23.79998779296875</v>
          </cell>
          <cell r="G217">
            <v>23.79998779296875</v>
          </cell>
        </row>
        <row r="218">
          <cell r="F218" t="str">
            <v>MEI</v>
          </cell>
          <cell r="G218">
            <v>23.79998779296875</v>
          </cell>
        </row>
        <row r="219">
          <cell r="F219">
            <v>23.79998779296875</v>
          </cell>
          <cell r="G219">
            <v>23.79998779296875</v>
          </cell>
        </row>
        <row r="220">
          <cell r="F220" t="str">
            <v>BB</v>
          </cell>
          <cell r="G220" t="str">
            <v>TTD</v>
          </cell>
        </row>
        <row r="221">
          <cell r="F221">
            <v>23.79998779296875</v>
          </cell>
          <cell r="G221">
            <v>23.79998779296875</v>
          </cell>
        </row>
        <row r="222">
          <cell r="E222">
            <v>25.6</v>
          </cell>
          <cell r="F222">
            <v>25</v>
          </cell>
          <cell r="G222">
            <v>24.645631305674684</v>
          </cell>
        </row>
        <row r="223">
          <cell r="E223">
            <v>27.2</v>
          </cell>
          <cell r="F223">
            <v>25.2</v>
          </cell>
          <cell r="G223">
            <v>24.248231050640438</v>
          </cell>
        </row>
        <row r="224">
          <cell r="E224">
            <v>28.2</v>
          </cell>
          <cell r="F224">
            <v>25.6</v>
          </cell>
          <cell r="G224">
            <v>24.408876700109047</v>
          </cell>
        </row>
        <row r="225">
          <cell r="E225">
            <v>29.8</v>
          </cell>
          <cell r="F225">
            <v>26.2</v>
          </cell>
          <cell r="G225">
            <v>24.62094772066326</v>
          </cell>
        </row>
        <row r="226">
          <cell r="E226">
            <v>30.4</v>
          </cell>
          <cell r="F226">
            <v>26.4</v>
          </cell>
          <cell r="G226">
            <v>24.667141319943219</v>
          </cell>
        </row>
        <row r="227">
          <cell r="E227">
            <v>31.2</v>
          </cell>
          <cell r="F227">
            <v>27</v>
          </cell>
          <cell r="G227">
            <v>25.236576951642508</v>
          </cell>
        </row>
        <row r="228">
          <cell r="E228">
            <v>31.2</v>
          </cell>
          <cell r="F228">
            <v>26.6</v>
          </cell>
          <cell r="G228">
            <v>24.630271718829672</v>
          </cell>
        </row>
        <row r="229">
          <cell r="E229">
            <v>30.6</v>
          </cell>
          <cell r="F229">
            <v>26.6</v>
          </cell>
          <cell r="G229">
            <v>24.884693169763537</v>
          </cell>
        </row>
        <row r="230">
          <cell r="E230">
            <v>29.4</v>
          </cell>
          <cell r="F230">
            <v>26</v>
          </cell>
          <cell r="G230">
            <v>24.491071560371971</v>
          </cell>
        </row>
        <row r="231">
          <cell r="E231">
            <v>27.4</v>
          </cell>
          <cell r="F231">
            <v>25.6</v>
          </cell>
          <cell r="G231">
            <v>24.751230598214192</v>
          </cell>
        </row>
        <row r="232">
          <cell r="E232">
            <v>24.6</v>
          </cell>
          <cell r="F232">
            <v>24</v>
          </cell>
          <cell r="G232">
            <v>23.631733166285724</v>
          </cell>
        </row>
        <row r="233">
          <cell r="E233">
            <v>24</v>
          </cell>
          <cell r="F233">
            <v>23.4</v>
          </cell>
          <cell r="G233">
            <v>23.022986804446777</v>
          </cell>
        </row>
        <row r="234">
          <cell r="E234">
            <v>24</v>
          </cell>
          <cell r="F234">
            <v>23.4</v>
          </cell>
          <cell r="G234">
            <v>23.022986804446777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24</v>
          </cell>
          <cell r="G246">
            <v>24</v>
          </cell>
        </row>
        <row r="247">
          <cell r="F247">
            <v>24</v>
          </cell>
          <cell r="G247">
            <v>24</v>
          </cell>
        </row>
        <row r="248">
          <cell r="F248">
            <v>24</v>
          </cell>
          <cell r="G248">
            <v>24</v>
          </cell>
        </row>
        <row r="249">
          <cell r="F249" t="str">
            <v>WXREV</v>
          </cell>
          <cell r="G249">
            <v>24</v>
          </cell>
        </row>
        <row r="250">
          <cell r="F250">
            <v>24</v>
          </cell>
          <cell r="G250">
            <v>24</v>
          </cell>
        </row>
        <row r="251">
          <cell r="F251">
            <v>24</v>
          </cell>
          <cell r="G251">
            <v>24</v>
          </cell>
        </row>
        <row r="252">
          <cell r="F252">
            <v>24</v>
          </cell>
          <cell r="G252">
            <v>24</v>
          </cell>
        </row>
        <row r="253">
          <cell r="F253">
            <v>24</v>
          </cell>
          <cell r="G253">
            <v>24</v>
          </cell>
        </row>
        <row r="254">
          <cell r="F254" t="str">
            <v>MEI</v>
          </cell>
          <cell r="G254">
            <v>24</v>
          </cell>
        </row>
        <row r="255">
          <cell r="F255">
            <v>24</v>
          </cell>
          <cell r="G255">
            <v>24</v>
          </cell>
        </row>
        <row r="256">
          <cell r="F256" t="str">
            <v>BB</v>
          </cell>
          <cell r="G256" t="str">
            <v>TTD</v>
          </cell>
        </row>
        <row r="257">
          <cell r="F257">
            <v>24</v>
          </cell>
          <cell r="G257">
            <v>24</v>
          </cell>
        </row>
        <row r="258">
          <cell r="E258">
            <v>25.5</v>
          </cell>
          <cell r="F258">
            <v>24.2</v>
          </cell>
          <cell r="G258">
            <v>23.520555948119188</v>
          </cell>
        </row>
        <row r="259">
          <cell r="E259">
            <v>27</v>
          </cell>
          <cell r="F259">
            <v>25.2</v>
          </cell>
          <cell r="G259">
            <v>24.335116740668042</v>
          </cell>
        </row>
        <row r="260">
          <cell r="E260">
            <v>28.2</v>
          </cell>
          <cell r="F260">
            <v>25.6</v>
          </cell>
          <cell r="G260">
            <v>24.408876700109047</v>
          </cell>
        </row>
        <row r="261">
          <cell r="E261">
            <v>29.6</v>
          </cell>
          <cell r="F261">
            <v>26.2</v>
          </cell>
          <cell r="G261">
            <v>24.706168921549796</v>
          </cell>
        </row>
        <row r="262">
          <cell r="E262">
            <v>29.8</v>
          </cell>
          <cell r="F262">
            <v>26.4</v>
          </cell>
          <cell r="G262">
            <v>24.921074218465066</v>
          </cell>
        </row>
        <row r="263">
          <cell r="E263">
            <v>30.6</v>
          </cell>
          <cell r="F263">
            <v>26.4</v>
          </cell>
          <cell r="G263">
            <v>24.581744907935423</v>
          </cell>
        </row>
        <row r="264">
          <cell r="E264">
            <v>30.4</v>
          </cell>
          <cell r="F264">
            <v>26.4</v>
          </cell>
          <cell r="G264">
            <v>24.667141319943219</v>
          </cell>
        </row>
        <row r="265">
          <cell r="E265">
            <v>29.6</v>
          </cell>
          <cell r="F265">
            <v>25.6</v>
          </cell>
          <cell r="G265">
            <v>23.79460686035754</v>
          </cell>
        </row>
        <row r="266">
          <cell r="E266">
            <v>28.3</v>
          </cell>
          <cell r="F266">
            <v>26.1</v>
          </cell>
          <cell r="G266">
            <v>25.104966552624049</v>
          </cell>
        </row>
        <row r="267">
          <cell r="E267">
            <v>27.7</v>
          </cell>
          <cell r="F267">
            <v>26.7</v>
          </cell>
          <cell r="G267">
            <v>26.210768381032615</v>
          </cell>
        </row>
        <row r="268">
          <cell r="E268">
            <v>26.9</v>
          </cell>
          <cell r="F268">
            <v>25.4</v>
          </cell>
          <cell r="G268">
            <v>24.671423157602952</v>
          </cell>
        </row>
        <row r="269">
          <cell r="E269">
            <v>26.2</v>
          </cell>
          <cell r="F269">
            <v>25.3</v>
          </cell>
          <cell r="G269">
            <v>24.823294606953301</v>
          </cell>
        </row>
        <row r="270">
          <cell r="E270">
            <v>26.2</v>
          </cell>
          <cell r="F270">
            <v>25.6</v>
          </cell>
          <cell r="G270">
            <v>25.253583330602201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26.2</v>
          </cell>
          <cell r="G282">
            <v>26.199996948242188</v>
          </cell>
        </row>
        <row r="283">
          <cell r="F283">
            <v>26.199996948242188</v>
          </cell>
          <cell r="G283">
            <v>26.199996948242188</v>
          </cell>
        </row>
        <row r="284">
          <cell r="F284">
            <v>26.199996948242188</v>
          </cell>
          <cell r="G284">
            <v>26.199996948242188</v>
          </cell>
        </row>
        <row r="285">
          <cell r="F285" t="str">
            <v>WXREV</v>
          </cell>
          <cell r="G285">
            <v>26.199996948242188</v>
          </cell>
        </row>
        <row r="286">
          <cell r="F286">
            <v>26.199996948242188</v>
          </cell>
          <cell r="G286">
            <v>26.199996948242188</v>
          </cell>
        </row>
        <row r="287">
          <cell r="F287">
            <v>26.199996948242188</v>
          </cell>
          <cell r="G287">
            <v>26.199996948242188</v>
          </cell>
        </row>
        <row r="288">
          <cell r="F288">
            <v>26.199996948242188</v>
          </cell>
          <cell r="G288">
            <v>26.199996948242188</v>
          </cell>
        </row>
        <row r="289">
          <cell r="F289">
            <v>26.199996948242188</v>
          </cell>
          <cell r="G289">
            <v>26.199996948242188</v>
          </cell>
        </row>
        <row r="290">
          <cell r="F290" t="str">
            <v>MEI</v>
          </cell>
          <cell r="G290">
            <v>26.199996948242188</v>
          </cell>
        </row>
        <row r="291">
          <cell r="F291">
            <v>26.199996948242188</v>
          </cell>
          <cell r="G291">
            <v>26.199996948242188</v>
          </cell>
        </row>
        <row r="292">
          <cell r="F292" t="str">
            <v>BB</v>
          </cell>
          <cell r="G292" t="str">
            <v>TTD</v>
          </cell>
        </row>
        <row r="293">
          <cell r="F293">
            <v>26.199996948242188</v>
          </cell>
          <cell r="G293">
            <v>26.199996948242188</v>
          </cell>
        </row>
        <row r="294">
          <cell r="E294">
            <v>25.4</v>
          </cell>
          <cell r="F294">
            <v>24</v>
          </cell>
          <cell r="G294">
            <v>23.268536476619335</v>
          </cell>
        </row>
        <row r="295">
          <cell r="E295">
            <v>27</v>
          </cell>
          <cell r="F295">
            <v>24.6</v>
          </cell>
          <cell r="G295">
            <v>23.439555090650348</v>
          </cell>
        </row>
        <row r="296">
          <cell r="E296">
            <v>28.7</v>
          </cell>
          <cell r="F296">
            <v>25.6</v>
          </cell>
          <cell r="G296">
            <v>24.191755261749357</v>
          </cell>
        </row>
        <row r="297">
          <cell r="E297">
            <v>29.7</v>
          </cell>
          <cell r="F297">
            <v>26.2</v>
          </cell>
          <cell r="G297">
            <v>24.663605644138098</v>
          </cell>
        </row>
        <row r="298">
          <cell r="E298">
            <v>31.9</v>
          </cell>
          <cell r="F298">
            <v>26.5</v>
          </cell>
          <cell r="G298">
            <v>24.173499152649189</v>
          </cell>
        </row>
        <row r="299">
          <cell r="E299">
            <v>31.5</v>
          </cell>
          <cell r="F299">
            <v>26.3</v>
          </cell>
          <cell r="G299">
            <v>24.037102005107748</v>
          </cell>
        </row>
        <row r="300">
          <cell r="E300">
            <v>31.3</v>
          </cell>
          <cell r="F300">
            <v>27.4</v>
          </cell>
          <cell r="G300">
            <v>25.792911049944003</v>
          </cell>
        </row>
        <row r="301">
          <cell r="E301">
            <v>25.9</v>
          </cell>
          <cell r="F301">
            <v>25.4</v>
          </cell>
          <cell r="G301">
            <v>25.092676193612377</v>
          </cell>
        </row>
        <row r="302">
          <cell r="E302">
            <v>26.4</v>
          </cell>
          <cell r="F302">
            <v>25</v>
          </cell>
          <cell r="G302">
            <v>24.301383345836562</v>
          </cell>
        </row>
        <row r="303">
          <cell r="E303">
            <v>27.4</v>
          </cell>
          <cell r="F303">
            <v>25.8</v>
          </cell>
          <cell r="G303">
            <v>25.042874125091561</v>
          </cell>
        </row>
        <row r="304">
          <cell r="E304">
            <v>26.8</v>
          </cell>
          <cell r="F304">
            <v>25.6</v>
          </cell>
          <cell r="G304">
            <v>25.004046888190331</v>
          </cell>
        </row>
        <row r="305">
          <cell r="E305">
            <v>26.8</v>
          </cell>
          <cell r="F305">
            <v>25.6</v>
          </cell>
          <cell r="G305">
            <v>25.004046888190331</v>
          </cell>
        </row>
        <row r="306">
          <cell r="E306">
            <v>26.6</v>
          </cell>
          <cell r="F306">
            <v>25.6</v>
          </cell>
          <cell r="G306">
            <v>25.087585591806544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25.9</v>
          </cell>
          <cell r="G318">
            <v>25.899993896484375</v>
          </cell>
        </row>
        <row r="319">
          <cell r="F319">
            <v>25.899993896484375</v>
          </cell>
          <cell r="G319">
            <v>25.899993896484375</v>
          </cell>
        </row>
        <row r="320">
          <cell r="F320">
            <v>25.899993896484375</v>
          </cell>
          <cell r="G320">
            <v>25.899993896484375</v>
          </cell>
        </row>
        <row r="321">
          <cell r="F321" t="str">
            <v>WXREV</v>
          </cell>
          <cell r="G321">
            <v>25.899993896484375</v>
          </cell>
        </row>
        <row r="322">
          <cell r="F322">
            <v>25.899993896484375</v>
          </cell>
          <cell r="G322">
            <v>25.899993896484375</v>
          </cell>
        </row>
        <row r="323">
          <cell r="F323">
            <v>25.899993896484375</v>
          </cell>
          <cell r="G323">
            <v>25.899993896484375</v>
          </cell>
        </row>
        <row r="324">
          <cell r="F324">
            <v>25.899993896484375</v>
          </cell>
          <cell r="G324">
            <v>25.899993896484375</v>
          </cell>
        </row>
        <row r="325">
          <cell r="F325">
            <v>25.899993896484375</v>
          </cell>
          <cell r="G325">
            <v>25.899993896484375</v>
          </cell>
        </row>
        <row r="326">
          <cell r="F326" t="str">
            <v>MEI</v>
          </cell>
          <cell r="G326">
            <v>25.899993896484375</v>
          </cell>
        </row>
        <row r="327">
          <cell r="F327">
            <v>25.899993896484375</v>
          </cell>
          <cell r="G327">
            <v>25.899993896484375</v>
          </cell>
        </row>
        <row r="328">
          <cell r="F328" t="str">
            <v>BB</v>
          </cell>
          <cell r="G328" t="str">
            <v>TTD</v>
          </cell>
        </row>
        <row r="329">
          <cell r="F329">
            <v>25.899993896484375</v>
          </cell>
          <cell r="G329">
            <v>25.899993896484375</v>
          </cell>
        </row>
        <row r="330">
          <cell r="E330">
            <v>25.6</v>
          </cell>
          <cell r="F330">
            <v>24.6</v>
          </cell>
          <cell r="G330">
            <v>24.06513901073685</v>
          </cell>
        </row>
        <row r="331">
          <cell r="E331">
            <v>27.2</v>
          </cell>
          <cell r="F331">
            <v>25.2</v>
          </cell>
          <cell r="G331">
            <v>24.248231050640438</v>
          </cell>
        </row>
        <row r="332">
          <cell r="E332">
            <v>28.8</v>
          </cell>
          <cell r="F332">
            <v>25.6</v>
          </cell>
          <cell r="G332">
            <v>24.148033521051371</v>
          </cell>
        </row>
        <row r="333">
          <cell r="E333">
            <v>30</v>
          </cell>
          <cell r="F333">
            <v>26</v>
          </cell>
          <cell r="G333">
            <v>24.231346865433</v>
          </cell>
        </row>
        <row r="334">
          <cell r="E334">
            <v>31</v>
          </cell>
          <cell r="F334">
            <v>26.3</v>
          </cell>
          <cell r="G334">
            <v>24.255987917803285</v>
          </cell>
        </row>
        <row r="335">
          <cell r="E335">
            <v>32</v>
          </cell>
          <cell r="F335">
            <v>27</v>
          </cell>
          <cell r="G335">
            <v>24.902805008943183</v>
          </cell>
        </row>
        <row r="336">
          <cell r="E336">
            <v>31.8</v>
          </cell>
          <cell r="F336">
            <v>27.2</v>
          </cell>
          <cell r="G336">
            <v>25.2900960141349</v>
          </cell>
        </row>
        <row r="337">
          <cell r="E337">
            <v>31</v>
          </cell>
          <cell r="F337">
            <v>26.6</v>
          </cell>
          <cell r="G337">
            <v>24.715454083602051</v>
          </cell>
        </row>
        <row r="338">
          <cell r="E338">
            <v>30.2</v>
          </cell>
          <cell r="F338">
            <v>26.6</v>
          </cell>
          <cell r="G338">
            <v>25.052454898899356</v>
          </cell>
        </row>
        <row r="339">
          <cell r="E339">
            <v>29.3</v>
          </cell>
          <cell r="F339">
            <v>26.1</v>
          </cell>
          <cell r="G339">
            <v>24.683963941731744</v>
          </cell>
        </row>
        <row r="340">
          <cell r="E340">
            <v>27.6</v>
          </cell>
          <cell r="F340">
            <v>24.5</v>
          </cell>
          <cell r="G340">
            <v>23.011318918850375</v>
          </cell>
        </row>
        <row r="341">
          <cell r="E341">
            <v>26.6</v>
          </cell>
          <cell r="F341">
            <v>24.7</v>
          </cell>
          <cell r="G341">
            <v>23.769810379525076</v>
          </cell>
        </row>
        <row r="342">
          <cell r="E342">
            <v>26.2</v>
          </cell>
          <cell r="F342">
            <v>24.9</v>
          </cell>
          <cell r="G342">
            <v>24.241794125726216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26.2</v>
          </cell>
          <cell r="G354">
            <v>26.199996948242188</v>
          </cell>
        </row>
        <row r="355">
          <cell r="F355">
            <v>26.199996948242188</v>
          </cell>
          <cell r="G355">
            <v>26.199996948242188</v>
          </cell>
        </row>
        <row r="356">
          <cell r="F356">
            <v>26.199996948242188</v>
          </cell>
          <cell r="G356">
            <v>26.199996948242188</v>
          </cell>
        </row>
        <row r="357">
          <cell r="F357" t="str">
            <v>WXREV</v>
          </cell>
          <cell r="G357">
            <v>26.199996948242188</v>
          </cell>
        </row>
        <row r="358">
          <cell r="F358">
            <v>26.199996948242188</v>
          </cell>
          <cell r="G358">
            <v>26.199996948242188</v>
          </cell>
        </row>
        <row r="359">
          <cell r="F359">
            <v>26.199996948242188</v>
          </cell>
          <cell r="G359">
            <v>26.199996948242188</v>
          </cell>
        </row>
        <row r="360">
          <cell r="F360">
            <v>26.199996948242188</v>
          </cell>
          <cell r="G360">
            <v>26.199996948242188</v>
          </cell>
        </row>
        <row r="361">
          <cell r="F361">
            <v>26.199996948242188</v>
          </cell>
          <cell r="G361">
            <v>26.199996948242188</v>
          </cell>
        </row>
        <row r="362">
          <cell r="F362" t="str">
            <v>MEI</v>
          </cell>
          <cell r="G362">
            <v>26.199996948242188</v>
          </cell>
        </row>
        <row r="363">
          <cell r="F363">
            <v>26.199996948242188</v>
          </cell>
          <cell r="G363">
            <v>26.199996948242188</v>
          </cell>
        </row>
        <row r="364">
          <cell r="F364" t="str">
            <v>BB</v>
          </cell>
          <cell r="G364" t="str">
            <v>TTD</v>
          </cell>
        </row>
        <row r="365">
          <cell r="F365">
            <v>26.199996948242188</v>
          </cell>
          <cell r="G365">
            <v>26.199996948242188</v>
          </cell>
        </row>
        <row r="366">
          <cell r="E366">
            <v>26</v>
          </cell>
          <cell r="F366">
            <v>24.3</v>
          </cell>
          <cell r="G366">
            <v>23.442835009620829</v>
          </cell>
        </row>
        <row r="367">
          <cell r="E367">
            <v>27.6</v>
          </cell>
          <cell r="F367">
            <v>25</v>
          </cell>
          <cell r="G367">
            <v>23.773101758937997</v>
          </cell>
        </row>
        <row r="368">
          <cell r="E368">
            <v>29.5</v>
          </cell>
          <cell r="F368">
            <v>26</v>
          </cell>
          <cell r="G368">
            <v>24.448028104251726</v>
          </cell>
        </row>
        <row r="369">
          <cell r="E369">
            <v>30.4</v>
          </cell>
          <cell r="F369">
            <v>26</v>
          </cell>
          <cell r="G369">
            <v>24.056216238791031</v>
          </cell>
        </row>
        <row r="370">
          <cell r="E370">
            <v>31.5</v>
          </cell>
          <cell r="F370">
            <v>26.3</v>
          </cell>
          <cell r="G370">
            <v>24.037102005107748</v>
          </cell>
        </row>
        <row r="371">
          <cell r="E371">
            <v>31.8</v>
          </cell>
          <cell r="F371">
            <v>26.8</v>
          </cell>
          <cell r="G371">
            <v>24.680929651635907</v>
          </cell>
        </row>
        <row r="372">
          <cell r="E372">
            <v>31.8</v>
          </cell>
          <cell r="F372">
            <v>26.4</v>
          </cell>
          <cell r="G372">
            <v>24.061211082431299</v>
          </cell>
        </row>
        <row r="373">
          <cell r="E373">
            <v>32.6</v>
          </cell>
          <cell r="F373">
            <v>26.8</v>
          </cell>
          <cell r="G373">
            <v>24.33727618667562</v>
          </cell>
        </row>
        <row r="374">
          <cell r="E374">
            <v>32.4</v>
          </cell>
          <cell r="F374">
            <v>26</v>
          </cell>
          <cell r="G374">
            <v>23.155571451496382</v>
          </cell>
        </row>
        <row r="375">
          <cell r="E375">
            <v>30.2</v>
          </cell>
          <cell r="F375">
            <v>27.2</v>
          </cell>
          <cell r="G375">
            <v>25.939038024195355</v>
          </cell>
        </row>
        <row r="376">
          <cell r="E376">
            <v>29.4</v>
          </cell>
          <cell r="F376">
            <v>27</v>
          </cell>
          <cell r="G376">
            <v>25.967098619065382</v>
          </cell>
        </row>
        <row r="377">
          <cell r="E377">
            <v>28.2</v>
          </cell>
          <cell r="F377">
            <v>26.2</v>
          </cell>
          <cell r="G377">
            <v>25.292363705718824</v>
          </cell>
        </row>
        <row r="378">
          <cell r="E378">
            <v>27.6</v>
          </cell>
          <cell r="F378">
            <v>25.8</v>
          </cell>
          <cell r="G378">
            <v>24.959139380333962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27.6</v>
          </cell>
          <cell r="G390">
            <v>27.599990844726563</v>
          </cell>
        </row>
        <row r="391">
          <cell r="F391">
            <v>27.599990844726563</v>
          </cell>
          <cell r="G391">
            <v>27.599990844726563</v>
          </cell>
        </row>
        <row r="392">
          <cell r="F392">
            <v>27.599990844726563</v>
          </cell>
          <cell r="G392">
            <v>27.599990844726563</v>
          </cell>
        </row>
        <row r="393">
          <cell r="F393" t="str">
            <v>WXREV</v>
          </cell>
          <cell r="G393">
            <v>27.599990844726563</v>
          </cell>
        </row>
        <row r="394">
          <cell r="F394">
            <v>27.599990844726563</v>
          </cell>
          <cell r="G394">
            <v>27.599990844726563</v>
          </cell>
        </row>
        <row r="395">
          <cell r="F395">
            <v>27.599990844726563</v>
          </cell>
          <cell r="G395">
            <v>27.599990844726563</v>
          </cell>
        </row>
        <row r="396">
          <cell r="F396">
            <v>27.599990844726563</v>
          </cell>
          <cell r="G396">
            <v>27.599990844726563</v>
          </cell>
        </row>
        <row r="397">
          <cell r="F397">
            <v>27.599990844726563</v>
          </cell>
          <cell r="G397">
            <v>27.599990844726563</v>
          </cell>
        </row>
        <row r="398">
          <cell r="F398" t="str">
            <v>MEI</v>
          </cell>
          <cell r="G398">
            <v>27.599990844726563</v>
          </cell>
        </row>
        <row r="399">
          <cell r="F399">
            <v>27.599990844726563</v>
          </cell>
          <cell r="G399">
            <v>27.599990844726563</v>
          </cell>
        </row>
        <row r="400">
          <cell r="F400" t="str">
            <v>BB</v>
          </cell>
          <cell r="G400" t="str">
            <v>TTD</v>
          </cell>
        </row>
        <row r="401">
          <cell r="F401">
            <v>27.599990844726563</v>
          </cell>
          <cell r="G401">
            <v>27.599990844726563</v>
          </cell>
        </row>
        <row r="402">
          <cell r="E402">
            <v>25.7</v>
          </cell>
          <cell r="F402">
            <v>24.7</v>
          </cell>
          <cell r="G402">
            <v>24.167445267370841</v>
          </cell>
        </row>
        <row r="403">
          <cell r="E403">
            <v>26.3</v>
          </cell>
          <cell r="F403">
            <v>25.3</v>
          </cell>
          <cell r="G403">
            <v>24.780993312524082</v>
          </cell>
        </row>
        <row r="404">
          <cell r="E404">
            <v>28.3</v>
          </cell>
          <cell r="F404">
            <v>25.5</v>
          </cell>
          <cell r="G404">
            <v>24.215974330546651</v>
          </cell>
        </row>
        <row r="405">
          <cell r="E405">
            <v>29.8</v>
          </cell>
          <cell r="F405">
            <v>25.4</v>
          </cell>
          <cell r="G405">
            <v>23.394590685489504</v>
          </cell>
        </row>
        <row r="406">
          <cell r="E406">
            <v>29.9</v>
          </cell>
          <cell r="F406">
            <v>26.1</v>
          </cell>
          <cell r="G406">
            <v>24.426857660366935</v>
          </cell>
        </row>
        <row r="407">
          <cell r="E407">
            <v>31.1</v>
          </cell>
          <cell r="F407">
            <v>27</v>
          </cell>
          <cell r="G407">
            <v>25.277894615753311</v>
          </cell>
        </row>
        <row r="408">
          <cell r="E408">
            <v>30.9</v>
          </cell>
          <cell r="F408">
            <v>26.5</v>
          </cell>
          <cell r="G408">
            <v>24.605742101324182</v>
          </cell>
        </row>
        <row r="409">
          <cell r="E409">
            <v>32.200000000000003</v>
          </cell>
          <cell r="F409">
            <v>26.6</v>
          </cell>
          <cell r="G409">
            <v>24.198585396896078</v>
          </cell>
        </row>
        <row r="410">
          <cell r="E410">
            <v>32.5</v>
          </cell>
          <cell r="F410">
            <v>27.3</v>
          </cell>
          <cell r="G410">
            <v>25.152172182732507</v>
          </cell>
        </row>
        <row r="411">
          <cell r="E411">
            <v>31.8</v>
          </cell>
          <cell r="F411">
            <v>27</v>
          </cell>
          <cell r="G411">
            <v>24.986792312097581</v>
          </cell>
        </row>
        <row r="412">
          <cell r="E412">
            <v>29.4</v>
          </cell>
          <cell r="F412">
            <v>26.6</v>
          </cell>
          <cell r="G412">
            <v>25.383655494177017</v>
          </cell>
        </row>
        <row r="413">
          <cell r="E413">
            <v>27.6</v>
          </cell>
          <cell r="F413">
            <v>25.6</v>
          </cell>
          <cell r="G413">
            <v>24.666213473453418</v>
          </cell>
        </row>
        <row r="414">
          <cell r="E414">
            <v>26.6</v>
          </cell>
          <cell r="F414">
            <v>25</v>
          </cell>
          <cell r="G414">
            <v>24.214345134056124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26.6</v>
          </cell>
          <cell r="G426">
            <v>26.599990844726563</v>
          </cell>
        </row>
        <row r="427">
          <cell r="F427">
            <v>26.599990844726563</v>
          </cell>
          <cell r="G427">
            <v>26.599990844726563</v>
          </cell>
        </row>
        <row r="428">
          <cell r="F428">
            <v>26.599990844726563</v>
          </cell>
          <cell r="G428">
            <v>26.599990844726563</v>
          </cell>
        </row>
        <row r="429">
          <cell r="F429" t="str">
            <v>WXREV</v>
          </cell>
          <cell r="G429">
            <v>26.599990844726563</v>
          </cell>
        </row>
        <row r="430">
          <cell r="F430">
            <v>26.599990844726563</v>
          </cell>
          <cell r="G430">
            <v>26.599990844726563</v>
          </cell>
        </row>
        <row r="431">
          <cell r="F431">
            <v>26.599990844726563</v>
          </cell>
          <cell r="G431">
            <v>26.599990844726563</v>
          </cell>
        </row>
        <row r="432">
          <cell r="F432">
            <v>26.599990844726563</v>
          </cell>
          <cell r="G432">
            <v>26.599990844726563</v>
          </cell>
        </row>
        <row r="433">
          <cell r="F433">
            <v>26.599990844726563</v>
          </cell>
          <cell r="G433">
            <v>26.599990844726563</v>
          </cell>
        </row>
        <row r="434">
          <cell r="F434" t="str">
            <v>MEI</v>
          </cell>
          <cell r="G434">
            <v>26.599990844726563</v>
          </cell>
        </row>
        <row r="435">
          <cell r="F435">
            <v>26.599990844726563</v>
          </cell>
          <cell r="G435">
            <v>26.599990844726563</v>
          </cell>
        </row>
        <row r="436">
          <cell r="F436" t="str">
            <v>BB</v>
          </cell>
          <cell r="G436" t="str">
            <v>TTD</v>
          </cell>
        </row>
        <row r="437">
          <cell r="F437">
            <v>26.599990844726563</v>
          </cell>
          <cell r="G437">
            <v>26.599990844726563</v>
          </cell>
        </row>
        <row r="438">
          <cell r="E438">
            <v>27.9</v>
          </cell>
          <cell r="F438">
            <v>24.8</v>
          </cell>
          <cell r="G438">
            <v>23.333825326586801</v>
          </cell>
        </row>
        <row r="439">
          <cell r="E439">
            <v>28.8</v>
          </cell>
          <cell r="F439">
            <v>25.4</v>
          </cell>
          <cell r="G439">
            <v>23.844597001278153</v>
          </cell>
        </row>
        <row r="440">
          <cell r="E440">
            <v>29.8</v>
          </cell>
          <cell r="F440">
            <v>25.6</v>
          </cell>
          <cell r="G440">
            <v>23.705216804198258</v>
          </cell>
        </row>
        <row r="441">
          <cell r="E441">
            <v>31</v>
          </cell>
          <cell r="F441">
            <v>26</v>
          </cell>
          <cell r="G441">
            <v>23.79046980665996</v>
          </cell>
        </row>
        <row r="442">
          <cell r="E442">
            <v>32.200000000000003</v>
          </cell>
          <cell r="F442">
            <v>25.6</v>
          </cell>
          <cell r="G442">
            <v>22.598357875156712</v>
          </cell>
        </row>
        <row r="443">
          <cell r="E443">
            <v>33.200000000000003</v>
          </cell>
          <cell r="F443">
            <v>26.4</v>
          </cell>
          <cell r="G443">
            <v>23.435416767588233</v>
          </cell>
        </row>
        <row r="444">
          <cell r="E444">
            <v>33.4</v>
          </cell>
          <cell r="F444">
            <v>25.6</v>
          </cell>
          <cell r="G444">
            <v>22.019622968133277</v>
          </cell>
        </row>
        <row r="445">
          <cell r="E445">
            <v>33.700000000000003</v>
          </cell>
          <cell r="F445">
            <v>26.7</v>
          </cell>
          <cell r="G445">
            <v>23.693699079421691</v>
          </cell>
        </row>
        <row r="446">
          <cell r="E446">
            <v>32.5</v>
          </cell>
          <cell r="F446">
            <v>27.6</v>
          </cell>
          <cell r="G446">
            <v>25.607350669558613</v>
          </cell>
        </row>
        <row r="447">
          <cell r="E447">
            <v>30.3</v>
          </cell>
          <cell r="F447">
            <v>26.4</v>
          </cell>
          <cell r="G447">
            <v>24.709697383998805</v>
          </cell>
        </row>
        <row r="448">
          <cell r="E448">
            <v>28.7</v>
          </cell>
          <cell r="F448">
            <v>25.9</v>
          </cell>
          <cell r="G448">
            <v>24.64113164449801</v>
          </cell>
        </row>
        <row r="449">
          <cell r="E449">
            <v>26.9</v>
          </cell>
          <cell r="F449">
            <v>24.4</v>
          </cell>
          <cell r="G449">
            <v>23.182038337621304</v>
          </cell>
        </row>
        <row r="450">
          <cell r="E450">
            <v>25.1</v>
          </cell>
          <cell r="F450">
            <v>24.2</v>
          </cell>
          <cell r="G450">
            <v>23.700631898461467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25.1</v>
          </cell>
          <cell r="G462">
            <v>25.099990844726563</v>
          </cell>
        </row>
        <row r="463">
          <cell r="F463">
            <v>25.099990844726563</v>
          </cell>
          <cell r="G463">
            <v>25.099990844726563</v>
          </cell>
        </row>
        <row r="464">
          <cell r="F464">
            <v>25.099990844726563</v>
          </cell>
          <cell r="G464">
            <v>25.099990844726563</v>
          </cell>
        </row>
        <row r="465">
          <cell r="F465" t="str">
            <v>WXREV</v>
          </cell>
          <cell r="G465">
            <v>25.099990844726563</v>
          </cell>
        </row>
        <row r="466">
          <cell r="F466">
            <v>25.099990844726563</v>
          </cell>
          <cell r="G466">
            <v>25.099990844726563</v>
          </cell>
        </row>
        <row r="467">
          <cell r="F467">
            <v>25.099990844726563</v>
          </cell>
          <cell r="G467">
            <v>25.099990844726563</v>
          </cell>
        </row>
        <row r="468">
          <cell r="F468">
            <v>25.099990844726563</v>
          </cell>
          <cell r="G468">
            <v>25.099990844726563</v>
          </cell>
        </row>
        <row r="469">
          <cell r="F469">
            <v>25.099990844726563</v>
          </cell>
          <cell r="G469">
            <v>25.099990844726563</v>
          </cell>
        </row>
        <row r="470">
          <cell r="F470" t="str">
            <v>MEI</v>
          </cell>
          <cell r="G470">
            <v>25.099990844726563</v>
          </cell>
        </row>
        <row r="471">
          <cell r="F471">
            <v>25.099990844726563</v>
          </cell>
          <cell r="G471">
            <v>25.099990844726563</v>
          </cell>
        </row>
        <row r="472">
          <cell r="F472" t="str">
            <v>BB</v>
          </cell>
          <cell r="G472" t="str">
            <v>TTD</v>
          </cell>
        </row>
        <row r="473">
          <cell r="F473">
            <v>25.099990844726563</v>
          </cell>
          <cell r="G473">
            <v>25.099990844726563</v>
          </cell>
        </row>
        <row r="474">
          <cell r="E474">
            <v>26.3</v>
          </cell>
          <cell r="F474">
            <v>24.9</v>
          </cell>
          <cell r="G474">
            <v>24.198189002149082</v>
          </cell>
        </row>
        <row r="475">
          <cell r="E475">
            <v>28.2</v>
          </cell>
          <cell r="F475">
            <v>25.6</v>
          </cell>
          <cell r="G475">
            <v>24.408876700109047</v>
          </cell>
        </row>
        <row r="476">
          <cell r="E476">
            <v>29.6</v>
          </cell>
          <cell r="F476">
            <v>25.6</v>
          </cell>
          <cell r="G476">
            <v>23.79460686035754</v>
          </cell>
        </row>
        <row r="477">
          <cell r="E477">
            <v>30.8</v>
          </cell>
          <cell r="F477">
            <v>26.2</v>
          </cell>
          <cell r="G477">
            <v>24.189061302754549</v>
          </cell>
        </row>
        <row r="478">
          <cell r="E478">
            <v>31.4</v>
          </cell>
          <cell r="F478">
            <v>26.2</v>
          </cell>
          <cell r="G478">
            <v>23.925167750037577</v>
          </cell>
        </row>
        <row r="479">
          <cell r="E479">
            <v>31.2</v>
          </cell>
          <cell r="F479">
            <v>26.6</v>
          </cell>
          <cell r="G479">
            <v>24.630271718829672</v>
          </cell>
        </row>
        <row r="480">
          <cell r="E480">
            <v>30.4</v>
          </cell>
          <cell r="F480">
            <v>26.6</v>
          </cell>
          <cell r="G480">
            <v>24.968756966854531</v>
          </cell>
        </row>
        <row r="481">
          <cell r="E481">
            <v>30.3</v>
          </cell>
          <cell r="F481">
            <v>26.7</v>
          </cell>
          <cell r="G481">
            <v>25.160206290236239</v>
          </cell>
        </row>
        <row r="482">
          <cell r="E482">
            <v>29.4</v>
          </cell>
          <cell r="F482">
            <v>25.9</v>
          </cell>
          <cell r="G482">
            <v>24.340163865376375</v>
          </cell>
        </row>
        <row r="483">
          <cell r="E483">
            <v>28.8</v>
          </cell>
          <cell r="F483">
            <v>26</v>
          </cell>
          <cell r="G483">
            <v>24.747322007330105</v>
          </cell>
        </row>
        <row r="484">
          <cell r="E484">
            <v>28</v>
          </cell>
          <cell r="F484">
            <v>26.1</v>
          </cell>
          <cell r="G484">
            <v>25.229491330090035</v>
          </cell>
        </row>
        <row r="485">
          <cell r="E485">
            <v>27.5</v>
          </cell>
          <cell r="F485">
            <v>25.9</v>
          </cell>
          <cell r="G485">
            <v>25.146342719618296</v>
          </cell>
        </row>
        <row r="486">
          <cell r="E486">
            <v>25.9</v>
          </cell>
          <cell r="F486">
            <v>24.4</v>
          </cell>
          <cell r="G486">
            <v>23.637014841394823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25.9</v>
          </cell>
          <cell r="G498">
            <v>25.899993896484375</v>
          </cell>
        </row>
        <row r="499">
          <cell r="F499">
            <v>25.899993896484375</v>
          </cell>
          <cell r="G499">
            <v>25.899993896484375</v>
          </cell>
        </row>
        <row r="500">
          <cell r="F500">
            <v>25.899993896484375</v>
          </cell>
          <cell r="G500">
            <v>25.899993896484375</v>
          </cell>
        </row>
        <row r="501">
          <cell r="F501" t="str">
            <v>WXREV</v>
          </cell>
          <cell r="G501">
            <v>25.899993896484375</v>
          </cell>
        </row>
        <row r="502">
          <cell r="F502">
            <v>25.899993896484375</v>
          </cell>
          <cell r="G502">
            <v>25.899993896484375</v>
          </cell>
        </row>
        <row r="503">
          <cell r="F503">
            <v>25.899993896484375</v>
          </cell>
          <cell r="G503">
            <v>25.899993896484375</v>
          </cell>
        </row>
        <row r="504">
          <cell r="F504">
            <v>25.899993896484375</v>
          </cell>
          <cell r="G504">
            <v>25.899993896484375</v>
          </cell>
        </row>
        <row r="505">
          <cell r="F505">
            <v>25.899993896484375</v>
          </cell>
          <cell r="G505">
            <v>25.899993896484375</v>
          </cell>
        </row>
        <row r="506">
          <cell r="F506" t="str">
            <v>MEI</v>
          </cell>
          <cell r="G506">
            <v>25.899993896484375</v>
          </cell>
        </row>
        <row r="507">
          <cell r="F507">
            <v>25.899993896484375</v>
          </cell>
          <cell r="G507">
            <v>25.899993896484375</v>
          </cell>
        </row>
        <row r="508">
          <cell r="F508" t="str">
            <v>BB</v>
          </cell>
          <cell r="G508" t="str">
            <v>TTD</v>
          </cell>
        </row>
        <row r="509">
          <cell r="F509">
            <v>25.899993896484375</v>
          </cell>
          <cell r="G509">
            <v>25.899993896484375</v>
          </cell>
        </row>
        <row r="510">
          <cell r="E510">
            <v>25.8</v>
          </cell>
          <cell r="F510">
            <v>25</v>
          </cell>
          <cell r="G510">
            <v>24.560147509721816</v>
          </cell>
        </row>
        <row r="511">
          <cell r="E511">
            <v>28.6</v>
          </cell>
          <cell r="F511">
            <v>25.6</v>
          </cell>
          <cell r="G511">
            <v>24.235377202799327</v>
          </cell>
        </row>
        <row r="512">
          <cell r="E512">
            <v>28.8</v>
          </cell>
          <cell r="F512">
            <v>25.6</v>
          </cell>
          <cell r="G512">
            <v>24.148033521051371</v>
          </cell>
        </row>
        <row r="513">
          <cell r="E513">
            <v>29.8</v>
          </cell>
          <cell r="F513">
            <v>26</v>
          </cell>
          <cell r="G513">
            <v>24.318314056671813</v>
          </cell>
        </row>
        <row r="514">
          <cell r="E514">
            <v>30.8</v>
          </cell>
          <cell r="F514">
            <v>26.2</v>
          </cell>
          <cell r="G514">
            <v>24.189061302754549</v>
          </cell>
        </row>
        <row r="515">
          <cell r="E515">
            <v>31.4</v>
          </cell>
          <cell r="F515">
            <v>26.4</v>
          </cell>
          <cell r="G515">
            <v>24.236301083473421</v>
          </cell>
        </row>
        <row r="516">
          <cell r="E516">
            <v>31.2</v>
          </cell>
          <cell r="F516">
            <v>26.6</v>
          </cell>
          <cell r="G516">
            <v>24.630271718829672</v>
          </cell>
        </row>
        <row r="517">
          <cell r="E517">
            <v>31.9</v>
          </cell>
          <cell r="F517">
            <v>26.6</v>
          </cell>
          <cell r="G517">
            <v>24.329116579319134</v>
          </cell>
        </row>
        <row r="518">
          <cell r="E518">
            <v>31.4</v>
          </cell>
          <cell r="F518">
            <v>26.7</v>
          </cell>
          <cell r="G518">
            <v>24.697917291160945</v>
          </cell>
        </row>
        <row r="519">
          <cell r="E519">
            <v>30.7</v>
          </cell>
          <cell r="F519">
            <v>26.5</v>
          </cell>
          <cell r="G519">
            <v>24.691032592362863</v>
          </cell>
        </row>
        <row r="520">
          <cell r="E520">
            <v>29</v>
          </cell>
          <cell r="F520">
            <v>26</v>
          </cell>
          <cell r="G520">
            <v>24.662285046101083</v>
          </cell>
        </row>
        <row r="521">
          <cell r="E521">
            <v>27.8</v>
          </cell>
          <cell r="F521">
            <v>25.7</v>
          </cell>
          <cell r="G521">
            <v>24.728220795775393</v>
          </cell>
        </row>
        <row r="522">
          <cell r="E522">
            <v>27</v>
          </cell>
          <cell r="F522">
            <v>25.5</v>
          </cell>
          <cell r="G522">
            <v>24.774748992986638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27</v>
          </cell>
          <cell r="G534">
            <v>27</v>
          </cell>
        </row>
        <row r="535">
          <cell r="F535">
            <v>27</v>
          </cell>
          <cell r="G535">
            <v>27</v>
          </cell>
        </row>
        <row r="536">
          <cell r="F536">
            <v>27</v>
          </cell>
          <cell r="G536">
            <v>27</v>
          </cell>
        </row>
        <row r="537">
          <cell r="F537" t="str">
            <v>WXREV</v>
          </cell>
          <cell r="G537">
            <v>27</v>
          </cell>
        </row>
        <row r="538">
          <cell r="F538">
            <v>27</v>
          </cell>
          <cell r="G538">
            <v>27</v>
          </cell>
        </row>
        <row r="539">
          <cell r="F539">
            <v>27</v>
          </cell>
          <cell r="G539">
            <v>27</v>
          </cell>
        </row>
        <row r="540">
          <cell r="F540">
            <v>27</v>
          </cell>
          <cell r="G540">
            <v>27</v>
          </cell>
        </row>
        <row r="541">
          <cell r="F541">
            <v>27</v>
          </cell>
          <cell r="G541">
            <v>27</v>
          </cell>
        </row>
        <row r="542">
          <cell r="F542" t="str">
            <v>MEI</v>
          </cell>
          <cell r="G542">
            <v>27</v>
          </cell>
        </row>
        <row r="543">
          <cell r="F543">
            <v>27</v>
          </cell>
          <cell r="G543">
            <v>27</v>
          </cell>
        </row>
        <row r="544">
          <cell r="F544" t="str">
            <v>BB</v>
          </cell>
          <cell r="G544" t="str">
            <v>TTD</v>
          </cell>
        </row>
        <row r="545">
          <cell r="F545">
            <v>27</v>
          </cell>
          <cell r="G545">
            <v>27</v>
          </cell>
        </row>
        <row r="546">
          <cell r="E546">
            <v>25.5</v>
          </cell>
          <cell r="F546">
            <v>24.7</v>
          </cell>
          <cell r="G546">
            <v>24.254694955421652</v>
          </cell>
        </row>
        <row r="547">
          <cell r="E547">
            <v>27.2</v>
          </cell>
          <cell r="F547">
            <v>24.8</v>
          </cell>
          <cell r="G547">
            <v>23.650934676208223</v>
          </cell>
        </row>
        <row r="548">
          <cell r="E548">
            <v>28.6</v>
          </cell>
          <cell r="F548">
            <v>25.6</v>
          </cell>
          <cell r="G548">
            <v>24.235377202799327</v>
          </cell>
        </row>
        <row r="549">
          <cell r="E549">
            <v>29.3</v>
          </cell>
          <cell r="F549">
            <v>25.6</v>
          </cell>
          <cell r="G549">
            <v>23.927910438437131</v>
          </cell>
        </row>
        <row r="550">
          <cell r="E550">
            <v>30.6</v>
          </cell>
          <cell r="F550">
            <v>25.9</v>
          </cell>
          <cell r="G550">
            <v>23.812935555911132</v>
          </cell>
        </row>
        <row r="551">
          <cell r="E551">
            <v>30.9</v>
          </cell>
          <cell r="F551">
            <v>26.2</v>
          </cell>
          <cell r="G551">
            <v>24.145331528903299</v>
          </cell>
        </row>
        <row r="552">
          <cell r="E552">
            <v>31</v>
          </cell>
          <cell r="F552">
            <v>25.4</v>
          </cell>
          <cell r="G552">
            <v>22.840111988888175</v>
          </cell>
        </row>
        <row r="553">
          <cell r="E553">
            <v>31.4</v>
          </cell>
          <cell r="F553">
            <v>25.4</v>
          </cell>
          <cell r="G553">
            <v>22.65161537539289</v>
          </cell>
        </row>
        <row r="554">
          <cell r="E554">
            <v>30.8</v>
          </cell>
          <cell r="F554">
            <v>25.4</v>
          </cell>
          <cell r="G554">
            <v>22.933659924886598</v>
          </cell>
        </row>
        <row r="555">
          <cell r="E555">
            <v>30.4</v>
          </cell>
          <cell r="F555">
            <v>25.4</v>
          </cell>
          <cell r="G555">
            <v>23.119379698708254</v>
          </cell>
        </row>
        <row r="556">
          <cell r="E556">
            <v>29</v>
          </cell>
          <cell r="F556">
            <v>25</v>
          </cell>
          <cell r="G556">
            <v>23.13765699199967</v>
          </cell>
        </row>
        <row r="557">
          <cell r="E557">
            <v>28</v>
          </cell>
          <cell r="F557">
            <v>24.8</v>
          </cell>
          <cell r="G557">
            <v>23.28808865472617</v>
          </cell>
        </row>
        <row r="558">
          <cell r="E558">
            <v>26.4</v>
          </cell>
          <cell r="F558">
            <v>24.6</v>
          </cell>
          <cell r="G558">
            <v>23.710183186275557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26.4</v>
          </cell>
          <cell r="G570">
            <v>26.399993896484375</v>
          </cell>
        </row>
        <row r="571">
          <cell r="F571">
            <v>26.399993896484375</v>
          </cell>
          <cell r="G571">
            <v>26.399993896484375</v>
          </cell>
        </row>
        <row r="572">
          <cell r="F572">
            <v>26.399993896484375</v>
          </cell>
          <cell r="G572">
            <v>26.399993896484375</v>
          </cell>
        </row>
        <row r="573">
          <cell r="F573" t="str">
            <v>WXREV</v>
          </cell>
          <cell r="G573">
            <v>26.399993896484375</v>
          </cell>
        </row>
        <row r="574">
          <cell r="F574">
            <v>26.399993896484375</v>
          </cell>
          <cell r="G574">
            <v>26.399993896484375</v>
          </cell>
        </row>
        <row r="575">
          <cell r="F575">
            <v>26.399993896484375</v>
          </cell>
          <cell r="G575">
            <v>26.399993896484375</v>
          </cell>
        </row>
        <row r="576">
          <cell r="F576">
            <v>26.399993896484375</v>
          </cell>
          <cell r="G576">
            <v>26.399993896484375</v>
          </cell>
        </row>
        <row r="577">
          <cell r="F577">
            <v>26.399993896484375</v>
          </cell>
          <cell r="G577">
            <v>26.399993896484375</v>
          </cell>
        </row>
        <row r="578">
          <cell r="F578" t="str">
            <v>MEI</v>
          </cell>
          <cell r="G578">
            <v>26.399993896484375</v>
          </cell>
        </row>
        <row r="579">
          <cell r="F579">
            <v>26.399993896484375</v>
          </cell>
          <cell r="G579">
            <v>26.399993896484375</v>
          </cell>
        </row>
        <row r="580">
          <cell r="F580" t="str">
            <v>BB</v>
          </cell>
          <cell r="G580" t="str">
            <v>TTD</v>
          </cell>
        </row>
        <row r="581">
          <cell r="F581">
            <v>26.399993896484375</v>
          </cell>
          <cell r="G581">
            <v>26.399993896484375</v>
          </cell>
        </row>
        <row r="582">
          <cell r="E582">
            <v>25.2</v>
          </cell>
          <cell r="F582">
            <v>23.8</v>
          </cell>
          <cell r="G582">
            <v>23.061719670002304</v>
          </cell>
        </row>
        <row r="583">
          <cell r="E583">
            <v>26.8</v>
          </cell>
          <cell r="F583">
            <v>24.6</v>
          </cell>
          <cell r="G583">
            <v>23.530193147412959</v>
          </cell>
        </row>
        <row r="584">
          <cell r="E584">
            <v>28.4</v>
          </cell>
          <cell r="F584">
            <v>24.4</v>
          </cell>
          <cell r="G584">
            <v>22.478402908283279</v>
          </cell>
        </row>
        <row r="585">
          <cell r="E585">
            <v>29.3</v>
          </cell>
          <cell r="F585">
            <v>24.6</v>
          </cell>
          <cell r="G585">
            <v>22.364801778753755</v>
          </cell>
        </row>
        <row r="586">
          <cell r="E586">
            <v>30.2</v>
          </cell>
          <cell r="F586">
            <v>24.9</v>
          </cell>
          <cell r="G586">
            <v>22.4145725316748</v>
          </cell>
        </row>
        <row r="587">
          <cell r="E587">
            <v>30.7</v>
          </cell>
          <cell r="F587">
            <v>25.1</v>
          </cell>
          <cell r="G587">
            <v>22.49842270121508</v>
          </cell>
        </row>
        <row r="588">
          <cell r="E588">
            <v>30.7</v>
          </cell>
          <cell r="F588">
            <v>25.4</v>
          </cell>
          <cell r="G588">
            <v>22.980260969641254</v>
          </cell>
        </row>
        <row r="589">
          <cell r="E589">
            <v>31.3</v>
          </cell>
          <cell r="F589">
            <v>25.4</v>
          </cell>
          <cell r="G589">
            <v>22.698916190220046</v>
          </cell>
        </row>
        <row r="590">
          <cell r="E590">
            <v>31.3</v>
          </cell>
          <cell r="F590">
            <v>25.8</v>
          </cell>
          <cell r="G590">
            <v>23.340104664535794</v>
          </cell>
        </row>
        <row r="591">
          <cell r="E591">
            <v>30.3</v>
          </cell>
          <cell r="F591">
            <v>25.6</v>
          </cell>
          <cell r="G591">
            <v>23.479887102847229</v>
          </cell>
        </row>
        <row r="592">
          <cell r="E592">
            <v>28.5</v>
          </cell>
          <cell r="F592">
            <v>25.1</v>
          </cell>
          <cell r="G592">
            <v>23.520675391405934</v>
          </cell>
        </row>
        <row r="593">
          <cell r="E593">
            <v>27.1</v>
          </cell>
          <cell r="F593">
            <v>24.7</v>
          </cell>
          <cell r="G593">
            <v>23.545262944402548</v>
          </cell>
        </row>
        <row r="594">
          <cell r="E594">
            <v>26.5</v>
          </cell>
          <cell r="F594">
            <v>24.6</v>
          </cell>
          <cell r="G594">
            <v>23.665345072616162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26.5</v>
          </cell>
          <cell r="G606">
            <v>26.5</v>
          </cell>
        </row>
        <row r="607">
          <cell r="F607">
            <v>26.5</v>
          </cell>
          <cell r="G607">
            <v>26.5</v>
          </cell>
        </row>
        <row r="608">
          <cell r="F608">
            <v>26.5</v>
          </cell>
          <cell r="G608">
            <v>26.5</v>
          </cell>
        </row>
        <row r="609">
          <cell r="F609" t="str">
            <v>WXREV</v>
          </cell>
          <cell r="G609">
            <v>26.5</v>
          </cell>
        </row>
        <row r="610">
          <cell r="F610">
            <v>26.5</v>
          </cell>
          <cell r="G610">
            <v>26.5</v>
          </cell>
        </row>
        <row r="611">
          <cell r="F611">
            <v>26.5</v>
          </cell>
          <cell r="G611">
            <v>26.5</v>
          </cell>
        </row>
        <row r="612">
          <cell r="F612">
            <v>26.5</v>
          </cell>
          <cell r="G612">
            <v>26.5</v>
          </cell>
        </row>
        <row r="613">
          <cell r="F613">
            <v>26.5</v>
          </cell>
          <cell r="G613">
            <v>26.5</v>
          </cell>
        </row>
        <row r="614">
          <cell r="F614" t="str">
            <v>MEI</v>
          </cell>
          <cell r="G614">
            <v>26.5</v>
          </cell>
        </row>
        <row r="615">
          <cell r="F615">
            <v>26.5</v>
          </cell>
          <cell r="G615">
            <v>26.5</v>
          </cell>
        </row>
        <row r="616">
          <cell r="F616" t="str">
            <v>BB</v>
          </cell>
          <cell r="G616" t="str">
            <v>TTD</v>
          </cell>
        </row>
        <row r="617">
          <cell r="F617">
            <v>26.5</v>
          </cell>
          <cell r="G617">
            <v>26.5</v>
          </cell>
        </row>
        <row r="618">
          <cell r="E618">
            <v>25.2</v>
          </cell>
          <cell r="F618">
            <v>23.6</v>
          </cell>
          <cell r="G618">
            <v>22.760888764461736</v>
          </cell>
        </row>
        <row r="619">
          <cell r="E619">
            <v>27.2</v>
          </cell>
          <cell r="F619">
            <v>24.3</v>
          </cell>
          <cell r="G619">
            <v>22.889828189285673</v>
          </cell>
        </row>
        <row r="620">
          <cell r="E620">
            <v>28.6</v>
          </cell>
          <cell r="F620">
            <v>24.7</v>
          </cell>
          <cell r="G620">
            <v>22.855233338708079</v>
          </cell>
        </row>
        <row r="621">
          <cell r="E621">
            <v>30.3</v>
          </cell>
          <cell r="F621">
            <v>25.3</v>
          </cell>
          <cell r="G621">
            <v>23.007249584663022</v>
          </cell>
        </row>
        <row r="622">
          <cell r="E622">
            <v>31</v>
          </cell>
          <cell r="F622">
            <v>25.4</v>
          </cell>
          <cell r="G622">
            <v>22.840111988888175</v>
          </cell>
        </row>
        <row r="623">
          <cell r="E623">
            <v>31.1</v>
          </cell>
          <cell r="F623">
            <v>25.5</v>
          </cell>
          <cell r="G623">
            <v>22.953818578487795</v>
          </cell>
        </row>
        <row r="624">
          <cell r="E624">
            <v>31.5</v>
          </cell>
          <cell r="F624">
            <v>25.8</v>
          </cell>
          <cell r="G624">
            <v>23.248544977175634</v>
          </cell>
        </row>
        <row r="625">
          <cell r="E625">
            <v>31.8</v>
          </cell>
          <cell r="F625">
            <v>26.2</v>
          </cell>
          <cell r="G625">
            <v>23.747188384629677</v>
          </cell>
        </row>
        <row r="626">
          <cell r="E626">
            <v>31</v>
          </cell>
          <cell r="F626">
            <v>26</v>
          </cell>
          <cell r="G626">
            <v>23.79046980665996</v>
          </cell>
        </row>
        <row r="627">
          <cell r="E627">
            <v>29.6</v>
          </cell>
          <cell r="F627">
            <v>25.4</v>
          </cell>
          <cell r="G627">
            <v>23.485447924589423</v>
          </cell>
        </row>
        <row r="628">
          <cell r="E628">
            <v>26</v>
          </cell>
          <cell r="F628">
            <v>25</v>
          </cell>
          <cell r="G628">
            <v>24.474280736128826</v>
          </cell>
        </row>
        <row r="629">
          <cell r="E629">
            <v>26</v>
          </cell>
          <cell r="F629">
            <v>25</v>
          </cell>
          <cell r="G629">
            <v>24.474280736128826</v>
          </cell>
        </row>
        <row r="630">
          <cell r="E630">
            <v>26</v>
          </cell>
          <cell r="F630">
            <v>25</v>
          </cell>
          <cell r="G630">
            <v>24.474280736128826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26</v>
          </cell>
          <cell r="G642">
            <v>26</v>
          </cell>
        </row>
        <row r="643">
          <cell r="F643">
            <v>26</v>
          </cell>
          <cell r="G643">
            <v>26</v>
          </cell>
        </row>
        <row r="644">
          <cell r="F644">
            <v>26</v>
          </cell>
          <cell r="G644">
            <v>26</v>
          </cell>
        </row>
        <row r="645">
          <cell r="F645" t="str">
            <v>WXREV</v>
          </cell>
          <cell r="G645">
            <v>26</v>
          </cell>
        </row>
        <row r="646">
          <cell r="F646">
            <v>26</v>
          </cell>
          <cell r="G646">
            <v>26</v>
          </cell>
        </row>
        <row r="647">
          <cell r="F647">
            <v>26</v>
          </cell>
          <cell r="G647">
            <v>26</v>
          </cell>
        </row>
        <row r="648">
          <cell r="F648">
            <v>26</v>
          </cell>
          <cell r="G648">
            <v>26</v>
          </cell>
        </row>
        <row r="649">
          <cell r="F649">
            <v>26</v>
          </cell>
          <cell r="G649">
            <v>26</v>
          </cell>
        </row>
        <row r="650">
          <cell r="F650" t="str">
            <v>MEI</v>
          </cell>
          <cell r="G650">
            <v>26</v>
          </cell>
        </row>
        <row r="651">
          <cell r="F651">
            <v>26</v>
          </cell>
          <cell r="G651">
            <v>26</v>
          </cell>
        </row>
        <row r="652">
          <cell r="F652" t="str">
            <v>BB</v>
          </cell>
          <cell r="G652" t="str">
            <v>TTD</v>
          </cell>
        </row>
        <row r="653">
          <cell r="F653">
            <v>26</v>
          </cell>
          <cell r="G653">
            <v>26</v>
          </cell>
        </row>
        <row r="654">
          <cell r="E654">
            <v>25.8</v>
          </cell>
          <cell r="F654">
            <v>24.6</v>
          </cell>
          <cell r="G654">
            <v>23.977017614815619</v>
          </cell>
        </row>
        <row r="655">
          <cell r="E655">
            <v>27.4</v>
          </cell>
          <cell r="F655">
            <v>24.8</v>
          </cell>
          <cell r="G655">
            <v>23.560870599375164</v>
          </cell>
        </row>
        <row r="656">
          <cell r="E656">
            <v>28</v>
          </cell>
          <cell r="F656">
            <v>25</v>
          </cell>
          <cell r="G656">
            <v>23.593703811444115</v>
          </cell>
        </row>
        <row r="657">
          <cell r="E657">
            <v>28.6</v>
          </cell>
          <cell r="F657">
            <v>25.4</v>
          </cell>
          <cell r="G657">
            <v>23.933335820614669</v>
          </cell>
        </row>
        <row r="658">
          <cell r="E658">
            <v>30.5</v>
          </cell>
          <cell r="F658">
            <v>26.2</v>
          </cell>
          <cell r="G658">
            <v>24.319653572306294</v>
          </cell>
        </row>
        <row r="659">
          <cell r="E659">
            <v>31</v>
          </cell>
          <cell r="F659">
            <v>26.4</v>
          </cell>
          <cell r="G659">
            <v>24.409802115284627</v>
          </cell>
        </row>
        <row r="660">
          <cell r="E660">
            <v>31.4</v>
          </cell>
          <cell r="F660">
            <v>26.4</v>
          </cell>
          <cell r="G660">
            <v>24.236301083473421</v>
          </cell>
        </row>
        <row r="661">
          <cell r="E661">
            <v>31.4</v>
          </cell>
          <cell r="F661">
            <v>27</v>
          </cell>
          <cell r="G661">
            <v>25.153674905944097</v>
          </cell>
        </row>
        <row r="662">
          <cell r="E662">
            <v>29.8</v>
          </cell>
          <cell r="F662">
            <v>26.7</v>
          </cell>
          <cell r="G662">
            <v>25.366722390874113</v>
          </cell>
        </row>
        <row r="663">
          <cell r="E663">
            <v>26.8</v>
          </cell>
          <cell r="F663">
            <v>24.6</v>
          </cell>
          <cell r="G663">
            <v>23.530193147412959</v>
          </cell>
        </row>
        <row r="664">
          <cell r="E664">
            <v>25.6</v>
          </cell>
          <cell r="F664">
            <v>24.2</v>
          </cell>
          <cell r="G664">
            <v>23.475269202586603</v>
          </cell>
        </row>
        <row r="665">
          <cell r="E665">
            <v>24.5</v>
          </cell>
          <cell r="F665">
            <v>23.8</v>
          </cell>
          <cell r="G665">
            <v>23.383347698406446</v>
          </cell>
        </row>
        <row r="666">
          <cell r="E666">
            <v>24.2</v>
          </cell>
          <cell r="F666">
            <v>23.6</v>
          </cell>
          <cell r="G666">
            <v>23.225937351919136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24.2</v>
          </cell>
          <cell r="G678">
            <v>24.199996948242188</v>
          </cell>
        </row>
        <row r="679">
          <cell r="F679">
            <v>24.199996948242188</v>
          </cell>
          <cell r="G679">
            <v>24.199996948242188</v>
          </cell>
        </row>
        <row r="680">
          <cell r="F680">
            <v>24.199996948242188</v>
          </cell>
          <cell r="G680">
            <v>24.199996948242188</v>
          </cell>
        </row>
        <row r="681">
          <cell r="F681" t="str">
            <v>WXREV</v>
          </cell>
          <cell r="G681">
            <v>24.199996948242188</v>
          </cell>
        </row>
        <row r="682">
          <cell r="F682">
            <v>24.199996948242188</v>
          </cell>
          <cell r="G682">
            <v>24.199996948242188</v>
          </cell>
        </row>
        <row r="683">
          <cell r="F683">
            <v>24.199996948242188</v>
          </cell>
          <cell r="G683">
            <v>24.199996948242188</v>
          </cell>
        </row>
        <row r="684">
          <cell r="F684">
            <v>24.199996948242188</v>
          </cell>
          <cell r="G684">
            <v>24.199996948242188</v>
          </cell>
        </row>
        <row r="685">
          <cell r="F685">
            <v>24.199996948242188</v>
          </cell>
          <cell r="G685">
            <v>24.199996948242188</v>
          </cell>
        </row>
        <row r="686">
          <cell r="F686" t="str">
            <v>MEI</v>
          </cell>
          <cell r="G686">
            <v>24.199996948242188</v>
          </cell>
        </row>
        <row r="687">
          <cell r="F687">
            <v>24.199996948242188</v>
          </cell>
          <cell r="G687">
            <v>24.199996948242188</v>
          </cell>
        </row>
        <row r="688">
          <cell r="F688" t="str">
            <v>BB</v>
          </cell>
          <cell r="G688" t="str">
            <v>TTD</v>
          </cell>
        </row>
        <row r="689">
          <cell r="F689">
            <v>24.199996948242188</v>
          </cell>
          <cell r="G689">
            <v>24.199996948242188</v>
          </cell>
        </row>
        <row r="690">
          <cell r="E690">
            <v>24.6</v>
          </cell>
          <cell r="F690">
            <v>23.8</v>
          </cell>
          <cell r="G690">
            <v>23.337733422817518</v>
          </cell>
        </row>
        <row r="691">
          <cell r="E691">
            <v>26</v>
          </cell>
          <cell r="F691">
            <v>24.2</v>
          </cell>
          <cell r="G691">
            <v>23.293034575471221</v>
          </cell>
        </row>
        <row r="692">
          <cell r="E692">
            <v>26.8</v>
          </cell>
          <cell r="F692">
            <v>24.8</v>
          </cell>
          <cell r="G692">
            <v>23.829794165744062</v>
          </cell>
        </row>
        <row r="693">
          <cell r="E693">
            <v>28.1</v>
          </cell>
          <cell r="F693">
            <v>25.2</v>
          </cell>
          <cell r="G693">
            <v>23.852279656438707</v>
          </cell>
        </row>
        <row r="694">
          <cell r="E694">
            <v>29</v>
          </cell>
          <cell r="F694">
            <v>25.6</v>
          </cell>
          <cell r="G694">
            <v>24.060288665251548</v>
          </cell>
        </row>
        <row r="695">
          <cell r="E695">
            <v>29.8</v>
          </cell>
          <cell r="F695">
            <v>25.9</v>
          </cell>
          <cell r="G695">
            <v>24.166033320489955</v>
          </cell>
        </row>
        <row r="696">
          <cell r="E696">
            <v>30</v>
          </cell>
          <cell r="F696">
            <v>26.2</v>
          </cell>
          <cell r="G696">
            <v>24.535346114683474</v>
          </cell>
        </row>
        <row r="697">
          <cell r="E697">
            <v>29.2</v>
          </cell>
          <cell r="F697">
            <v>26.4</v>
          </cell>
          <cell r="G697">
            <v>25.171696448407815</v>
          </cell>
        </row>
        <row r="698">
          <cell r="E698">
            <v>28.4</v>
          </cell>
          <cell r="F698">
            <v>25.3</v>
          </cell>
          <cell r="G698">
            <v>23.870380015471763</v>
          </cell>
        </row>
        <row r="699">
          <cell r="E699">
            <v>27</v>
          </cell>
          <cell r="F699">
            <v>25.6</v>
          </cell>
          <cell r="G699">
            <v>24.920143789821459</v>
          </cell>
        </row>
        <row r="700">
          <cell r="E700">
            <v>26.3</v>
          </cell>
          <cell r="F700">
            <v>24.8</v>
          </cell>
          <cell r="G700">
            <v>24.051033335618328</v>
          </cell>
        </row>
        <row r="701">
          <cell r="E701">
            <v>25.3</v>
          </cell>
          <cell r="F701">
            <v>24.3</v>
          </cell>
          <cell r="G701">
            <v>23.758135538918019</v>
          </cell>
        </row>
        <row r="702">
          <cell r="E702">
            <v>24</v>
          </cell>
          <cell r="F702">
            <v>22.8</v>
          </cell>
          <cell r="G702">
            <v>22.123979043069006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24</v>
          </cell>
          <cell r="G714">
            <v>24</v>
          </cell>
        </row>
        <row r="715">
          <cell r="F715">
            <v>24</v>
          </cell>
          <cell r="G715">
            <v>24</v>
          </cell>
        </row>
        <row r="716">
          <cell r="F716">
            <v>24</v>
          </cell>
          <cell r="G716">
            <v>24</v>
          </cell>
        </row>
        <row r="717">
          <cell r="F717" t="str">
            <v>WXREV</v>
          </cell>
          <cell r="G717">
            <v>24</v>
          </cell>
        </row>
        <row r="718">
          <cell r="F718">
            <v>24</v>
          </cell>
          <cell r="G718">
            <v>24</v>
          </cell>
        </row>
        <row r="719">
          <cell r="F719">
            <v>24</v>
          </cell>
          <cell r="G719">
            <v>24</v>
          </cell>
        </row>
        <row r="720">
          <cell r="F720">
            <v>24</v>
          </cell>
          <cell r="G720">
            <v>24</v>
          </cell>
        </row>
        <row r="721">
          <cell r="F721">
            <v>24</v>
          </cell>
          <cell r="G721">
            <v>24</v>
          </cell>
        </row>
        <row r="722">
          <cell r="F722" t="str">
            <v>MEI</v>
          </cell>
          <cell r="G722">
            <v>24</v>
          </cell>
        </row>
        <row r="723">
          <cell r="F723">
            <v>24</v>
          </cell>
          <cell r="G723">
            <v>24</v>
          </cell>
        </row>
        <row r="724">
          <cell r="F724" t="str">
            <v>BB</v>
          </cell>
          <cell r="G724" t="str">
            <v>TTD</v>
          </cell>
        </row>
        <row r="725">
          <cell r="F725">
            <v>24</v>
          </cell>
          <cell r="G725">
            <v>24</v>
          </cell>
        </row>
        <row r="726">
          <cell r="E726">
            <v>24.2</v>
          </cell>
          <cell r="F726">
            <v>23.7</v>
          </cell>
          <cell r="G726">
            <v>23.37303815542662</v>
          </cell>
        </row>
        <row r="727">
          <cell r="E727">
            <v>25</v>
          </cell>
          <cell r="F727">
            <v>23.8</v>
          </cell>
          <cell r="G727">
            <v>23.154171566343187</v>
          </cell>
        </row>
        <row r="728">
          <cell r="E728">
            <v>26.4</v>
          </cell>
          <cell r="F728">
            <v>24.2</v>
          </cell>
          <cell r="G728">
            <v>23.109032442757304</v>
          </cell>
        </row>
        <row r="729">
          <cell r="E729">
            <v>27.7</v>
          </cell>
          <cell r="F729">
            <v>24.8</v>
          </cell>
          <cell r="G729">
            <v>23.424969363752066</v>
          </cell>
        </row>
        <row r="730">
          <cell r="E730">
            <v>28.5</v>
          </cell>
          <cell r="F730">
            <v>25</v>
          </cell>
          <cell r="G730">
            <v>23.36704983931029</v>
          </cell>
        </row>
        <row r="731">
          <cell r="E731">
            <v>29.9</v>
          </cell>
          <cell r="F731">
            <v>25.7</v>
          </cell>
          <cell r="G731">
            <v>23.815003930608807</v>
          </cell>
        </row>
        <row r="732">
          <cell r="E732">
            <v>30</v>
          </cell>
          <cell r="F732">
            <v>25.7</v>
          </cell>
          <cell r="G732">
            <v>23.770408878818561</v>
          </cell>
        </row>
        <row r="733">
          <cell r="E733">
            <v>31</v>
          </cell>
          <cell r="F733">
            <v>26.8</v>
          </cell>
          <cell r="G733">
            <v>25.018536149776651</v>
          </cell>
        </row>
        <row r="734">
          <cell r="E734">
            <v>29.6</v>
          </cell>
          <cell r="F734">
            <v>26.4</v>
          </cell>
          <cell r="G734">
            <v>25.004978210215238</v>
          </cell>
        </row>
        <row r="735">
          <cell r="E735">
            <v>28.6</v>
          </cell>
          <cell r="F735">
            <v>26</v>
          </cell>
          <cell r="G735">
            <v>24.831983926545014</v>
          </cell>
        </row>
        <row r="736">
          <cell r="E736">
            <v>27.6</v>
          </cell>
          <cell r="F736">
            <v>25.6</v>
          </cell>
          <cell r="G736">
            <v>24.666213473453418</v>
          </cell>
        </row>
        <row r="737">
          <cell r="E737">
            <v>27.4</v>
          </cell>
          <cell r="F737">
            <v>25.4</v>
          </cell>
          <cell r="G737">
            <v>24.457278235389033</v>
          </cell>
        </row>
        <row r="738">
          <cell r="E738">
            <v>26.6</v>
          </cell>
          <cell r="F738">
            <v>25.2</v>
          </cell>
          <cell r="G738">
            <v>24.507713530973501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26.6</v>
          </cell>
          <cell r="G750">
            <v>26.599990844726563</v>
          </cell>
        </row>
        <row r="751">
          <cell r="F751">
            <v>26.599990844726563</v>
          </cell>
          <cell r="G751">
            <v>26.599990844726563</v>
          </cell>
        </row>
        <row r="752">
          <cell r="F752">
            <v>26.599990844726563</v>
          </cell>
          <cell r="G752">
            <v>26.599990844726563</v>
          </cell>
        </row>
        <row r="753">
          <cell r="F753" t="str">
            <v>WXREV</v>
          </cell>
          <cell r="G753">
            <v>26.599990844726563</v>
          </cell>
        </row>
        <row r="754">
          <cell r="F754">
            <v>26.599990844726563</v>
          </cell>
          <cell r="G754">
            <v>26.599990844726563</v>
          </cell>
        </row>
        <row r="755">
          <cell r="F755">
            <v>26.599990844726563</v>
          </cell>
          <cell r="G755">
            <v>26.599990844726563</v>
          </cell>
        </row>
        <row r="756">
          <cell r="F756">
            <v>26.599990844726563</v>
          </cell>
          <cell r="G756">
            <v>26.599990844726563</v>
          </cell>
        </row>
        <row r="757">
          <cell r="F757">
            <v>26.599990844726563</v>
          </cell>
          <cell r="G757">
            <v>26.599990844726563</v>
          </cell>
        </row>
        <row r="758">
          <cell r="F758" t="str">
            <v>MEI</v>
          </cell>
          <cell r="G758">
            <v>26.599990844726563</v>
          </cell>
        </row>
        <row r="759">
          <cell r="F759">
            <v>26.599990844726563</v>
          </cell>
          <cell r="G759">
            <v>26.599990844726563</v>
          </cell>
        </row>
        <row r="760">
          <cell r="F760" t="str">
            <v>BB</v>
          </cell>
          <cell r="G760" t="str">
            <v>TTD</v>
          </cell>
        </row>
        <row r="761">
          <cell r="F761">
            <v>26.599990844726563</v>
          </cell>
          <cell r="G761">
            <v>26.599990844726563</v>
          </cell>
        </row>
        <row r="762">
          <cell r="E762">
            <v>24.2</v>
          </cell>
          <cell r="F762">
            <v>23.4</v>
          </cell>
          <cell r="G762">
            <v>22.929892936995007</v>
          </cell>
        </row>
        <row r="763">
          <cell r="E763">
            <v>25.1</v>
          </cell>
          <cell r="F763">
            <v>23.7</v>
          </cell>
          <cell r="G763">
            <v>22.958279350460575</v>
          </cell>
        </row>
        <row r="764">
          <cell r="E764">
            <v>26.7</v>
          </cell>
          <cell r="F764">
            <v>24.5</v>
          </cell>
          <cell r="G764">
            <v>23.424953110002289</v>
          </cell>
        </row>
        <row r="765">
          <cell r="E765">
            <v>28.4</v>
          </cell>
          <cell r="F765">
            <v>24.8</v>
          </cell>
          <cell r="G765">
            <v>23.104030876414406</v>
          </cell>
        </row>
        <row r="766">
          <cell r="E766">
            <v>29.8</v>
          </cell>
          <cell r="F766">
            <v>25.6</v>
          </cell>
          <cell r="G766">
            <v>23.705216804198258</v>
          </cell>
        </row>
        <row r="767">
          <cell r="E767">
            <v>30.9</v>
          </cell>
          <cell r="F767">
            <v>25.1</v>
          </cell>
          <cell r="G767">
            <v>22.402689186927148</v>
          </cell>
        </row>
        <row r="768">
          <cell r="E768">
            <v>31.6</v>
          </cell>
          <cell r="F768">
            <v>25.7</v>
          </cell>
          <cell r="G768">
            <v>23.042283468686726</v>
          </cell>
        </row>
        <row r="769">
          <cell r="E769">
            <v>31.6</v>
          </cell>
          <cell r="F769">
            <v>25.4</v>
          </cell>
          <cell r="G769">
            <v>22.556656595232965</v>
          </cell>
        </row>
        <row r="770">
          <cell r="E770">
            <v>31</v>
          </cell>
          <cell r="F770">
            <v>25</v>
          </cell>
          <cell r="G770">
            <v>22.191206158280181</v>
          </cell>
        </row>
        <row r="771">
          <cell r="E771">
            <v>27.8</v>
          </cell>
          <cell r="F771">
            <v>25</v>
          </cell>
          <cell r="G771">
            <v>23.683614162726549</v>
          </cell>
        </row>
        <row r="772">
          <cell r="E772">
            <v>25.4</v>
          </cell>
          <cell r="F772">
            <v>23.6</v>
          </cell>
          <cell r="G772">
            <v>22.666490581585112</v>
          </cell>
        </row>
        <row r="773">
          <cell r="E773">
            <v>25.2</v>
          </cell>
          <cell r="F773">
            <v>23.4</v>
          </cell>
          <cell r="G773">
            <v>22.45741703757486</v>
          </cell>
        </row>
        <row r="774">
          <cell r="E774">
            <v>24.6</v>
          </cell>
          <cell r="F774">
            <v>23.4</v>
          </cell>
          <cell r="G774">
            <v>22.742318927283165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24.6</v>
          </cell>
          <cell r="G786">
            <v>24.599990844726563</v>
          </cell>
        </row>
        <row r="787">
          <cell r="F787">
            <v>24.599990844726563</v>
          </cell>
          <cell r="G787">
            <v>24.599990844726563</v>
          </cell>
        </row>
        <row r="788">
          <cell r="F788">
            <v>24.599990844726563</v>
          </cell>
          <cell r="G788">
            <v>24.599990844726563</v>
          </cell>
        </row>
        <row r="789">
          <cell r="F789" t="str">
            <v>WXREV</v>
          </cell>
          <cell r="G789">
            <v>24.599990844726563</v>
          </cell>
        </row>
        <row r="790">
          <cell r="F790">
            <v>24.599990844726563</v>
          </cell>
          <cell r="G790">
            <v>24.599990844726563</v>
          </cell>
        </row>
        <row r="791">
          <cell r="F791">
            <v>24.599990844726563</v>
          </cell>
          <cell r="G791">
            <v>24.599990844726563</v>
          </cell>
        </row>
        <row r="792">
          <cell r="F792">
            <v>24.599990844726563</v>
          </cell>
          <cell r="G792">
            <v>24.599990844726563</v>
          </cell>
        </row>
        <row r="793">
          <cell r="F793">
            <v>24.599990844726563</v>
          </cell>
          <cell r="G793">
            <v>24.599990844726563</v>
          </cell>
        </row>
        <row r="794">
          <cell r="F794" t="str">
            <v>MEI</v>
          </cell>
          <cell r="G794">
            <v>24.599990844726563</v>
          </cell>
        </row>
        <row r="795">
          <cell r="F795">
            <v>24.599990844726563</v>
          </cell>
          <cell r="G795">
            <v>24.599990844726563</v>
          </cell>
        </row>
        <row r="796">
          <cell r="F796" t="str">
            <v>BB</v>
          </cell>
          <cell r="G796" t="str">
            <v>TTD</v>
          </cell>
        </row>
        <row r="797">
          <cell r="F797">
            <v>24.599990844726563</v>
          </cell>
          <cell r="G797">
            <v>24.599990844726563</v>
          </cell>
        </row>
        <row r="798">
          <cell r="E798">
            <v>24.3</v>
          </cell>
          <cell r="F798">
            <v>23</v>
          </cell>
          <cell r="G798">
            <v>22.281939548814325</v>
          </cell>
        </row>
        <row r="799">
          <cell r="E799">
            <v>26.3</v>
          </cell>
          <cell r="F799">
            <v>24.2</v>
          </cell>
          <cell r="G799">
            <v>23.155200700166329</v>
          </cell>
        </row>
        <row r="800">
          <cell r="E800">
            <v>27.9</v>
          </cell>
          <cell r="F800">
            <v>24.5</v>
          </cell>
          <cell r="G800">
            <v>22.871409059861545</v>
          </cell>
        </row>
        <row r="801">
          <cell r="E801">
            <v>28.7</v>
          </cell>
          <cell r="F801">
            <v>24.6</v>
          </cell>
          <cell r="G801">
            <v>22.651117625427016</v>
          </cell>
        </row>
        <row r="802">
          <cell r="E802">
            <v>29.8</v>
          </cell>
          <cell r="F802">
            <v>23.9</v>
          </cell>
          <cell r="G802">
            <v>20.967944691485776</v>
          </cell>
        </row>
        <row r="803">
          <cell r="E803">
            <v>31</v>
          </cell>
          <cell r="F803">
            <v>24</v>
          </cell>
          <cell r="G803">
            <v>20.508989309109545</v>
          </cell>
        </row>
        <row r="804">
          <cell r="E804">
            <v>31</v>
          </cell>
          <cell r="F804">
            <v>24.7</v>
          </cell>
          <cell r="G804">
            <v>21.695889406423795</v>
          </cell>
        </row>
        <row r="805">
          <cell r="E805">
            <v>31.8</v>
          </cell>
          <cell r="F805">
            <v>24.5</v>
          </cell>
          <cell r="G805">
            <v>20.951065659683096</v>
          </cell>
        </row>
        <row r="806">
          <cell r="E806">
            <v>32.200000000000003</v>
          </cell>
          <cell r="F806">
            <v>25</v>
          </cell>
          <cell r="G806">
            <v>21.599615938936108</v>
          </cell>
        </row>
        <row r="807">
          <cell r="E807">
            <v>31.8</v>
          </cell>
          <cell r="F807">
            <v>25.6</v>
          </cell>
          <cell r="G807">
            <v>22.787386628827527</v>
          </cell>
        </row>
        <row r="808">
          <cell r="E808">
            <v>28.6</v>
          </cell>
          <cell r="F808">
            <v>25.8</v>
          </cell>
          <cell r="G808">
            <v>24.534901994434403</v>
          </cell>
        </row>
        <row r="809">
          <cell r="E809">
            <v>27.6</v>
          </cell>
          <cell r="F809">
            <v>25.4</v>
          </cell>
          <cell r="G809">
            <v>24.370945495089579</v>
          </cell>
        </row>
        <row r="810">
          <cell r="E810">
            <v>26.9</v>
          </cell>
          <cell r="F810">
            <v>25</v>
          </cell>
          <cell r="G810">
            <v>24.083040017724613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26.9</v>
          </cell>
          <cell r="G822">
            <v>26.899993896484375</v>
          </cell>
        </row>
        <row r="823">
          <cell r="F823">
            <v>26.899993896484375</v>
          </cell>
          <cell r="G823">
            <v>26.899993896484375</v>
          </cell>
        </row>
        <row r="824">
          <cell r="F824">
            <v>26.899993896484375</v>
          </cell>
          <cell r="G824">
            <v>26.899993896484375</v>
          </cell>
        </row>
        <row r="825">
          <cell r="F825" t="str">
            <v>WXREV</v>
          </cell>
          <cell r="G825">
            <v>26.899993896484375</v>
          </cell>
        </row>
        <row r="826">
          <cell r="F826">
            <v>26.899993896484375</v>
          </cell>
          <cell r="G826">
            <v>26.899993896484375</v>
          </cell>
        </row>
        <row r="827">
          <cell r="F827">
            <v>26.899993896484375</v>
          </cell>
          <cell r="G827">
            <v>26.899993896484375</v>
          </cell>
        </row>
        <row r="828">
          <cell r="F828">
            <v>26.899993896484375</v>
          </cell>
          <cell r="G828">
            <v>26.899993896484375</v>
          </cell>
        </row>
        <row r="829">
          <cell r="F829">
            <v>26.899993896484375</v>
          </cell>
          <cell r="G829">
            <v>26.899993896484375</v>
          </cell>
        </row>
        <row r="830">
          <cell r="F830" t="str">
            <v>MEI</v>
          </cell>
          <cell r="G830">
            <v>26.899993896484375</v>
          </cell>
        </row>
        <row r="831">
          <cell r="F831">
            <v>26.899993896484375</v>
          </cell>
          <cell r="G831">
            <v>26.899993896484375</v>
          </cell>
        </row>
        <row r="832">
          <cell r="F832" t="str">
            <v>BB</v>
          </cell>
          <cell r="G832" t="str">
            <v>TTD</v>
          </cell>
        </row>
        <row r="833">
          <cell r="F833">
            <v>26.899993896484375</v>
          </cell>
          <cell r="G833">
            <v>26.899993896484375</v>
          </cell>
        </row>
        <row r="834">
          <cell r="E834">
            <v>24.8</v>
          </cell>
          <cell r="F834">
            <v>23.4</v>
          </cell>
          <cell r="G834">
            <v>22.647828842860125</v>
          </cell>
        </row>
        <row r="835">
          <cell r="E835">
            <v>26.7</v>
          </cell>
          <cell r="F835">
            <v>24.2</v>
          </cell>
          <cell r="G835">
            <v>22.969848511361342</v>
          </cell>
        </row>
        <row r="836">
          <cell r="E836">
            <v>28.6</v>
          </cell>
          <cell r="F836">
            <v>24.4</v>
          </cell>
          <cell r="G836">
            <v>22.382571693636379</v>
          </cell>
        </row>
        <row r="837">
          <cell r="E837">
            <v>30</v>
          </cell>
          <cell r="F837">
            <v>24.6</v>
          </cell>
          <cell r="G837">
            <v>22.025168782248613</v>
          </cell>
        </row>
        <row r="838">
          <cell r="E838">
            <v>31</v>
          </cell>
          <cell r="F838">
            <v>24.6</v>
          </cell>
          <cell r="G838">
            <v>21.529064030477215</v>
          </cell>
        </row>
        <row r="839">
          <cell r="E839">
            <v>32</v>
          </cell>
          <cell r="F839">
            <v>24.6</v>
          </cell>
          <cell r="G839">
            <v>21.019439938945371</v>
          </cell>
        </row>
        <row r="840">
          <cell r="E840">
            <v>32.5</v>
          </cell>
          <cell r="F840">
            <v>24.8</v>
          </cell>
          <cell r="G840">
            <v>21.105954943188024</v>
          </cell>
        </row>
        <row r="841">
          <cell r="E841">
            <v>33.1</v>
          </cell>
          <cell r="F841">
            <v>25.4</v>
          </cell>
          <cell r="G841">
            <v>21.828776771854713</v>
          </cell>
        </row>
        <row r="842">
          <cell r="E842">
            <v>32.4</v>
          </cell>
          <cell r="F842">
            <v>26.1</v>
          </cell>
          <cell r="G842">
            <v>23.316699651545896</v>
          </cell>
        </row>
        <row r="843">
          <cell r="E843">
            <v>30.2</v>
          </cell>
          <cell r="F843">
            <v>25.8</v>
          </cell>
          <cell r="G843">
            <v>23.835945395479477</v>
          </cell>
        </row>
        <row r="844">
          <cell r="E844">
            <v>28.8</v>
          </cell>
          <cell r="F844">
            <v>26</v>
          </cell>
          <cell r="G844">
            <v>24.747322007330105</v>
          </cell>
        </row>
        <row r="845">
          <cell r="E845">
            <v>27.5</v>
          </cell>
          <cell r="F845">
            <v>26</v>
          </cell>
          <cell r="G845">
            <v>25.291076436930108</v>
          </cell>
        </row>
        <row r="846">
          <cell r="E846">
            <v>26.6</v>
          </cell>
          <cell r="F846">
            <v>25.1</v>
          </cell>
          <cell r="G846">
            <v>24.361322321182911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26.6</v>
          </cell>
          <cell r="G858">
            <v>26.599990844726563</v>
          </cell>
        </row>
        <row r="859">
          <cell r="F859">
            <v>26.599990844726563</v>
          </cell>
          <cell r="G859">
            <v>26.599990844726563</v>
          </cell>
        </row>
        <row r="860">
          <cell r="F860">
            <v>26.599990844726563</v>
          </cell>
          <cell r="G860">
            <v>26.599990844726563</v>
          </cell>
        </row>
        <row r="861">
          <cell r="F861" t="str">
            <v>WXREV</v>
          </cell>
          <cell r="G861">
            <v>26.599990844726563</v>
          </cell>
        </row>
        <row r="862">
          <cell r="F862">
            <v>26.599990844726563</v>
          </cell>
          <cell r="G862">
            <v>26.599990844726563</v>
          </cell>
        </row>
        <row r="863">
          <cell r="F863">
            <v>26.599990844726563</v>
          </cell>
          <cell r="G863">
            <v>26.599990844726563</v>
          </cell>
        </row>
        <row r="864">
          <cell r="F864">
            <v>26.599990844726563</v>
          </cell>
          <cell r="G864">
            <v>26.599990844726563</v>
          </cell>
        </row>
        <row r="865">
          <cell r="F865">
            <v>26.599990844726563</v>
          </cell>
          <cell r="G865">
            <v>26.599990844726563</v>
          </cell>
        </row>
        <row r="866">
          <cell r="F866" t="str">
            <v>MEI</v>
          </cell>
          <cell r="G866">
            <v>26.599990844726563</v>
          </cell>
        </row>
        <row r="867">
          <cell r="F867">
            <v>26.599990844726563</v>
          </cell>
          <cell r="G867">
            <v>26.599990844726563</v>
          </cell>
        </row>
        <row r="868">
          <cell r="F868" t="str">
            <v>BB</v>
          </cell>
          <cell r="G868" t="str">
            <v>TTD</v>
          </cell>
        </row>
        <row r="869">
          <cell r="F869">
            <v>26.599990844726563</v>
          </cell>
          <cell r="G869">
            <v>26.599990844726563</v>
          </cell>
        </row>
        <row r="870">
          <cell r="E870">
            <v>24.8</v>
          </cell>
          <cell r="F870">
            <v>24.3</v>
          </cell>
          <cell r="G870">
            <v>23.980195359937316</v>
          </cell>
        </row>
        <row r="871">
          <cell r="E871">
            <v>25.9</v>
          </cell>
          <cell r="F871">
            <v>24.8</v>
          </cell>
          <cell r="G871">
            <v>24.226196524993068</v>
          </cell>
        </row>
        <row r="872">
          <cell r="E872">
            <v>27.3</v>
          </cell>
          <cell r="F872">
            <v>25.4</v>
          </cell>
          <cell r="G872">
            <v>24.500299080469489</v>
          </cell>
        </row>
        <row r="873">
          <cell r="E873">
            <v>28.7</v>
          </cell>
          <cell r="F873">
            <v>25.5</v>
          </cell>
          <cell r="G873">
            <v>24.04070828220102</v>
          </cell>
        </row>
        <row r="874">
          <cell r="E874">
            <v>30.2</v>
          </cell>
          <cell r="F874">
            <v>26.1</v>
          </cell>
          <cell r="G874">
            <v>24.296998628161578</v>
          </cell>
        </row>
        <row r="875">
          <cell r="E875">
            <v>30</v>
          </cell>
          <cell r="F875">
            <v>25.8</v>
          </cell>
          <cell r="G875">
            <v>23.924726871474732</v>
          </cell>
        </row>
        <row r="876">
          <cell r="E876">
            <v>30.6</v>
          </cell>
          <cell r="F876">
            <v>25.4</v>
          </cell>
          <cell r="G876">
            <v>23.026747545268133</v>
          </cell>
        </row>
        <row r="877">
          <cell r="E877">
            <v>30.8</v>
          </cell>
          <cell r="F877">
            <v>26.2</v>
          </cell>
          <cell r="G877">
            <v>24.189061302754549</v>
          </cell>
        </row>
        <row r="878">
          <cell r="E878">
            <v>29.5</v>
          </cell>
          <cell r="F878">
            <v>26.7</v>
          </cell>
          <cell r="G878">
            <v>25.489578963537532</v>
          </cell>
        </row>
        <row r="879">
          <cell r="E879">
            <v>28.8</v>
          </cell>
          <cell r="F879">
            <v>26.4</v>
          </cell>
          <cell r="G879">
            <v>25.336984058406365</v>
          </cell>
        </row>
        <row r="880">
          <cell r="E880">
            <v>24.8</v>
          </cell>
          <cell r="F880">
            <v>23.4</v>
          </cell>
          <cell r="G880">
            <v>22.647828842860125</v>
          </cell>
        </row>
        <row r="881">
          <cell r="E881">
            <v>24</v>
          </cell>
          <cell r="F881">
            <v>23.1</v>
          </cell>
          <cell r="G881">
            <v>22.57640345827545</v>
          </cell>
        </row>
        <row r="882">
          <cell r="E882">
            <v>24.3</v>
          </cell>
          <cell r="F882">
            <v>23.5</v>
          </cell>
          <cell r="G882">
            <v>23.031870985715287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24</v>
          </cell>
          <cell r="G894">
            <v>24</v>
          </cell>
        </row>
        <row r="895">
          <cell r="F895">
            <v>24</v>
          </cell>
          <cell r="G895">
            <v>24</v>
          </cell>
        </row>
        <row r="896">
          <cell r="F896">
            <v>24</v>
          </cell>
          <cell r="G896">
            <v>24</v>
          </cell>
        </row>
        <row r="897">
          <cell r="F897" t="str">
            <v>WXREV</v>
          </cell>
          <cell r="G897">
            <v>24</v>
          </cell>
        </row>
        <row r="898">
          <cell r="F898">
            <v>24</v>
          </cell>
          <cell r="G898">
            <v>24</v>
          </cell>
        </row>
        <row r="899">
          <cell r="F899">
            <v>24</v>
          </cell>
          <cell r="G899">
            <v>24</v>
          </cell>
        </row>
        <row r="900">
          <cell r="F900">
            <v>24</v>
          </cell>
          <cell r="G900">
            <v>24</v>
          </cell>
        </row>
        <row r="901">
          <cell r="F901">
            <v>24</v>
          </cell>
          <cell r="G901">
            <v>24</v>
          </cell>
        </row>
        <row r="902">
          <cell r="F902" t="str">
            <v>MEI</v>
          </cell>
          <cell r="G902">
            <v>24</v>
          </cell>
        </row>
        <row r="903">
          <cell r="F903">
            <v>24</v>
          </cell>
          <cell r="G903">
            <v>24</v>
          </cell>
        </row>
        <row r="904">
          <cell r="F904" t="str">
            <v>BB</v>
          </cell>
          <cell r="G904" t="str">
            <v>TTD</v>
          </cell>
        </row>
        <row r="905">
          <cell r="F905">
            <v>24</v>
          </cell>
          <cell r="G905">
            <v>24</v>
          </cell>
        </row>
        <row r="906">
          <cell r="E906">
            <v>24</v>
          </cell>
          <cell r="F906">
            <v>23.6</v>
          </cell>
          <cell r="G906">
            <v>23.317592460646107</v>
          </cell>
        </row>
        <row r="907">
          <cell r="E907">
            <v>25.8</v>
          </cell>
          <cell r="F907">
            <v>24.4</v>
          </cell>
          <cell r="G907">
            <v>23.681919065166394</v>
          </cell>
        </row>
        <row r="908">
          <cell r="E908">
            <v>27.2</v>
          </cell>
          <cell r="F908">
            <v>24.8</v>
          </cell>
          <cell r="G908">
            <v>23.650934676208223</v>
          </cell>
        </row>
        <row r="909">
          <cell r="E909">
            <v>28.1</v>
          </cell>
          <cell r="F909">
            <v>24.8</v>
          </cell>
          <cell r="G909">
            <v>23.242241452753913</v>
          </cell>
        </row>
        <row r="910">
          <cell r="E910">
            <v>28.2</v>
          </cell>
          <cell r="F910">
            <v>25.2</v>
          </cell>
          <cell r="G910">
            <v>23.807773416804665</v>
          </cell>
        </row>
        <row r="911">
          <cell r="E911">
            <v>27</v>
          </cell>
          <cell r="F911">
            <v>25.2</v>
          </cell>
          <cell r="G911">
            <v>24.335116740668042</v>
          </cell>
        </row>
        <row r="912">
          <cell r="E912">
            <v>25.4</v>
          </cell>
          <cell r="F912">
            <v>24.2</v>
          </cell>
          <cell r="G912">
            <v>23.565735043217593</v>
          </cell>
        </row>
        <row r="913">
          <cell r="E913">
            <v>24.4</v>
          </cell>
          <cell r="F913">
            <v>23.4</v>
          </cell>
          <cell r="G913">
            <v>22.836338621391949</v>
          </cell>
        </row>
        <row r="914">
          <cell r="E914">
            <v>22.9</v>
          </cell>
          <cell r="F914">
            <v>22.6</v>
          </cell>
          <cell r="G914">
            <v>22.35568042186776</v>
          </cell>
        </row>
        <row r="915">
          <cell r="E915">
            <v>23.1</v>
          </cell>
          <cell r="F915">
            <v>22.9</v>
          </cell>
          <cell r="G915">
            <v>22.705276554090879</v>
          </cell>
        </row>
        <row r="916">
          <cell r="E916">
            <v>23</v>
          </cell>
          <cell r="F916">
            <v>22.8</v>
          </cell>
          <cell r="G916">
            <v>22.604760645934597</v>
          </cell>
        </row>
        <row r="917">
          <cell r="E917">
            <v>22.4</v>
          </cell>
          <cell r="F917">
            <v>22.2</v>
          </cell>
          <cell r="G917">
            <v>22.001602394793437</v>
          </cell>
        </row>
        <row r="918">
          <cell r="E918">
            <v>22.5</v>
          </cell>
          <cell r="F918">
            <v>22.3</v>
          </cell>
          <cell r="G918">
            <v>22.102136355683452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22.4</v>
          </cell>
          <cell r="G930">
            <v>22.399993896484375</v>
          </cell>
        </row>
        <row r="931">
          <cell r="F931">
            <v>22.399993896484375</v>
          </cell>
          <cell r="G931">
            <v>22.399993896484375</v>
          </cell>
        </row>
        <row r="932">
          <cell r="F932">
            <v>22.399993896484375</v>
          </cell>
          <cell r="G932">
            <v>22.399993896484375</v>
          </cell>
        </row>
        <row r="933">
          <cell r="F933" t="str">
            <v>WXREV</v>
          </cell>
          <cell r="G933">
            <v>22.399993896484375</v>
          </cell>
        </row>
        <row r="934">
          <cell r="F934">
            <v>22.399993896484375</v>
          </cell>
          <cell r="G934">
            <v>22.399993896484375</v>
          </cell>
        </row>
        <row r="935">
          <cell r="F935">
            <v>22.399993896484375</v>
          </cell>
          <cell r="G935">
            <v>22.399993896484375</v>
          </cell>
        </row>
        <row r="936">
          <cell r="F936">
            <v>22.399993896484375</v>
          </cell>
          <cell r="G936">
            <v>22.399993896484375</v>
          </cell>
        </row>
        <row r="937">
          <cell r="F937">
            <v>22.399993896484375</v>
          </cell>
          <cell r="G937">
            <v>22.399993896484375</v>
          </cell>
        </row>
        <row r="938">
          <cell r="F938" t="str">
            <v>MEI</v>
          </cell>
          <cell r="G938">
            <v>22.399993896484375</v>
          </cell>
        </row>
        <row r="939">
          <cell r="F939">
            <v>22.399993896484375</v>
          </cell>
          <cell r="G939">
            <v>22.399993896484375</v>
          </cell>
        </row>
        <row r="940">
          <cell r="F940" t="str">
            <v>BB</v>
          </cell>
          <cell r="G940" t="str">
            <v>TTD</v>
          </cell>
        </row>
        <row r="941">
          <cell r="F941">
            <v>22.399993896484375</v>
          </cell>
          <cell r="G941">
            <v>22.399993896484375</v>
          </cell>
        </row>
        <row r="942">
          <cell r="E942">
            <v>23.4</v>
          </cell>
          <cell r="F942">
            <v>22</v>
          </cell>
          <cell r="G942">
            <v>21.196373458783889</v>
          </cell>
        </row>
        <row r="943">
          <cell r="E943">
            <v>25.8</v>
          </cell>
          <cell r="F943">
            <v>23.6</v>
          </cell>
          <cell r="G943">
            <v>22.476265609365306</v>
          </cell>
        </row>
        <row r="944">
          <cell r="E944">
            <v>27.2</v>
          </cell>
          <cell r="F944">
            <v>24.8</v>
          </cell>
          <cell r="G944">
            <v>23.650934676208223</v>
          </cell>
        </row>
        <row r="945">
          <cell r="E945">
            <v>28</v>
          </cell>
          <cell r="F945">
            <v>25</v>
          </cell>
          <cell r="G945">
            <v>23.593703811444115</v>
          </cell>
        </row>
        <row r="946">
          <cell r="E946">
            <v>28.6</v>
          </cell>
          <cell r="F946">
            <v>24.8</v>
          </cell>
          <cell r="G946">
            <v>23.011327145203094</v>
          </cell>
        </row>
        <row r="947">
          <cell r="E947">
            <v>29.6</v>
          </cell>
          <cell r="F947">
            <v>25.2</v>
          </cell>
          <cell r="G947">
            <v>23.173497959213115</v>
          </cell>
        </row>
        <row r="948">
          <cell r="E948">
            <v>29.6</v>
          </cell>
          <cell r="F948">
            <v>25.6</v>
          </cell>
          <cell r="G948">
            <v>23.79460686035754</v>
          </cell>
        </row>
        <row r="949">
          <cell r="E949">
            <v>29.4</v>
          </cell>
          <cell r="F949">
            <v>25.2</v>
          </cell>
          <cell r="G949">
            <v>23.265416041293889</v>
          </cell>
        </row>
        <row r="950">
          <cell r="E950">
            <v>29.4</v>
          </cell>
          <cell r="F950">
            <v>25.2</v>
          </cell>
          <cell r="G950">
            <v>23.265416041293889</v>
          </cell>
        </row>
        <row r="951">
          <cell r="E951">
            <v>28.6</v>
          </cell>
          <cell r="F951">
            <v>25</v>
          </cell>
          <cell r="G951">
            <v>23.321392650725961</v>
          </cell>
        </row>
        <row r="952">
          <cell r="E952">
            <v>27.8</v>
          </cell>
          <cell r="F952">
            <v>24.6</v>
          </cell>
          <cell r="G952">
            <v>23.072611503492613</v>
          </cell>
        </row>
        <row r="953">
          <cell r="E953">
            <v>27</v>
          </cell>
          <cell r="F953">
            <v>24</v>
          </cell>
          <cell r="G953">
            <v>22.520565860984291</v>
          </cell>
        </row>
        <row r="954">
          <cell r="E954">
            <v>26</v>
          </cell>
          <cell r="F954">
            <v>23.6</v>
          </cell>
          <cell r="G954">
            <v>22.380428406468425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26</v>
          </cell>
          <cell r="G966">
            <v>26</v>
          </cell>
        </row>
        <row r="967">
          <cell r="F967">
            <v>26</v>
          </cell>
          <cell r="G967">
            <v>26</v>
          </cell>
        </row>
        <row r="968">
          <cell r="F968">
            <v>26</v>
          </cell>
          <cell r="G968">
            <v>26</v>
          </cell>
        </row>
        <row r="969">
          <cell r="F969" t="str">
            <v>WXREV</v>
          </cell>
          <cell r="G969">
            <v>26</v>
          </cell>
        </row>
        <row r="970">
          <cell r="F970">
            <v>26</v>
          </cell>
          <cell r="G970">
            <v>26</v>
          </cell>
        </row>
        <row r="971">
          <cell r="F971">
            <v>26</v>
          </cell>
          <cell r="G971">
            <v>26</v>
          </cell>
        </row>
        <row r="972">
          <cell r="F972">
            <v>26</v>
          </cell>
          <cell r="G972">
            <v>26</v>
          </cell>
        </row>
        <row r="973">
          <cell r="F973">
            <v>26</v>
          </cell>
          <cell r="G973">
            <v>26</v>
          </cell>
        </row>
        <row r="974">
          <cell r="F974" t="str">
            <v>MEI</v>
          </cell>
          <cell r="G974">
            <v>26</v>
          </cell>
        </row>
        <row r="975">
          <cell r="F975">
            <v>26</v>
          </cell>
          <cell r="G975">
            <v>26</v>
          </cell>
        </row>
        <row r="976">
          <cell r="F976" t="str">
            <v>BB</v>
          </cell>
          <cell r="G976" t="str">
            <v>TTD</v>
          </cell>
        </row>
        <row r="977">
          <cell r="F977">
            <v>26</v>
          </cell>
          <cell r="G977">
            <v>26</v>
          </cell>
        </row>
        <row r="978">
          <cell r="E978">
            <v>24.2</v>
          </cell>
          <cell r="F978">
            <v>23</v>
          </cell>
          <cell r="G978">
            <v>22.330168592037214</v>
          </cell>
        </row>
        <row r="979">
          <cell r="E979">
            <v>25.5</v>
          </cell>
          <cell r="F979">
            <v>23.4</v>
          </cell>
          <cell r="G979">
            <v>22.313334889750408</v>
          </cell>
        </row>
        <row r="980">
          <cell r="E980">
            <v>28.2</v>
          </cell>
          <cell r="F980">
            <v>24.6</v>
          </cell>
          <cell r="G980">
            <v>22.886439940964369</v>
          </cell>
        </row>
        <row r="981">
          <cell r="E981">
            <v>29.8</v>
          </cell>
          <cell r="F981">
            <v>25</v>
          </cell>
          <cell r="G981">
            <v>22.764750111093644</v>
          </cell>
        </row>
        <row r="982">
          <cell r="E982">
            <v>30.3</v>
          </cell>
          <cell r="F982">
            <v>25.1</v>
          </cell>
          <cell r="G982">
            <v>22.688443801576025</v>
          </cell>
        </row>
        <row r="983">
          <cell r="E983">
            <v>31.6</v>
          </cell>
          <cell r="F983">
            <v>25</v>
          </cell>
          <cell r="G983">
            <v>21.897743004464761</v>
          </cell>
        </row>
        <row r="984">
          <cell r="E984">
            <v>32.299999999999997</v>
          </cell>
          <cell r="F984">
            <v>25.2</v>
          </cell>
          <cell r="G984">
            <v>21.886741200021163</v>
          </cell>
        </row>
        <row r="985">
          <cell r="E985">
            <v>31.6</v>
          </cell>
          <cell r="F985">
            <v>26.3</v>
          </cell>
          <cell r="G985">
            <v>23.99302214059308</v>
          </cell>
        </row>
        <row r="986">
          <cell r="E986">
            <v>29.9</v>
          </cell>
          <cell r="F986">
            <v>24.9</v>
          </cell>
          <cell r="G986">
            <v>22.557899181286821</v>
          </cell>
        </row>
        <row r="987">
          <cell r="E987">
            <v>29.6</v>
          </cell>
          <cell r="F987">
            <v>25</v>
          </cell>
          <cell r="G987">
            <v>22.858668311959782</v>
          </cell>
        </row>
        <row r="988">
          <cell r="E988">
            <v>28.7</v>
          </cell>
          <cell r="F988">
            <v>25.5</v>
          </cell>
          <cell r="G988">
            <v>24.04070828220102</v>
          </cell>
        </row>
        <row r="989">
          <cell r="E989">
            <v>28.2</v>
          </cell>
          <cell r="F989">
            <v>25.5</v>
          </cell>
          <cell r="G989">
            <v>24.259540793368341</v>
          </cell>
        </row>
        <row r="990">
          <cell r="E990">
            <v>27.1</v>
          </cell>
          <cell r="F990">
            <v>24.2</v>
          </cell>
          <cell r="G990">
            <v>22.782662703120685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27.1</v>
          </cell>
          <cell r="G1002">
            <v>27.099990844726563</v>
          </cell>
        </row>
        <row r="1003">
          <cell r="F1003">
            <v>27.099990844726563</v>
          </cell>
          <cell r="G1003">
            <v>27.099990844726563</v>
          </cell>
        </row>
        <row r="1004">
          <cell r="F1004">
            <v>27.099990844726563</v>
          </cell>
          <cell r="G1004">
            <v>27.099990844726563</v>
          </cell>
        </row>
        <row r="1005">
          <cell r="F1005" t="str">
            <v>WXREV</v>
          </cell>
          <cell r="G1005">
            <v>27.099990844726563</v>
          </cell>
        </row>
        <row r="1006">
          <cell r="F1006">
            <v>27.099990844726563</v>
          </cell>
          <cell r="G1006">
            <v>27.099990844726563</v>
          </cell>
        </row>
        <row r="1007">
          <cell r="F1007">
            <v>27.099990844726563</v>
          </cell>
          <cell r="G1007">
            <v>27.099990844726563</v>
          </cell>
        </row>
        <row r="1008">
          <cell r="F1008">
            <v>27.099990844726563</v>
          </cell>
          <cell r="G1008">
            <v>27.099990844726563</v>
          </cell>
        </row>
        <row r="1009">
          <cell r="F1009">
            <v>27.099990844726563</v>
          </cell>
          <cell r="G1009">
            <v>27.099990844726563</v>
          </cell>
        </row>
        <row r="1010">
          <cell r="F1010" t="str">
            <v>MEI</v>
          </cell>
          <cell r="G1010">
            <v>27.099990844726563</v>
          </cell>
        </row>
        <row r="1011">
          <cell r="F1011">
            <v>27.099990844726563</v>
          </cell>
          <cell r="G1011">
            <v>27.099990844726563</v>
          </cell>
        </row>
        <row r="1012">
          <cell r="F1012" t="str">
            <v>BB</v>
          </cell>
          <cell r="G1012" t="str">
            <v>TTD</v>
          </cell>
        </row>
        <row r="1013">
          <cell r="F1013">
            <v>27.099990844726563</v>
          </cell>
          <cell r="G1013">
            <v>27.099990844726563</v>
          </cell>
        </row>
        <row r="1014">
          <cell r="E1014">
            <v>25</v>
          </cell>
          <cell r="F1014">
            <v>23.3</v>
          </cell>
          <cell r="G1014">
            <v>22.400885909362238</v>
          </cell>
        </row>
        <row r="1015">
          <cell r="E1015">
            <v>26.6</v>
          </cell>
          <cell r="F1015">
            <v>24</v>
          </cell>
          <cell r="G1015">
            <v>22.710351727825326</v>
          </cell>
        </row>
        <row r="1016">
          <cell r="E1016">
            <v>27.4</v>
          </cell>
          <cell r="F1016">
            <v>24.5</v>
          </cell>
          <cell r="G1016">
            <v>23.104020850518559</v>
          </cell>
        </row>
        <row r="1017">
          <cell r="E1017">
            <v>29</v>
          </cell>
          <cell r="F1017">
            <v>25</v>
          </cell>
          <cell r="G1017">
            <v>23.13765699199967</v>
          </cell>
        </row>
        <row r="1018">
          <cell r="E1018">
            <v>29.8</v>
          </cell>
          <cell r="F1018">
            <v>25.2</v>
          </cell>
          <cell r="G1018">
            <v>23.081131949841016</v>
          </cell>
        </row>
        <row r="1019">
          <cell r="E1019">
            <v>30.6</v>
          </cell>
          <cell r="F1019">
            <v>25.1</v>
          </cell>
          <cell r="G1019">
            <v>22.546107734515989</v>
          </cell>
        </row>
        <row r="1020">
          <cell r="E1020">
            <v>31.8</v>
          </cell>
          <cell r="F1020">
            <v>25</v>
          </cell>
          <cell r="G1020">
            <v>21.798893378468534</v>
          </cell>
        </row>
        <row r="1021">
          <cell r="E1021">
            <v>31.1</v>
          </cell>
          <cell r="F1021">
            <v>25.9</v>
          </cell>
          <cell r="G1021">
            <v>23.588880760079434</v>
          </cell>
        </row>
        <row r="1022">
          <cell r="E1022">
            <v>30.3</v>
          </cell>
          <cell r="F1022">
            <v>25.7</v>
          </cell>
          <cell r="G1022">
            <v>23.635993633454174</v>
          </cell>
        </row>
        <row r="1023">
          <cell r="E1023">
            <v>27.6</v>
          </cell>
          <cell r="F1023">
            <v>24.8</v>
          </cell>
          <cell r="G1023">
            <v>23.470377859669266</v>
          </cell>
        </row>
        <row r="1024">
          <cell r="E1024">
            <v>26.4</v>
          </cell>
          <cell r="F1024">
            <v>24</v>
          </cell>
          <cell r="G1024">
            <v>22.804533908537021</v>
          </cell>
        </row>
        <row r="1025">
          <cell r="E1025">
            <v>25.7</v>
          </cell>
          <cell r="F1025">
            <v>23.6</v>
          </cell>
          <cell r="G1025">
            <v>22.52400204516346</v>
          </cell>
        </row>
        <row r="1026">
          <cell r="E1026">
            <v>25.3</v>
          </cell>
          <cell r="F1026">
            <v>23.6</v>
          </cell>
          <cell r="G1026">
            <v>22.713748663769724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25.3</v>
          </cell>
          <cell r="G1038">
            <v>25.29998779296875</v>
          </cell>
        </row>
        <row r="1039">
          <cell r="F1039">
            <v>25.29998779296875</v>
          </cell>
          <cell r="G1039">
            <v>25.29998779296875</v>
          </cell>
        </row>
        <row r="1040">
          <cell r="F1040">
            <v>25.29998779296875</v>
          </cell>
          <cell r="G1040">
            <v>25.29998779296875</v>
          </cell>
        </row>
        <row r="1041">
          <cell r="F1041" t="str">
            <v>WXREV</v>
          </cell>
          <cell r="G1041">
            <v>25.29998779296875</v>
          </cell>
        </row>
        <row r="1042">
          <cell r="F1042">
            <v>25.29998779296875</v>
          </cell>
          <cell r="G1042">
            <v>25.29998779296875</v>
          </cell>
        </row>
        <row r="1043">
          <cell r="F1043">
            <v>25.29998779296875</v>
          </cell>
          <cell r="G1043">
            <v>25.29998779296875</v>
          </cell>
        </row>
        <row r="1044">
          <cell r="F1044">
            <v>25.29998779296875</v>
          </cell>
          <cell r="G1044">
            <v>25.29998779296875</v>
          </cell>
        </row>
        <row r="1045">
          <cell r="F1045">
            <v>25.29998779296875</v>
          </cell>
          <cell r="G1045">
            <v>25.29998779296875</v>
          </cell>
        </row>
        <row r="1046">
          <cell r="F1046" t="str">
            <v>MEI</v>
          </cell>
          <cell r="G1046">
            <v>25.29998779296875</v>
          </cell>
        </row>
        <row r="1047">
          <cell r="F1047">
            <v>25.29998779296875</v>
          </cell>
          <cell r="G1047">
            <v>25.29998779296875</v>
          </cell>
        </row>
        <row r="1048">
          <cell r="F1048" t="str">
            <v>BB</v>
          </cell>
          <cell r="G1048" t="str">
            <v>TTD</v>
          </cell>
        </row>
        <row r="1049">
          <cell r="F1049">
            <v>25.29998779296875</v>
          </cell>
          <cell r="G1049">
            <v>25.29998779296875</v>
          </cell>
        </row>
        <row r="1050">
          <cell r="E1050">
            <v>24.1</v>
          </cell>
          <cell r="F1050">
            <v>22.8</v>
          </cell>
          <cell r="G1050">
            <v>22.075218157265112</v>
          </cell>
        </row>
        <row r="1051">
          <cell r="E1051">
            <v>25.6</v>
          </cell>
          <cell r="F1051">
            <v>23.4</v>
          </cell>
          <cell r="G1051">
            <v>22.265061411393539</v>
          </cell>
        </row>
        <row r="1052">
          <cell r="E1052">
            <v>27.4</v>
          </cell>
          <cell r="F1052">
            <v>23.8</v>
          </cell>
          <cell r="G1052">
            <v>22.013710163189856</v>
          </cell>
        </row>
        <row r="1053">
          <cell r="E1053">
            <v>29.4</v>
          </cell>
          <cell r="F1053">
            <v>24.8</v>
          </cell>
          <cell r="G1053">
            <v>22.635900736480924</v>
          </cell>
        </row>
        <row r="1054">
          <cell r="E1054">
            <v>30.8</v>
          </cell>
          <cell r="F1054">
            <v>25</v>
          </cell>
          <cell r="G1054">
            <v>22.288017674935872</v>
          </cell>
        </row>
        <row r="1055">
          <cell r="E1055">
            <v>31.8</v>
          </cell>
          <cell r="F1055">
            <v>25.4</v>
          </cell>
          <cell r="G1055">
            <v>22.461217290434405</v>
          </cell>
        </row>
        <row r="1056">
          <cell r="E1056">
            <v>33.200000000000003</v>
          </cell>
          <cell r="F1056">
            <v>23.6</v>
          </cell>
          <cell r="G1056">
            <v>18.554367770771236</v>
          </cell>
        </row>
        <row r="1057">
          <cell r="E1057">
            <v>33.6</v>
          </cell>
          <cell r="F1057">
            <v>24</v>
          </cell>
          <cell r="G1057">
            <v>19.074032797795194</v>
          </cell>
        </row>
        <row r="1058">
          <cell r="E1058">
            <v>30.2</v>
          </cell>
          <cell r="F1058">
            <v>26.2</v>
          </cell>
          <cell r="G1058">
            <v>24.449360428169875</v>
          </cell>
        </row>
        <row r="1059">
          <cell r="E1059">
            <v>28.6</v>
          </cell>
          <cell r="F1059">
            <v>25.6</v>
          </cell>
          <cell r="G1059">
            <v>24.235377202799327</v>
          </cell>
        </row>
        <row r="1060">
          <cell r="E1060">
            <v>27.6</v>
          </cell>
          <cell r="F1060">
            <v>24.6</v>
          </cell>
          <cell r="G1060">
            <v>23.165015271595813</v>
          </cell>
        </row>
        <row r="1061">
          <cell r="E1061">
            <v>26.6</v>
          </cell>
          <cell r="F1061">
            <v>24.8</v>
          </cell>
          <cell r="G1061">
            <v>23.918598073842094</v>
          </cell>
        </row>
        <row r="1062">
          <cell r="E1062">
            <v>24.4</v>
          </cell>
          <cell r="F1062">
            <v>23.4</v>
          </cell>
          <cell r="G1062">
            <v>22.836338621391949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24.4</v>
          </cell>
          <cell r="G1074">
            <v>24.399993896484375</v>
          </cell>
        </row>
        <row r="1075">
          <cell r="F1075">
            <v>24.399993896484375</v>
          </cell>
          <cell r="G1075">
            <v>24.399993896484375</v>
          </cell>
        </row>
        <row r="1076">
          <cell r="F1076">
            <v>24.399993896484375</v>
          </cell>
          <cell r="G1076">
            <v>24.399993896484375</v>
          </cell>
        </row>
        <row r="1077">
          <cell r="F1077" t="str">
            <v>WXREV</v>
          </cell>
          <cell r="G1077">
            <v>24.399993896484375</v>
          </cell>
        </row>
        <row r="1078">
          <cell r="F1078">
            <v>24.399993896484375</v>
          </cell>
          <cell r="G1078">
            <v>24.399993896484375</v>
          </cell>
        </row>
        <row r="1079">
          <cell r="F1079">
            <v>24.399993896484375</v>
          </cell>
          <cell r="G1079">
            <v>24.399993896484375</v>
          </cell>
        </row>
        <row r="1080">
          <cell r="F1080">
            <v>24.399993896484375</v>
          </cell>
          <cell r="G1080">
            <v>24.399993896484375</v>
          </cell>
        </row>
        <row r="1081">
          <cell r="F1081">
            <v>24.399993896484375</v>
          </cell>
          <cell r="G1081">
            <v>24.399993896484375</v>
          </cell>
        </row>
        <row r="1082">
          <cell r="F1082" t="str">
            <v>MEI</v>
          </cell>
          <cell r="G1082">
            <v>24.399993896484375</v>
          </cell>
        </row>
        <row r="1083">
          <cell r="F1083">
            <v>24.399993896484375</v>
          </cell>
          <cell r="G1083">
            <v>24.399993896484375</v>
          </cell>
        </row>
        <row r="1084">
          <cell r="F1084" t="str">
            <v>BB</v>
          </cell>
          <cell r="G1084" t="str">
            <v>TTD</v>
          </cell>
        </row>
        <row r="1085">
          <cell r="F1085">
            <v>24.399993896484375</v>
          </cell>
          <cell r="G1085">
            <v>24.399993896484375</v>
          </cell>
        </row>
        <row r="1086">
          <cell r="E1086">
            <v>24</v>
          </cell>
          <cell r="F1086">
            <v>22.6</v>
          </cell>
          <cell r="G1086">
            <v>21.818982335509961</v>
          </cell>
        </row>
        <row r="1087">
          <cell r="E1087">
            <v>25.4</v>
          </cell>
          <cell r="F1087">
            <v>23</v>
          </cell>
          <cell r="G1087">
            <v>21.743085824045714</v>
          </cell>
        </row>
        <row r="1088">
          <cell r="E1088">
            <v>27.4</v>
          </cell>
          <cell r="F1088">
            <v>24.3</v>
          </cell>
          <cell r="G1088">
            <v>22.796069393403265</v>
          </cell>
        </row>
        <row r="1089">
          <cell r="E1089">
            <v>29</v>
          </cell>
          <cell r="F1089">
            <v>25</v>
          </cell>
          <cell r="G1089">
            <v>23.13765699199967</v>
          </cell>
        </row>
        <row r="1090">
          <cell r="E1090">
            <v>29.6</v>
          </cell>
          <cell r="F1090">
            <v>25</v>
          </cell>
          <cell r="G1090">
            <v>22.858668311959782</v>
          </cell>
        </row>
        <row r="1091">
          <cell r="E1091">
            <v>30.1</v>
          </cell>
          <cell r="F1091">
            <v>25.2</v>
          </cell>
          <cell r="G1091">
            <v>22.941732713579075</v>
          </cell>
        </row>
        <row r="1092">
          <cell r="E1092">
            <v>30.6</v>
          </cell>
          <cell r="F1092">
            <v>25.4</v>
          </cell>
          <cell r="G1092">
            <v>23.026747545268133</v>
          </cell>
        </row>
        <row r="1093">
          <cell r="E1093">
            <v>29.8</v>
          </cell>
          <cell r="F1093">
            <v>26</v>
          </cell>
          <cell r="G1093">
            <v>24.318314056671813</v>
          </cell>
        </row>
        <row r="1094">
          <cell r="E1094">
            <v>28.8</v>
          </cell>
          <cell r="F1094">
            <v>25.6</v>
          </cell>
          <cell r="G1094">
            <v>24.148033521051371</v>
          </cell>
        </row>
        <row r="1095">
          <cell r="E1095">
            <v>28.4</v>
          </cell>
          <cell r="F1095">
            <v>25.2</v>
          </cell>
          <cell r="G1095">
            <v>23.718447763009451</v>
          </cell>
        </row>
        <row r="1096">
          <cell r="E1096">
            <v>26.8</v>
          </cell>
          <cell r="F1096">
            <v>25</v>
          </cell>
          <cell r="G1096">
            <v>24.126908752194279</v>
          </cell>
        </row>
        <row r="1097">
          <cell r="E1097">
            <v>26</v>
          </cell>
          <cell r="F1097">
            <v>24.8</v>
          </cell>
          <cell r="G1097">
            <v>24.182556068191992</v>
          </cell>
        </row>
        <row r="1098">
          <cell r="E1098">
            <v>25.2</v>
          </cell>
          <cell r="F1098">
            <v>24.6</v>
          </cell>
          <cell r="G1098">
            <v>24.240171052708501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  <row r="1121">
          <cell r="R1121" t="str">
            <v xml:space="preserve">TIM PEMBUAT LAPORAN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C3" t="str">
            <v>Mei 2022</v>
          </cell>
        </row>
      </sheetData>
      <sheetData sheetId="20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1"/>
      <sheetData sheetId="22">
        <row r="42">
          <cell r="C42" t="str">
            <v>Mengetahui,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JANUARI</v>
          </cell>
          <cell r="G2">
            <v>0</v>
          </cell>
        </row>
        <row r="3">
          <cell r="F3">
            <v>0</v>
          </cell>
          <cell r="G3">
            <v>0</v>
          </cell>
        </row>
        <row r="4">
          <cell r="F4" t="str">
            <v>BB</v>
          </cell>
          <cell r="G4" t="str">
            <v>TTD</v>
          </cell>
        </row>
        <row r="5">
          <cell r="F5">
            <v>0</v>
          </cell>
          <cell r="G5">
            <v>0</v>
          </cell>
        </row>
        <row r="6">
          <cell r="E6">
            <v>26.2</v>
          </cell>
          <cell r="F6">
            <v>24</v>
          </cell>
          <cell r="G6">
            <v>22.898249002326494</v>
          </cell>
        </row>
        <row r="7">
          <cell r="E7">
            <v>27.4</v>
          </cell>
          <cell r="F7">
            <v>24.2</v>
          </cell>
          <cell r="G7">
            <v>22.64104632271264</v>
          </cell>
        </row>
        <row r="8">
          <cell r="E8">
            <v>28.6</v>
          </cell>
          <cell r="F8">
            <v>24</v>
          </cell>
          <cell r="G8">
            <v>21.741688210998174</v>
          </cell>
        </row>
        <row r="9">
          <cell r="E9">
            <v>29.2</v>
          </cell>
          <cell r="F9">
            <v>24.5</v>
          </cell>
          <cell r="G9">
            <v>22.25286027093837</v>
          </cell>
        </row>
        <row r="10">
          <cell r="E10">
            <v>30.5</v>
          </cell>
          <cell r="F10">
            <v>24.8</v>
          </cell>
          <cell r="G10">
            <v>22.107177604789719</v>
          </cell>
        </row>
        <row r="11">
          <cell r="E11">
            <v>30.8</v>
          </cell>
          <cell r="F11">
            <v>24.8</v>
          </cell>
          <cell r="G11">
            <v>21.96036328282305</v>
          </cell>
        </row>
        <row r="12">
          <cell r="E12">
            <v>29.4</v>
          </cell>
          <cell r="F12">
            <v>24.8</v>
          </cell>
          <cell r="G12">
            <v>22.635900736480924</v>
          </cell>
        </row>
        <row r="13">
          <cell r="E13">
            <v>29.8</v>
          </cell>
          <cell r="F13">
            <v>25.4</v>
          </cell>
          <cell r="G13">
            <v>23.394590685489504</v>
          </cell>
        </row>
        <row r="14">
          <cell r="E14">
            <v>29</v>
          </cell>
          <cell r="F14">
            <v>25.2</v>
          </cell>
          <cell r="G14">
            <v>23.447926951785295</v>
          </cell>
        </row>
        <row r="15">
          <cell r="E15">
            <v>28.6</v>
          </cell>
          <cell r="F15">
            <v>25</v>
          </cell>
          <cell r="G15">
            <v>23.321392650725961</v>
          </cell>
        </row>
        <row r="16">
          <cell r="E16">
            <v>27.4</v>
          </cell>
          <cell r="F16">
            <v>24.6</v>
          </cell>
          <cell r="G16">
            <v>23.256970699803183</v>
          </cell>
        </row>
        <row r="17">
          <cell r="E17">
            <v>27.2</v>
          </cell>
          <cell r="F17">
            <v>24.2</v>
          </cell>
          <cell r="G17">
            <v>22.735575147904516</v>
          </cell>
        </row>
        <row r="18">
          <cell r="E18">
            <v>26.8</v>
          </cell>
          <cell r="F18">
            <v>24.2</v>
          </cell>
          <cell r="G18">
            <v>22.923225481997395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26.8</v>
          </cell>
          <cell r="G30">
            <v>26.79998779296875</v>
          </cell>
        </row>
        <row r="33">
          <cell r="F33" t="str">
            <v>WXREV</v>
          </cell>
        </row>
        <row r="34">
          <cell r="F34">
            <v>26.79998779296875</v>
          </cell>
          <cell r="G34">
            <v>26.79998779296875</v>
          </cell>
        </row>
        <row r="35">
          <cell r="F35">
            <v>26.79998779296875</v>
          </cell>
          <cell r="G35">
            <v>26.79998779296875</v>
          </cell>
        </row>
        <row r="36">
          <cell r="F36">
            <v>26.79998779296875</v>
          </cell>
          <cell r="G36">
            <v>26.79998779296875</v>
          </cell>
        </row>
        <row r="37">
          <cell r="F37">
            <v>26.79998779296875</v>
          </cell>
          <cell r="G37">
            <v>26.79998779296875</v>
          </cell>
        </row>
        <row r="38">
          <cell r="F38" t="str">
            <v>JANUARI</v>
          </cell>
          <cell r="G38">
            <v>26.79998779296875</v>
          </cell>
        </row>
        <row r="39">
          <cell r="F39">
            <v>26.79998779296875</v>
          </cell>
          <cell r="G39">
            <v>26.79998779296875</v>
          </cell>
        </row>
        <row r="40">
          <cell r="F40" t="str">
            <v>BB</v>
          </cell>
          <cell r="G40" t="str">
            <v>TTD</v>
          </cell>
        </row>
        <row r="41">
          <cell r="F41">
            <v>26.79998779296875</v>
          </cell>
          <cell r="G41">
            <v>26.79998779296875</v>
          </cell>
        </row>
        <row r="42">
          <cell r="E42">
            <v>25.1</v>
          </cell>
          <cell r="F42">
            <v>24.4</v>
          </cell>
          <cell r="G42">
            <v>23.993318566443666</v>
          </cell>
        </row>
        <row r="43">
          <cell r="E43">
            <v>27</v>
          </cell>
          <cell r="F43">
            <v>24.6</v>
          </cell>
          <cell r="G43">
            <v>23.439555090650348</v>
          </cell>
        </row>
        <row r="44">
          <cell r="E44">
            <v>28.2</v>
          </cell>
          <cell r="F44">
            <v>24.8</v>
          </cell>
          <cell r="G44">
            <v>23.196283144013933</v>
          </cell>
        </row>
        <row r="45">
          <cell r="E45">
            <v>29</v>
          </cell>
          <cell r="F45">
            <v>24.8</v>
          </cell>
          <cell r="G45">
            <v>22.824546080853771</v>
          </cell>
        </row>
        <row r="46">
          <cell r="E46">
            <v>29.3</v>
          </cell>
          <cell r="F46">
            <v>25</v>
          </cell>
          <cell r="G46">
            <v>22.998676685198461</v>
          </cell>
        </row>
        <row r="47">
          <cell r="E47">
            <v>29.8</v>
          </cell>
          <cell r="F47">
            <v>25</v>
          </cell>
          <cell r="G47">
            <v>22.764750111093644</v>
          </cell>
        </row>
        <row r="48">
          <cell r="E48">
            <v>30.2</v>
          </cell>
          <cell r="F48">
            <v>25.6</v>
          </cell>
          <cell r="G48">
            <v>23.525167159390978</v>
          </cell>
        </row>
        <row r="49">
          <cell r="E49">
            <v>29.6</v>
          </cell>
          <cell r="F49">
            <v>25.2</v>
          </cell>
          <cell r="G49">
            <v>23.173497959213115</v>
          </cell>
        </row>
        <row r="50">
          <cell r="E50">
            <v>28.8</v>
          </cell>
          <cell r="F50">
            <v>25</v>
          </cell>
          <cell r="G50">
            <v>23.229747355809128</v>
          </cell>
        </row>
        <row r="51">
          <cell r="E51">
            <v>28.4</v>
          </cell>
          <cell r="F51">
            <v>25</v>
          </cell>
          <cell r="G51">
            <v>23.412597481878489</v>
          </cell>
        </row>
        <row r="52">
          <cell r="E52">
            <v>27.8</v>
          </cell>
          <cell r="F52">
            <v>24.5</v>
          </cell>
          <cell r="G52">
            <v>22.918160749608798</v>
          </cell>
        </row>
        <row r="53">
          <cell r="E53">
            <v>26.9</v>
          </cell>
          <cell r="F53">
            <v>24.4</v>
          </cell>
          <cell r="G53">
            <v>23.182038337621304</v>
          </cell>
        </row>
        <row r="54">
          <cell r="E54">
            <v>26.3</v>
          </cell>
          <cell r="F54">
            <v>24.4</v>
          </cell>
          <cell r="G54">
            <v>23.456330079990238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26.3</v>
          </cell>
          <cell r="G66">
            <v>26.29998779296875</v>
          </cell>
        </row>
        <row r="67">
          <cell r="F67">
            <v>26.29998779296875</v>
          </cell>
          <cell r="G67">
            <v>26.29998779296875</v>
          </cell>
        </row>
        <row r="68">
          <cell r="F68">
            <v>26.29998779296875</v>
          </cell>
          <cell r="G68">
            <v>26.29998779296875</v>
          </cell>
        </row>
        <row r="69">
          <cell r="F69" t="str">
            <v>WXREV</v>
          </cell>
          <cell r="G69">
            <v>26.29998779296875</v>
          </cell>
        </row>
        <row r="70">
          <cell r="F70">
            <v>26.29998779296875</v>
          </cell>
          <cell r="G70">
            <v>26.29998779296875</v>
          </cell>
        </row>
        <row r="71">
          <cell r="F71">
            <v>26.29998779296875</v>
          </cell>
          <cell r="G71">
            <v>26.29998779296875</v>
          </cell>
        </row>
        <row r="72">
          <cell r="F72">
            <v>26.29998779296875</v>
          </cell>
          <cell r="G72">
            <v>26.29998779296875</v>
          </cell>
        </row>
        <row r="73">
          <cell r="F73">
            <v>26.29998779296875</v>
          </cell>
          <cell r="G73">
            <v>26.29998779296875</v>
          </cell>
        </row>
        <row r="74">
          <cell r="F74" t="str">
            <v>JANUARI</v>
          </cell>
          <cell r="G74">
            <v>26.29998779296875</v>
          </cell>
        </row>
        <row r="75">
          <cell r="F75">
            <v>26.29998779296875</v>
          </cell>
          <cell r="G75">
            <v>26.29998779296875</v>
          </cell>
        </row>
        <row r="76">
          <cell r="F76" t="str">
            <v>BB</v>
          </cell>
          <cell r="G76" t="str">
            <v>TTD</v>
          </cell>
        </row>
        <row r="77">
          <cell r="F77">
            <v>26.29998779296875</v>
          </cell>
          <cell r="G77">
            <v>26.29998779296875</v>
          </cell>
        </row>
        <row r="78">
          <cell r="E78">
            <v>25</v>
          </cell>
          <cell r="F78">
            <v>23.7</v>
          </cell>
          <cell r="G78">
            <v>23.004814665351681</v>
          </cell>
        </row>
        <row r="79">
          <cell r="E79">
            <v>26</v>
          </cell>
          <cell r="F79">
            <v>24</v>
          </cell>
          <cell r="G79">
            <v>22.991501967304046</v>
          </cell>
        </row>
        <row r="80">
          <cell r="E80">
            <v>27</v>
          </cell>
          <cell r="F80">
            <v>23.7</v>
          </cell>
          <cell r="G80">
            <v>22.051586021703706</v>
          </cell>
        </row>
        <row r="81">
          <cell r="E81">
            <v>28</v>
          </cell>
          <cell r="F81">
            <v>24.5</v>
          </cell>
          <cell r="G81">
            <v>22.824541481553876</v>
          </cell>
        </row>
        <row r="82">
          <cell r="E82">
            <v>29.2</v>
          </cell>
          <cell r="F82">
            <v>24.4</v>
          </cell>
          <cell r="G82">
            <v>22.092115402846034</v>
          </cell>
        </row>
        <row r="83">
          <cell r="E83">
            <v>29.6</v>
          </cell>
          <cell r="F83">
            <v>24.4</v>
          </cell>
          <cell r="G83">
            <v>21.895953551222608</v>
          </cell>
        </row>
        <row r="84">
          <cell r="E84">
            <v>29.9</v>
          </cell>
          <cell r="F84">
            <v>23.7</v>
          </cell>
          <cell r="G84">
            <v>20.577218059830393</v>
          </cell>
        </row>
        <row r="85">
          <cell r="E85">
            <v>30.2</v>
          </cell>
          <cell r="F85">
            <v>24</v>
          </cell>
          <cell r="G85">
            <v>20.929016635840025</v>
          </cell>
        </row>
        <row r="86">
          <cell r="E86">
            <v>29.8</v>
          </cell>
          <cell r="F86">
            <v>24</v>
          </cell>
          <cell r="G86">
            <v>21.135526160314516</v>
          </cell>
        </row>
        <row r="87">
          <cell r="E87">
            <v>28.6</v>
          </cell>
          <cell r="F87">
            <v>24</v>
          </cell>
          <cell r="G87">
            <v>21.741688210998174</v>
          </cell>
        </row>
        <row r="88">
          <cell r="E88">
            <v>27.8</v>
          </cell>
          <cell r="F88">
            <v>23.2</v>
          </cell>
          <cell r="G88">
            <v>20.842188166907764</v>
          </cell>
        </row>
        <row r="89">
          <cell r="E89">
            <v>26.6</v>
          </cell>
          <cell r="F89">
            <v>23.2</v>
          </cell>
          <cell r="G89">
            <v>21.457765521889179</v>
          </cell>
        </row>
        <row r="90">
          <cell r="E90">
            <v>25.8</v>
          </cell>
          <cell r="F90">
            <v>23</v>
          </cell>
          <cell r="G90">
            <v>21.543235108904849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25.8</v>
          </cell>
          <cell r="G102">
            <v>25.79998779296875</v>
          </cell>
        </row>
        <row r="103">
          <cell r="F103">
            <v>25.79998779296875</v>
          </cell>
          <cell r="G103">
            <v>25.79998779296875</v>
          </cell>
        </row>
        <row r="104">
          <cell r="F104">
            <v>25.79998779296875</v>
          </cell>
          <cell r="G104">
            <v>25.79998779296875</v>
          </cell>
        </row>
        <row r="105">
          <cell r="F105" t="str">
            <v>WXREV</v>
          </cell>
          <cell r="G105">
            <v>25.79998779296875</v>
          </cell>
        </row>
        <row r="106">
          <cell r="F106">
            <v>25.79998779296875</v>
          </cell>
          <cell r="G106">
            <v>25.79998779296875</v>
          </cell>
        </row>
        <row r="107">
          <cell r="F107">
            <v>25.79998779296875</v>
          </cell>
          <cell r="G107">
            <v>25.79998779296875</v>
          </cell>
        </row>
        <row r="108">
          <cell r="F108">
            <v>25.79998779296875</v>
          </cell>
          <cell r="G108">
            <v>25.79998779296875</v>
          </cell>
        </row>
        <row r="109">
          <cell r="F109">
            <v>25.79998779296875</v>
          </cell>
          <cell r="G109">
            <v>25.79998779296875</v>
          </cell>
        </row>
        <row r="110">
          <cell r="F110" t="str">
            <v>JANUARI</v>
          </cell>
          <cell r="G110">
            <v>25.79998779296875</v>
          </cell>
        </row>
        <row r="111">
          <cell r="F111">
            <v>25.79998779296875</v>
          </cell>
          <cell r="G111">
            <v>25.79998779296875</v>
          </cell>
        </row>
        <row r="112">
          <cell r="F112" t="str">
            <v>BB</v>
          </cell>
          <cell r="G112" t="str">
            <v>TTD</v>
          </cell>
        </row>
        <row r="113">
          <cell r="F113">
            <v>25.79998779296875</v>
          </cell>
          <cell r="G113">
            <v>25.79998779296875</v>
          </cell>
        </row>
        <row r="114">
          <cell r="E114">
            <v>24.2</v>
          </cell>
          <cell r="F114">
            <v>21.8</v>
          </cell>
          <cell r="G114">
            <v>20.463887755674129</v>
          </cell>
        </row>
        <row r="115">
          <cell r="E115">
            <v>27</v>
          </cell>
          <cell r="F115">
            <v>23.6</v>
          </cell>
          <cell r="G115">
            <v>21.893778896731295</v>
          </cell>
        </row>
        <row r="116">
          <cell r="E116">
            <v>28.4</v>
          </cell>
          <cell r="F116">
            <v>24.4</v>
          </cell>
          <cell r="G116">
            <v>22.478402908283279</v>
          </cell>
        </row>
        <row r="117">
          <cell r="E117">
            <v>28.8</v>
          </cell>
          <cell r="F117">
            <v>24.6</v>
          </cell>
          <cell r="G117">
            <v>22.603699197462753</v>
          </cell>
        </row>
        <row r="118">
          <cell r="E118">
            <v>29.6</v>
          </cell>
          <cell r="F118">
            <v>24.5</v>
          </cell>
          <cell r="G118">
            <v>22.058377213189214</v>
          </cell>
        </row>
        <row r="119">
          <cell r="E119">
            <v>30.1</v>
          </cell>
          <cell r="F119">
            <v>24.6</v>
          </cell>
          <cell r="G119">
            <v>21.976144820928056</v>
          </cell>
        </row>
        <row r="120">
          <cell r="E120">
            <v>30.3</v>
          </cell>
          <cell r="F120">
            <v>25.5</v>
          </cell>
          <cell r="G120">
            <v>23.323068469901976</v>
          </cell>
        </row>
        <row r="121">
          <cell r="E121">
            <v>29.8</v>
          </cell>
          <cell r="F121">
            <v>24.5</v>
          </cell>
          <cell r="G121">
            <v>21.960375502763952</v>
          </cell>
        </row>
        <row r="122">
          <cell r="E122">
            <v>30.6</v>
          </cell>
          <cell r="F122">
            <v>24.9</v>
          </cell>
          <cell r="G122">
            <v>22.221757861918281</v>
          </cell>
        </row>
        <row r="123">
          <cell r="E123">
            <v>29.7</v>
          </cell>
          <cell r="F123">
            <v>24.7</v>
          </cell>
          <cell r="G123">
            <v>22.332716175421421</v>
          </cell>
        </row>
        <row r="124">
          <cell r="E124">
            <v>28.7</v>
          </cell>
          <cell r="F124">
            <v>24.4</v>
          </cell>
          <cell r="G124">
            <v>22.33447262077301</v>
          </cell>
        </row>
        <row r="125">
          <cell r="E125">
            <v>27.7</v>
          </cell>
          <cell r="F125">
            <v>24.3</v>
          </cell>
          <cell r="G125">
            <v>22.654552974113553</v>
          </cell>
        </row>
        <row r="126">
          <cell r="E126">
            <v>26.6</v>
          </cell>
          <cell r="F126">
            <v>23.9</v>
          </cell>
          <cell r="G126">
            <v>22.556317057403774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26.6</v>
          </cell>
          <cell r="G138">
            <v>26.599990844726563</v>
          </cell>
        </row>
        <row r="139">
          <cell r="F139">
            <v>26.599990844726563</v>
          </cell>
          <cell r="G139">
            <v>26.599990844726563</v>
          </cell>
        </row>
        <row r="140">
          <cell r="F140">
            <v>26.599990844726563</v>
          </cell>
          <cell r="G140">
            <v>26.599990844726563</v>
          </cell>
        </row>
        <row r="141">
          <cell r="F141" t="str">
            <v>WXREV</v>
          </cell>
          <cell r="G141">
            <v>26.599990844726563</v>
          </cell>
        </row>
        <row r="142">
          <cell r="F142">
            <v>26.599990844726563</v>
          </cell>
          <cell r="G142">
            <v>26.599990844726563</v>
          </cell>
        </row>
        <row r="143">
          <cell r="F143">
            <v>26.599990844726563</v>
          </cell>
          <cell r="G143">
            <v>26.599990844726563</v>
          </cell>
        </row>
        <row r="144">
          <cell r="F144">
            <v>26.599990844726563</v>
          </cell>
          <cell r="G144">
            <v>26.599990844726563</v>
          </cell>
        </row>
        <row r="145">
          <cell r="F145">
            <v>26.599990844726563</v>
          </cell>
          <cell r="G145">
            <v>26.599990844726563</v>
          </cell>
        </row>
        <row r="146">
          <cell r="F146" t="str">
            <v>JANUARI</v>
          </cell>
          <cell r="G146">
            <v>26.599990844726563</v>
          </cell>
        </row>
        <row r="147">
          <cell r="F147">
            <v>26.599990844726563</v>
          </cell>
          <cell r="G147">
            <v>26.599990844726563</v>
          </cell>
        </row>
        <row r="148">
          <cell r="F148" t="str">
            <v>BB</v>
          </cell>
          <cell r="G148" t="str">
            <v>TTD</v>
          </cell>
        </row>
        <row r="149">
          <cell r="F149">
            <v>26.599990844726563</v>
          </cell>
          <cell r="G149">
            <v>26.599990844726563</v>
          </cell>
        </row>
        <row r="150">
          <cell r="E150">
            <v>25.2</v>
          </cell>
          <cell r="F150">
            <v>23.4</v>
          </cell>
          <cell r="G150">
            <v>22.45741703757486</v>
          </cell>
        </row>
        <row r="151">
          <cell r="E151">
            <v>27.4</v>
          </cell>
          <cell r="F151">
            <v>23.9</v>
          </cell>
          <cell r="G151">
            <v>22.171653956910621</v>
          </cell>
        </row>
        <row r="152">
          <cell r="E152">
            <v>28</v>
          </cell>
          <cell r="F152">
            <v>23.1</v>
          </cell>
          <cell r="G152">
            <v>20.571272807619781</v>
          </cell>
        </row>
        <row r="153">
          <cell r="E153">
            <v>29.2</v>
          </cell>
          <cell r="F153">
            <v>23</v>
          </cell>
          <cell r="G153">
            <v>19.751901806029988</v>
          </cell>
        </row>
        <row r="154">
          <cell r="E154">
            <v>29.8</v>
          </cell>
          <cell r="F154">
            <v>23.4</v>
          </cell>
          <cell r="G154">
            <v>20.116128402295594</v>
          </cell>
        </row>
        <row r="155">
          <cell r="E155">
            <v>30.8</v>
          </cell>
          <cell r="F155">
            <v>24.4</v>
          </cell>
          <cell r="G155">
            <v>21.294837240921414</v>
          </cell>
        </row>
        <row r="156">
          <cell r="E156">
            <v>31.3</v>
          </cell>
          <cell r="F156">
            <v>25.2</v>
          </cell>
          <cell r="G156">
            <v>22.373619264117171</v>
          </cell>
        </row>
        <row r="157">
          <cell r="E157">
            <v>31.2</v>
          </cell>
          <cell r="F157">
            <v>24.7</v>
          </cell>
          <cell r="G157">
            <v>21.595968088767467</v>
          </cell>
        </row>
        <row r="158">
          <cell r="E158">
            <v>30.8</v>
          </cell>
          <cell r="F158">
            <v>24.6</v>
          </cell>
          <cell r="G158">
            <v>21.629341608776524</v>
          </cell>
        </row>
        <row r="159">
          <cell r="E159">
            <v>30.4</v>
          </cell>
          <cell r="F159">
            <v>24.2</v>
          </cell>
          <cell r="G159">
            <v>21.162935778277308</v>
          </cell>
        </row>
        <row r="160">
          <cell r="E160">
            <v>28.6</v>
          </cell>
          <cell r="F160">
            <v>23.8</v>
          </cell>
          <cell r="G160">
            <v>21.416446175167959</v>
          </cell>
        </row>
        <row r="161">
          <cell r="E161">
            <v>28.4</v>
          </cell>
          <cell r="F161">
            <v>23.4</v>
          </cell>
          <cell r="G161">
            <v>20.860317420053146</v>
          </cell>
        </row>
        <row r="162">
          <cell r="E162">
            <v>27.6</v>
          </cell>
          <cell r="F162">
            <v>23.4</v>
          </cell>
          <cell r="G162">
            <v>21.272559563855115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27.6</v>
          </cell>
          <cell r="G174">
            <v>27.599990844726563</v>
          </cell>
        </row>
        <row r="175">
          <cell r="F175">
            <v>27.599990844726563</v>
          </cell>
          <cell r="G175">
            <v>27.599990844726563</v>
          </cell>
        </row>
        <row r="176">
          <cell r="F176">
            <v>27.599990844726563</v>
          </cell>
          <cell r="G176">
            <v>27.599990844726563</v>
          </cell>
        </row>
        <row r="177">
          <cell r="F177" t="str">
            <v>WXREV</v>
          </cell>
          <cell r="G177">
            <v>27.599990844726563</v>
          </cell>
        </row>
        <row r="178">
          <cell r="F178">
            <v>27.599990844726563</v>
          </cell>
          <cell r="G178">
            <v>27.599990844726563</v>
          </cell>
        </row>
        <row r="179">
          <cell r="F179">
            <v>27.599990844726563</v>
          </cell>
          <cell r="G179">
            <v>27.599990844726563</v>
          </cell>
        </row>
        <row r="180">
          <cell r="F180">
            <v>27.599990844726563</v>
          </cell>
          <cell r="G180">
            <v>27.599990844726563</v>
          </cell>
        </row>
        <row r="181">
          <cell r="F181">
            <v>27.599990844726563</v>
          </cell>
          <cell r="G181">
            <v>27.599990844726563</v>
          </cell>
        </row>
        <row r="182">
          <cell r="F182" t="str">
            <v>JANUARI</v>
          </cell>
          <cell r="G182">
            <v>27.599990844726563</v>
          </cell>
        </row>
        <row r="183">
          <cell r="F183">
            <v>27.599990844726563</v>
          </cell>
          <cell r="G183">
            <v>27.599990844726563</v>
          </cell>
        </row>
        <row r="184">
          <cell r="F184" t="str">
            <v>BB</v>
          </cell>
          <cell r="G184" t="str">
            <v>TTD</v>
          </cell>
        </row>
        <row r="185">
          <cell r="F185">
            <v>27.599990844726563</v>
          </cell>
          <cell r="G185">
            <v>27.599990844726563</v>
          </cell>
        </row>
        <row r="186">
          <cell r="E186">
            <v>25</v>
          </cell>
          <cell r="F186">
            <v>23</v>
          </cell>
          <cell r="G186">
            <v>21.940827013458751</v>
          </cell>
        </row>
        <row r="187">
          <cell r="E187">
            <v>26.8</v>
          </cell>
          <cell r="F187">
            <v>23.3</v>
          </cell>
          <cell r="G187">
            <v>21.516623527620698</v>
          </cell>
        </row>
        <row r="188">
          <cell r="E188">
            <v>28</v>
          </cell>
          <cell r="F188">
            <v>22.8</v>
          </cell>
          <cell r="G188">
            <v>20.066897343478452</v>
          </cell>
        </row>
        <row r="189">
          <cell r="E189">
            <v>29</v>
          </cell>
          <cell r="F189">
            <v>23.4</v>
          </cell>
          <cell r="G189">
            <v>20.545028509059279</v>
          </cell>
        </row>
        <row r="190">
          <cell r="E190">
            <v>30.2</v>
          </cell>
          <cell r="F190">
            <v>24</v>
          </cell>
          <cell r="G190">
            <v>20.929016635840025</v>
          </cell>
        </row>
        <row r="191">
          <cell r="E191">
            <v>31.2</v>
          </cell>
          <cell r="F191">
            <v>25.2</v>
          </cell>
          <cell r="G191">
            <v>22.421621048731168</v>
          </cell>
        </row>
        <row r="192">
          <cell r="E192">
            <v>31.3</v>
          </cell>
          <cell r="F192">
            <v>25</v>
          </cell>
          <cell r="G192">
            <v>22.045047742075486</v>
          </cell>
        </row>
        <row r="193">
          <cell r="E193">
            <v>30.6</v>
          </cell>
          <cell r="F193">
            <v>24.4</v>
          </cell>
          <cell r="G193">
            <v>21.396374581182265</v>
          </cell>
        </row>
        <row r="194">
          <cell r="E194">
            <v>30</v>
          </cell>
          <cell r="F194">
            <v>24.2</v>
          </cell>
          <cell r="G194">
            <v>21.366887025155211</v>
          </cell>
        </row>
        <row r="195">
          <cell r="E195">
            <v>29.6</v>
          </cell>
          <cell r="F195">
            <v>24</v>
          </cell>
          <cell r="G195">
            <v>21.237929123275833</v>
          </cell>
        </row>
        <row r="196">
          <cell r="E196">
            <v>28.6</v>
          </cell>
          <cell r="F196">
            <v>24</v>
          </cell>
          <cell r="G196">
            <v>21.741688210998174</v>
          </cell>
        </row>
        <row r="197">
          <cell r="E197">
            <v>28.4</v>
          </cell>
          <cell r="F197">
            <v>24</v>
          </cell>
          <cell r="G197">
            <v>21.840832967532137</v>
          </cell>
        </row>
        <row r="198">
          <cell r="E198">
            <v>28</v>
          </cell>
          <cell r="F198">
            <v>23.8</v>
          </cell>
          <cell r="G198">
            <v>21.717458711152801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28</v>
          </cell>
          <cell r="G210">
            <v>28</v>
          </cell>
        </row>
        <row r="211">
          <cell r="F211">
            <v>28</v>
          </cell>
          <cell r="G211">
            <v>28</v>
          </cell>
        </row>
        <row r="212">
          <cell r="F212">
            <v>28</v>
          </cell>
          <cell r="G212">
            <v>28</v>
          </cell>
        </row>
        <row r="213">
          <cell r="F213" t="str">
            <v>WXREV</v>
          </cell>
          <cell r="G213">
            <v>28</v>
          </cell>
        </row>
        <row r="214">
          <cell r="F214">
            <v>28</v>
          </cell>
          <cell r="G214">
            <v>28</v>
          </cell>
        </row>
        <row r="215">
          <cell r="F215">
            <v>28</v>
          </cell>
          <cell r="G215">
            <v>28</v>
          </cell>
        </row>
        <row r="216">
          <cell r="F216">
            <v>28</v>
          </cell>
          <cell r="G216">
            <v>28</v>
          </cell>
        </row>
        <row r="217">
          <cell r="F217">
            <v>28</v>
          </cell>
          <cell r="G217">
            <v>28</v>
          </cell>
        </row>
        <row r="218">
          <cell r="F218" t="str">
            <v>JANUARI</v>
          </cell>
          <cell r="G218">
            <v>28</v>
          </cell>
        </row>
        <row r="219">
          <cell r="F219">
            <v>28</v>
          </cell>
          <cell r="G219">
            <v>28</v>
          </cell>
        </row>
        <row r="220">
          <cell r="F220" t="str">
            <v>BB</v>
          </cell>
          <cell r="G220" t="str">
            <v>TTD</v>
          </cell>
        </row>
        <row r="221">
          <cell r="F221">
            <v>28</v>
          </cell>
          <cell r="G221">
            <v>28</v>
          </cell>
        </row>
        <row r="222">
          <cell r="E222">
            <v>26</v>
          </cell>
          <cell r="F222">
            <v>23.8</v>
          </cell>
          <cell r="G222">
            <v>22.687327425827569</v>
          </cell>
        </row>
        <row r="223">
          <cell r="E223">
            <v>27.4</v>
          </cell>
          <cell r="F223">
            <v>23.6</v>
          </cell>
          <cell r="G223">
            <v>21.695530782643495</v>
          </cell>
        </row>
        <row r="224">
          <cell r="E224">
            <v>29</v>
          </cell>
          <cell r="F224">
            <v>24.2</v>
          </cell>
          <cell r="G224">
            <v>21.867237103039482</v>
          </cell>
        </row>
        <row r="225">
          <cell r="E225">
            <v>29.8</v>
          </cell>
          <cell r="F225">
            <v>24.4</v>
          </cell>
          <cell r="G225">
            <v>21.797098187157214</v>
          </cell>
        </row>
        <row r="226">
          <cell r="E226">
            <v>30.3</v>
          </cell>
          <cell r="F226">
            <v>24.8</v>
          </cell>
          <cell r="G226">
            <v>22.204420328480694</v>
          </cell>
        </row>
        <row r="227">
          <cell r="E227">
            <v>30.8</v>
          </cell>
          <cell r="F227">
            <v>25.6</v>
          </cell>
          <cell r="G227">
            <v>23.251853221643302</v>
          </cell>
        </row>
        <row r="228">
          <cell r="E228">
            <v>30.2</v>
          </cell>
          <cell r="F228">
            <v>25.6</v>
          </cell>
          <cell r="G228">
            <v>23.525167159390978</v>
          </cell>
        </row>
        <row r="229">
          <cell r="E229">
            <v>30.8</v>
          </cell>
          <cell r="F229">
            <v>25.3</v>
          </cell>
          <cell r="G229">
            <v>22.773425031193796</v>
          </cell>
        </row>
        <row r="230">
          <cell r="E230">
            <v>29.5</v>
          </cell>
          <cell r="F230">
            <v>24.5</v>
          </cell>
          <cell r="G230">
            <v>22.107186961561457</v>
          </cell>
        </row>
        <row r="231">
          <cell r="E231">
            <v>28.6</v>
          </cell>
          <cell r="F231">
            <v>24.1</v>
          </cell>
          <cell r="G231">
            <v>21.90308947260036</v>
          </cell>
        </row>
        <row r="232">
          <cell r="E232">
            <v>28.3</v>
          </cell>
          <cell r="F232">
            <v>23.9</v>
          </cell>
          <cell r="G232">
            <v>21.729285010984476</v>
          </cell>
        </row>
        <row r="233">
          <cell r="E233">
            <v>27.5</v>
          </cell>
          <cell r="F233">
            <v>24</v>
          </cell>
          <cell r="G233">
            <v>22.280614582943233</v>
          </cell>
        </row>
        <row r="234">
          <cell r="E234">
            <v>26.8</v>
          </cell>
          <cell r="F234">
            <v>23.8</v>
          </cell>
          <cell r="G234">
            <v>22.305359709723426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26.8</v>
          </cell>
          <cell r="G246">
            <v>26.79998779296875</v>
          </cell>
        </row>
        <row r="247">
          <cell r="F247">
            <v>26.79998779296875</v>
          </cell>
          <cell r="G247">
            <v>26.79998779296875</v>
          </cell>
        </row>
        <row r="248">
          <cell r="F248">
            <v>26.79998779296875</v>
          </cell>
          <cell r="G248">
            <v>26.79998779296875</v>
          </cell>
        </row>
        <row r="249">
          <cell r="F249" t="str">
            <v>WXREV</v>
          </cell>
          <cell r="G249">
            <v>26.79998779296875</v>
          </cell>
        </row>
        <row r="250">
          <cell r="F250">
            <v>26.79998779296875</v>
          </cell>
          <cell r="G250">
            <v>26.79998779296875</v>
          </cell>
        </row>
        <row r="251">
          <cell r="F251">
            <v>26.79998779296875</v>
          </cell>
          <cell r="G251">
            <v>26.79998779296875</v>
          </cell>
        </row>
        <row r="252">
          <cell r="F252">
            <v>26.79998779296875</v>
          </cell>
          <cell r="G252">
            <v>26.79998779296875</v>
          </cell>
        </row>
        <row r="253">
          <cell r="F253">
            <v>26.79998779296875</v>
          </cell>
          <cell r="G253">
            <v>26.79998779296875</v>
          </cell>
        </row>
        <row r="254">
          <cell r="F254" t="str">
            <v>JANUARI</v>
          </cell>
          <cell r="G254">
            <v>26.79998779296875</v>
          </cell>
        </row>
        <row r="255">
          <cell r="F255">
            <v>26.79998779296875</v>
          </cell>
          <cell r="G255">
            <v>26.79998779296875</v>
          </cell>
        </row>
        <row r="256">
          <cell r="F256" t="str">
            <v>BB</v>
          </cell>
          <cell r="G256" t="str">
            <v>TTD</v>
          </cell>
        </row>
        <row r="257">
          <cell r="F257">
            <v>26.79998779296875</v>
          </cell>
          <cell r="G257">
            <v>26.79998779296875</v>
          </cell>
        </row>
        <row r="258">
          <cell r="E258">
            <v>25</v>
          </cell>
          <cell r="F258">
            <v>23.2</v>
          </cell>
          <cell r="G258">
            <v>22.248227889936057</v>
          </cell>
        </row>
        <row r="259">
          <cell r="E259">
            <v>27</v>
          </cell>
          <cell r="F259">
            <v>23.9</v>
          </cell>
          <cell r="G259">
            <v>22.364967773946255</v>
          </cell>
        </row>
        <row r="260">
          <cell r="E260">
            <v>28.9</v>
          </cell>
          <cell r="F260">
            <v>23.6</v>
          </cell>
          <cell r="G260">
            <v>20.932798496159396</v>
          </cell>
        </row>
        <row r="261">
          <cell r="E261">
            <v>29.6</v>
          </cell>
          <cell r="F261">
            <v>24</v>
          </cell>
          <cell r="G261">
            <v>21.237929123275833</v>
          </cell>
        </row>
        <row r="262">
          <cell r="E262">
            <v>30.9</v>
          </cell>
          <cell r="F262">
            <v>24.4</v>
          </cell>
          <cell r="G262">
            <v>21.243860731961245</v>
          </cell>
        </row>
        <row r="263">
          <cell r="E263">
            <v>31.9</v>
          </cell>
          <cell r="F263">
            <v>24.6</v>
          </cell>
          <cell r="G263">
            <v>21.071033465368004</v>
          </cell>
        </row>
        <row r="264">
          <cell r="E264">
            <v>32.1</v>
          </cell>
          <cell r="F264">
            <v>24.6</v>
          </cell>
          <cell r="G264">
            <v>20.967703097486954</v>
          </cell>
        </row>
        <row r="265">
          <cell r="E265">
            <v>31.2</v>
          </cell>
          <cell r="F265">
            <v>26.1</v>
          </cell>
          <cell r="G265">
            <v>23.857649708441681</v>
          </cell>
        </row>
        <row r="266">
          <cell r="E266">
            <v>31.2</v>
          </cell>
          <cell r="F266">
            <v>25.2</v>
          </cell>
          <cell r="G266">
            <v>22.421621048731168</v>
          </cell>
        </row>
        <row r="267">
          <cell r="E267">
            <v>30.8</v>
          </cell>
          <cell r="F267">
            <v>25.6</v>
          </cell>
          <cell r="G267">
            <v>23.251853221643302</v>
          </cell>
        </row>
        <row r="268">
          <cell r="E268">
            <v>29.2</v>
          </cell>
          <cell r="F268">
            <v>25.2</v>
          </cell>
          <cell r="G268">
            <v>23.356890846549941</v>
          </cell>
        </row>
        <row r="269">
          <cell r="E269">
            <v>27.4</v>
          </cell>
          <cell r="F269">
            <v>23.6</v>
          </cell>
          <cell r="G269">
            <v>21.695530782643495</v>
          </cell>
        </row>
        <row r="270">
          <cell r="E270">
            <v>26.2</v>
          </cell>
          <cell r="F270">
            <v>23.8</v>
          </cell>
          <cell r="G270">
            <v>22.592558509173742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26.2</v>
          </cell>
          <cell r="G282">
            <v>26.199996948242188</v>
          </cell>
        </row>
        <row r="283">
          <cell r="F283">
            <v>26.199996948242188</v>
          </cell>
          <cell r="G283">
            <v>26.199996948242188</v>
          </cell>
        </row>
        <row r="284">
          <cell r="F284">
            <v>26.199996948242188</v>
          </cell>
          <cell r="G284">
            <v>26.199996948242188</v>
          </cell>
        </row>
        <row r="285">
          <cell r="F285" t="str">
            <v>WXREV</v>
          </cell>
          <cell r="G285">
            <v>26.199996948242188</v>
          </cell>
        </row>
        <row r="286">
          <cell r="F286">
            <v>26.199996948242188</v>
          </cell>
          <cell r="G286">
            <v>26.199996948242188</v>
          </cell>
        </row>
        <row r="287">
          <cell r="F287">
            <v>26.199996948242188</v>
          </cell>
          <cell r="G287">
            <v>26.199996948242188</v>
          </cell>
        </row>
        <row r="288">
          <cell r="F288">
            <v>26.199996948242188</v>
          </cell>
          <cell r="G288">
            <v>26.199996948242188</v>
          </cell>
        </row>
        <row r="289">
          <cell r="F289">
            <v>26.199996948242188</v>
          </cell>
          <cell r="G289">
            <v>26.199996948242188</v>
          </cell>
        </row>
        <row r="290">
          <cell r="F290" t="str">
            <v>JANUARI</v>
          </cell>
          <cell r="G290">
            <v>26.199996948242188</v>
          </cell>
        </row>
        <row r="291">
          <cell r="F291">
            <v>26.199996948242188</v>
          </cell>
          <cell r="G291">
            <v>26.199996948242188</v>
          </cell>
        </row>
        <row r="292">
          <cell r="F292" t="str">
            <v>BB</v>
          </cell>
          <cell r="G292" t="str">
            <v>TTD</v>
          </cell>
        </row>
        <row r="293">
          <cell r="F293">
            <v>26.199996948242188</v>
          </cell>
          <cell r="G293">
            <v>26.199996948242188</v>
          </cell>
        </row>
        <row r="294">
          <cell r="E294">
            <v>25.2</v>
          </cell>
          <cell r="F294">
            <v>24.2</v>
          </cell>
          <cell r="G294">
            <v>23.655772475405435</v>
          </cell>
        </row>
        <row r="295">
          <cell r="E295">
            <v>27</v>
          </cell>
          <cell r="F295">
            <v>24.6</v>
          </cell>
          <cell r="G295">
            <v>23.439555090650348</v>
          </cell>
        </row>
        <row r="296">
          <cell r="E296">
            <v>27.8</v>
          </cell>
          <cell r="F296">
            <v>25.2</v>
          </cell>
          <cell r="G296">
            <v>23.985178287701391</v>
          </cell>
        </row>
        <row r="297">
          <cell r="E297">
            <v>28.2</v>
          </cell>
          <cell r="F297">
            <v>25.2</v>
          </cell>
          <cell r="G297">
            <v>23.807773416804665</v>
          </cell>
        </row>
        <row r="298">
          <cell r="E298">
            <v>26.4</v>
          </cell>
          <cell r="F298">
            <v>24.2</v>
          </cell>
          <cell r="G298">
            <v>23.109032442757304</v>
          </cell>
        </row>
        <row r="299">
          <cell r="E299">
            <v>28.2</v>
          </cell>
          <cell r="F299">
            <v>24.9</v>
          </cell>
          <cell r="G299">
            <v>23.350164439350358</v>
          </cell>
        </row>
        <row r="300">
          <cell r="E300">
            <v>28.8</v>
          </cell>
          <cell r="F300">
            <v>25.6</v>
          </cell>
          <cell r="G300">
            <v>24.148033521051371</v>
          </cell>
        </row>
        <row r="301">
          <cell r="E301">
            <v>27.5</v>
          </cell>
          <cell r="F301">
            <v>23.9</v>
          </cell>
          <cell r="G301">
            <v>22.123013428901654</v>
          </cell>
        </row>
        <row r="302">
          <cell r="E302">
            <v>24.6</v>
          </cell>
          <cell r="F302">
            <v>23.2</v>
          </cell>
          <cell r="G302">
            <v>22.440752283690482</v>
          </cell>
        </row>
        <row r="303">
          <cell r="E303">
            <v>25.5</v>
          </cell>
          <cell r="F303">
            <v>24</v>
          </cell>
          <cell r="G303">
            <v>23.222644384066268</v>
          </cell>
        </row>
        <row r="304">
          <cell r="E304">
            <v>25.8</v>
          </cell>
          <cell r="F304">
            <v>24.2</v>
          </cell>
          <cell r="G304">
            <v>23.384370540910407</v>
          </cell>
        </row>
        <row r="305">
          <cell r="E305">
            <v>25.7</v>
          </cell>
          <cell r="F305">
            <v>24.5</v>
          </cell>
          <cell r="G305">
            <v>23.874222865361531</v>
          </cell>
        </row>
        <row r="306">
          <cell r="E306">
            <v>25.2</v>
          </cell>
          <cell r="F306">
            <v>24.2</v>
          </cell>
          <cell r="G306">
            <v>23.655772475405435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24.6</v>
          </cell>
          <cell r="G318">
            <v>24.599990844726563</v>
          </cell>
        </row>
        <row r="319">
          <cell r="F319">
            <v>24.599990844726563</v>
          </cell>
          <cell r="G319">
            <v>24.599990844726563</v>
          </cell>
        </row>
        <row r="320">
          <cell r="F320">
            <v>24.599990844726563</v>
          </cell>
          <cell r="G320">
            <v>24.599990844726563</v>
          </cell>
        </row>
        <row r="321">
          <cell r="F321" t="str">
            <v>WXREV</v>
          </cell>
          <cell r="G321">
            <v>24.599990844726563</v>
          </cell>
        </row>
        <row r="322">
          <cell r="F322">
            <v>24.599990844726563</v>
          </cell>
          <cell r="G322">
            <v>24.599990844726563</v>
          </cell>
        </row>
        <row r="323">
          <cell r="F323">
            <v>24.599990844726563</v>
          </cell>
          <cell r="G323">
            <v>24.599990844726563</v>
          </cell>
        </row>
        <row r="324">
          <cell r="F324">
            <v>24.599990844726563</v>
          </cell>
          <cell r="G324">
            <v>24.599990844726563</v>
          </cell>
        </row>
        <row r="325">
          <cell r="F325">
            <v>24.599990844726563</v>
          </cell>
          <cell r="G325">
            <v>24.599990844726563</v>
          </cell>
        </row>
        <row r="326">
          <cell r="F326" t="str">
            <v>JANUARI</v>
          </cell>
          <cell r="G326">
            <v>24.599990844726563</v>
          </cell>
        </row>
        <row r="327">
          <cell r="F327">
            <v>24.599990844726563</v>
          </cell>
          <cell r="G327">
            <v>24.599990844726563</v>
          </cell>
        </row>
        <row r="328">
          <cell r="F328" t="str">
            <v>BB</v>
          </cell>
          <cell r="G328" t="str">
            <v>TTD</v>
          </cell>
        </row>
        <row r="329">
          <cell r="F329">
            <v>24.599990844726563</v>
          </cell>
          <cell r="G329">
            <v>24.599990844726563</v>
          </cell>
        </row>
        <row r="330">
          <cell r="E330">
            <v>23.3</v>
          </cell>
          <cell r="F330">
            <v>22.8</v>
          </cell>
          <cell r="G330">
            <v>22.461810497075199</v>
          </cell>
        </row>
        <row r="331">
          <cell r="E331">
            <v>24.2</v>
          </cell>
          <cell r="F331">
            <v>23.2</v>
          </cell>
          <cell r="G331">
            <v>22.631329178936141</v>
          </cell>
        </row>
        <row r="332">
          <cell r="E332">
            <v>25.8</v>
          </cell>
          <cell r="F332">
            <v>24.1</v>
          </cell>
          <cell r="G332">
            <v>23.234654421351522</v>
          </cell>
        </row>
        <row r="333">
          <cell r="E333">
            <v>27.9</v>
          </cell>
          <cell r="F333">
            <v>24.7</v>
          </cell>
          <cell r="G333">
            <v>23.180375201803859</v>
          </cell>
        </row>
        <row r="334">
          <cell r="E334">
            <v>28.9</v>
          </cell>
          <cell r="F334">
            <v>24.4</v>
          </cell>
          <cell r="G334">
            <v>22.23790416583001</v>
          </cell>
        </row>
        <row r="335">
          <cell r="E335">
            <v>29.6</v>
          </cell>
          <cell r="F335">
            <v>24.8</v>
          </cell>
          <cell r="G335">
            <v>22.540866348822316</v>
          </cell>
        </row>
        <row r="336">
          <cell r="E336">
            <v>30.6</v>
          </cell>
          <cell r="F336">
            <v>25.5</v>
          </cell>
          <cell r="G336">
            <v>23.18544147210784</v>
          </cell>
        </row>
        <row r="337">
          <cell r="E337">
            <v>31</v>
          </cell>
          <cell r="F337">
            <v>25</v>
          </cell>
          <cell r="G337">
            <v>22.191206158280181</v>
          </cell>
        </row>
        <row r="338">
          <cell r="E338">
            <v>26</v>
          </cell>
          <cell r="F338">
            <v>24.6</v>
          </cell>
          <cell r="G338">
            <v>23.88848726151063</v>
          </cell>
        </row>
        <row r="339">
          <cell r="E339">
            <v>24.6</v>
          </cell>
          <cell r="F339">
            <v>23.6</v>
          </cell>
          <cell r="G339">
            <v>23.041286800704647</v>
          </cell>
        </row>
        <row r="340">
          <cell r="E340">
            <v>25.8</v>
          </cell>
          <cell r="F340">
            <v>24.8</v>
          </cell>
          <cell r="G340">
            <v>24.269737574447021</v>
          </cell>
        </row>
        <row r="341">
          <cell r="E341">
            <v>25.8</v>
          </cell>
          <cell r="F341">
            <v>24.8</v>
          </cell>
          <cell r="G341">
            <v>24.269737574447021</v>
          </cell>
        </row>
        <row r="342">
          <cell r="E342">
            <v>26</v>
          </cell>
          <cell r="F342">
            <v>25</v>
          </cell>
          <cell r="G342">
            <v>24.474280736128826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24.6</v>
          </cell>
          <cell r="G354">
            <v>24.599990844726563</v>
          </cell>
        </row>
        <row r="355">
          <cell r="F355">
            <v>24.599990844726563</v>
          </cell>
          <cell r="G355">
            <v>24.599990844726563</v>
          </cell>
        </row>
        <row r="356">
          <cell r="F356">
            <v>24.599990844726563</v>
          </cell>
          <cell r="G356">
            <v>24.599990844726563</v>
          </cell>
        </row>
        <row r="357">
          <cell r="F357" t="str">
            <v>WXREV</v>
          </cell>
          <cell r="G357">
            <v>24.599990844726563</v>
          </cell>
        </row>
        <row r="358">
          <cell r="F358">
            <v>24.599990844726563</v>
          </cell>
          <cell r="G358">
            <v>24.599990844726563</v>
          </cell>
        </row>
        <row r="359">
          <cell r="F359">
            <v>24.599990844726563</v>
          </cell>
          <cell r="G359">
            <v>24.599990844726563</v>
          </cell>
        </row>
        <row r="360">
          <cell r="F360">
            <v>24.599990844726563</v>
          </cell>
          <cell r="G360">
            <v>24.599990844726563</v>
          </cell>
        </row>
        <row r="361">
          <cell r="F361">
            <v>24.599990844726563</v>
          </cell>
          <cell r="G361">
            <v>24.599990844726563</v>
          </cell>
        </row>
        <row r="362">
          <cell r="F362" t="str">
            <v>JANUARI</v>
          </cell>
          <cell r="G362">
            <v>24.599990844726563</v>
          </cell>
        </row>
        <row r="363">
          <cell r="F363">
            <v>24.599990844726563</v>
          </cell>
          <cell r="G363">
            <v>24.599990844726563</v>
          </cell>
        </row>
        <row r="364">
          <cell r="F364" t="str">
            <v>BB</v>
          </cell>
          <cell r="G364" t="str">
            <v>TTD</v>
          </cell>
        </row>
        <row r="365">
          <cell r="F365">
            <v>24.599990844726563</v>
          </cell>
          <cell r="G365">
            <v>24.599990844726563</v>
          </cell>
        </row>
        <row r="366">
          <cell r="E366">
            <v>25</v>
          </cell>
          <cell r="F366">
            <v>24</v>
          </cell>
          <cell r="G366">
            <v>23.451002870250118</v>
          </cell>
        </row>
        <row r="367">
          <cell r="E367">
            <v>26.7</v>
          </cell>
          <cell r="F367">
            <v>24.2</v>
          </cell>
          <cell r="G367">
            <v>22.969848511361342</v>
          </cell>
        </row>
        <row r="368">
          <cell r="E368">
            <v>28</v>
          </cell>
          <cell r="F368">
            <v>24.8</v>
          </cell>
          <cell r="G368">
            <v>23.28808865472617</v>
          </cell>
        </row>
        <row r="369">
          <cell r="E369">
            <v>29.2</v>
          </cell>
          <cell r="F369">
            <v>25.3</v>
          </cell>
          <cell r="G369">
            <v>23.511724268218156</v>
          </cell>
        </row>
        <row r="370">
          <cell r="E370">
            <v>29.6</v>
          </cell>
          <cell r="F370">
            <v>25.4</v>
          </cell>
          <cell r="G370">
            <v>23.485447924589423</v>
          </cell>
        </row>
        <row r="371">
          <cell r="E371">
            <v>30.3</v>
          </cell>
          <cell r="F371">
            <v>26.1</v>
          </cell>
          <cell r="G371">
            <v>24.253515668765594</v>
          </cell>
        </row>
        <row r="372">
          <cell r="E372">
            <v>30</v>
          </cell>
          <cell r="F372">
            <v>26</v>
          </cell>
          <cell r="G372">
            <v>24.231346865433</v>
          </cell>
        </row>
        <row r="373">
          <cell r="E373">
            <v>29.8</v>
          </cell>
          <cell r="F373">
            <v>25.2</v>
          </cell>
          <cell r="G373">
            <v>23.081131949841016</v>
          </cell>
        </row>
        <row r="374">
          <cell r="E374">
            <v>25.4</v>
          </cell>
          <cell r="F374">
            <v>24.6</v>
          </cell>
          <cell r="G374">
            <v>24.152855495117279</v>
          </cell>
        </row>
        <row r="375">
          <cell r="E375">
            <v>23.4</v>
          </cell>
          <cell r="F375">
            <v>23</v>
          </cell>
          <cell r="G375">
            <v>22.71161972509778</v>
          </cell>
        </row>
        <row r="376">
          <cell r="E376">
            <v>23.6</v>
          </cell>
          <cell r="F376">
            <v>23.4</v>
          </cell>
          <cell r="G376">
            <v>23.207812519635773</v>
          </cell>
        </row>
        <row r="377">
          <cell r="E377">
            <v>23.6</v>
          </cell>
          <cell r="F377">
            <v>23.4</v>
          </cell>
          <cell r="G377">
            <v>23.207812519635773</v>
          </cell>
        </row>
        <row r="378">
          <cell r="E378">
            <v>23.6</v>
          </cell>
          <cell r="F378">
            <v>23.4</v>
          </cell>
          <cell r="G378">
            <v>23.207812519635773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23.4</v>
          </cell>
          <cell r="G390">
            <v>23.399993896484375</v>
          </cell>
        </row>
        <row r="391">
          <cell r="F391">
            <v>23.399993896484375</v>
          </cell>
          <cell r="G391">
            <v>23.399993896484375</v>
          </cell>
        </row>
        <row r="392">
          <cell r="F392">
            <v>23.399993896484375</v>
          </cell>
          <cell r="G392">
            <v>23.399993896484375</v>
          </cell>
        </row>
        <row r="393">
          <cell r="F393" t="str">
            <v>WXREV</v>
          </cell>
          <cell r="G393">
            <v>23.399993896484375</v>
          </cell>
        </row>
        <row r="394">
          <cell r="F394">
            <v>23.399993896484375</v>
          </cell>
          <cell r="G394">
            <v>23.399993896484375</v>
          </cell>
        </row>
        <row r="395">
          <cell r="F395">
            <v>23.399993896484375</v>
          </cell>
          <cell r="G395">
            <v>23.399993896484375</v>
          </cell>
        </row>
        <row r="396">
          <cell r="F396">
            <v>23.399993896484375</v>
          </cell>
          <cell r="G396">
            <v>23.399993896484375</v>
          </cell>
        </row>
        <row r="397">
          <cell r="F397">
            <v>23.399993896484375</v>
          </cell>
          <cell r="G397">
            <v>23.399993896484375</v>
          </cell>
        </row>
        <row r="398">
          <cell r="F398" t="str">
            <v>JANUARI</v>
          </cell>
          <cell r="G398">
            <v>23.399993896484375</v>
          </cell>
        </row>
        <row r="399">
          <cell r="F399">
            <v>23.399993896484375</v>
          </cell>
          <cell r="G399">
            <v>23.399993896484375</v>
          </cell>
        </row>
        <row r="400">
          <cell r="F400" t="str">
            <v>BB</v>
          </cell>
          <cell r="G400" t="str">
            <v>TTD</v>
          </cell>
        </row>
        <row r="401">
          <cell r="F401">
            <v>23.399993896484375</v>
          </cell>
          <cell r="G401">
            <v>23.399993896484375</v>
          </cell>
        </row>
        <row r="402">
          <cell r="E402">
            <v>24</v>
          </cell>
          <cell r="F402">
            <v>23</v>
          </cell>
          <cell r="G402">
            <v>22.426257580226199</v>
          </cell>
        </row>
        <row r="403">
          <cell r="E403">
            <v>24.6</v>
          </cell>
          <cell r="F403">
            <v>23.2</v>
          </cell>
          <cell r="G403">
            <v>22.440752283690482</v>
          </cell>
        </row>
        <row r="404">
          <cell r="E404">
            <v>26.2</v>
          </cell>
          <cell r="F404">
            <v>24.2</v>
          </cell>
          <cell r="G404">
            <v>23.201256751926248</v>
          </cell>
        </row>
        <row r="405">
          <cell r="E405">
            <v>27.6</v>
          </cell>
          <cell r="F405">
            <v>24.6</v>
          </cell>
          <cell r="G405">
            <v>23.165015271595813</v>
          </cell>
        </row>
        <row r="406">
          <cell r="E406">
            <v>28.5</v>
          </cell>
          <cell r="F406">
            <v>25</v>
          </cell>
          <cell r="G406">
            <v>23.36704983931029</v>
          </cell>
        </row>
        <row r="407">
          <cell r="E407">
            <v>29.6</v>
          </cell>
          <cell r="F407">
            <v>25</v>
          </cell>
          <cell r="G407">
            <v>22.858668311959782</v>
          </cell>
        </row>
        <row r="408">
          <cell r="E408">
            <v>30.4</v>
          </cell>
          <cell r="F408">
            <v>25.2</v>
          </cell>
          <cell r="G408">
            <v>22.801298714331175</v>
          </cell>
        </row>
        <row r="409">
          <cell r="E409">
            <v>23.5</v>
          </cell>
          <cell r="F409">
            <v>23.4</v>
          </cell>
          <cell r="G409">
            <v>23.253738653530814</v>
          </cell>
        </row>
        <row r="410">
          <cell r="E410">
            <v>23.5</v>
          </cell>
          <cell r="F410">
            <v>23.4</v>
          </cell>
          <cell r="G410">
            <v>23.253738653530814</v>
          </cell>
        </row>
        <row r="411">
          <cell r="E411">
            <v>24.4</v>
          </cell>
          <cell r="F411">
            <v>24.3</v>
          </cell>
          <cell r="G411">
            <v>24.156000452673076</v>
          </cell>
        </row>
        <row r="412">
          <cell r="E412">
            <v>24.5</v>
          </cell>
          <cell r="F412">
            <v>24.3</v>
          </cell>
          <cell r="G412">
            <v>24.11220071358369</v>
          </cell>
        </row>
        <row r="413">
          <cell r="E413">
            <v>24.5</v>
          </cell>
          <cell r="F413">
            <v>24.3</v>
          </cell>
          <cell r="G413">
            <v>24.11220071358369</v>
          </cell>
        </row>
        <row r="414">
          <cell r="E414">
            <v>24.5</v>
          </cell>
          <cell r="F414">
            <v>24.3</v>
          </cell>
          <cell r="G414">
            <v>24.11220071358369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23.5</v>
          </cell>
          <cell r="G426">
            <v>23.5</v>
          </cell>
        </row>
        <row r="427">
          <cell r="F427">
            <v>23.5</v>
          </cell>
          <cell r="G427">
            <v>23.5</v>
          </cell>
        </row>
        <row r="428">
          <cell r="F428">
            <v>23.5</v>
          </cell>
          <cell r="G428">
            <v>23.5</v>
          </cell>
        </row>
        <row r="429">
          <cell r="F429" t="str">
            <v>WXREV</v>
          </cell>
          <cell r="G429">
            <v>23.5</v>
          </cell>
        </row>
        <row r="430">
          <cell r="F430">
            <v>23.5</v>
          </cell>
          <cell r="G430">
            <v>23.5</v>
          </cell>
        </row>
        <row r="431">
          <cell r="F431">
            <v>23.5</v>
          </cell>
          <cell r="G431">
            <v>23.5</v>
          </cell>
        </row>
        <row r="432">
          <cell r="F432">
            <v>23.5</v>
          </cell>
          <cell r="G432">
            <v>23.5</v>
          </cell>
        </row>
        <row r="433">
          <cell r="F433">
            <v>23.5</v>
          </cell>
          <cell r="G433">
            <v>23.5</v>
          </cell>
        </row>
        <row r="434">
          <cell r="F434" t="str">
            <v>JANUARI</v>
          </cell>
          <cell r="G434">
            <v>23.5</v>
          </cell>
        </row>
        <row r="435">
          <cell r="F435">
            <v>23.5</v>
          </cell>
          <cell r="G435">
            <v>23.5</v>
          </cell>
        </row>
        <row r="436">
          <cell r="F436" t="str">
            <v>BB</v>
          </cell>
          <cell r="G436" t="str">
            <v>TTD</v>
          </cell>
        </row>
        <row r="437">
          <cell r="F437">
            <v>23.5</v>
          </cell>
          <cell r="G437">
            <v>23.5</v>
          </cell>
        </row>
        <row r="438">
          <cell r="E438">
            <v>23.8</v>
          </cell>
          <cell r="F438">
            <v>23.4</v>
          </cell>
          <cell r="G438">
            <v>23.115625074420976</v>
          </cell>
        </row>
        <row r="439">
          <cell r="E439">
            <v>24.5</v>
          </cell>
          <cell r="F439">
            <v>23.7</v>
          </cell>
          <cell r="G439">
            <v>23.235791143172268</v>
          </cell>
        </row>
        <row r="440">
          <cell r="E440">
            <v>25.6</v>
          </cell>
          <cell r="F440">
            <v>23.4</v>
          </cell>
          <cell r="G440">
            <v>22.265061411393539</v>
          </cell>
        </row>
        <row r="441">
          <cell r="E441">
            <v>26.4</v>
          </cell>
          <cell r="F441">
            <v>24.3</v>
          </cell>
          <cell r="G441">
            <v>23.260286015261972</v>
          </cell>
        </row>
        <row r="442">
          <cell r="E442">
            <v>27.1</v>
          </cell>
          <cell r="F442">
            <v>24.5</v>
          </cell>
          <cell r="G442">
            <v>23.242228744545454</v>
          </cell>
        </row>
        <row r="443">
          <cell r="E443">
            <v>28.2</v>
          </cell>
          <cell r="F443">
            <v>24.8</v>
          </cell>
          <cell r="G443">
            <v>23.196283144013933</v>
          </cell>
        </row>
        <row r="444">
          <cell r="E444">
            <v>28.7</v>
          </cell>
          <cell r="F444">
            <v>23.9</v>
          </cell>
          <cell r="G444">
            <v>21.529275032990029</v>
          </cell>
        </row>
        <row r="445">
          <cell r="E445">
            <v>29.5</v>
          </cell>
          <cell r="F445">
            <v>25.2</v>
          </cell>
          <cell r="G445">
            <v>23.21951269876568</v>
          </cell>
        </row>
        <row r="446">
          <cell r="E446">
            <v>28.8</v>
          </cell>
          <cell r="F446">
            <v>25.3</v>
          </cell>
          <cell r="G446">
            <v>23.691896911833854</v>
          </cell>
        </row>
        <row r="447">
          <cell r="E447">
            <v>27.8</v>
          </cell>
          <cell r="F447">
            <v>25.2</v>
          </cell>
          <cell r="G447">
            <v>23.985178287701391</v>
          </cell>
        </row>
        <row r="448">
          <cell r="E448">
            <v>24.6</v>
          </cell>
          <cell r="F448">
            <v>22.8</v>
          </cell>
          <cell r="G448">
            <v>21.829495781399554</v>
          </cell>
        </row>
        <row r="449">
          <cell r="E449">
            <v>24</v>
          </cell>
          <cell r="F449">
            <v>22.6</v>
          </cell>
          <cell r="G449">
            <v>21.818982335509961</v>
          </cell>
        </row>
        <row r="450">
          <cell r="E450">
            <v>23.8</v>
          </cell>
          <cell r="F450">
            <v>22.6</v>
          </cell>
          <cell r="G450">
            <v>21.91771173877353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23.8</v>
          </cell>
          <cell r="G462">
            <v>23.79998779296875</v>
          </cell>
        </row>
        <row r="463">
          <cell r="F463">
            <v>23.79998779296875</v>
          </cell>
          <cell r="G463">
            <v>23.79998779296875</v>
          </cell>
        </row>
        <row r="464">
          <cell r="F464">
            <v>23.79998779296875</v>
          </cell>
          <cell r="G464">
            <v>23.79998779296875</v>
          </cell>
        </row>
        <row r="465">
          <cell r="F465" t="str">
            <v>WXREV</v>
          </cell>
          <cell r="G465">
            <v>23.79998779296875</v>
          </cell>
        </row>
        <row r="466">
          <cell r="F466">
            <v>23.79998779296875</v>
          </cell>
          <cell r="G466">
            <v>23.79998779296875</v>
          </cell>
        </row>
        <row r="467">
          <cell r="F467">
            <v>23.79998779296875</v>
          </cell>
          <cell r="G467">
            <v>23.79998779296875</v>
          </cell>
        </row>
        <row r="468">
          <cell r="F468">
            <v>23.79998779296875</v>
          </cell>
          <cell r="G468">
            <v>23.79998779296875</v>
          </cell>
        </row>
        <row r="469">
          <cell r="F469">
            <v>23.79998779296875</v>
          </cell>
          <cell r="G469">
            <v>23.79998779296875</v>
          </cell>
        </row>
        <row r="470">
          <cell r="F470" t="str">
            <v>JANUARI</v>
          </cell>
          <cell r="G470">
            <v>23.79998779296875</v>
          </cell>
        </row>
        <row r="471">
          <cell r="F471">
            <v>23.79998779296875</v>
          </cell>
          <cell r="G471">
            <v>23.79998779296875</v>
          </cell>
        </row>
        <row r="472">
          <cell r="F472" t="str">
            <v>BB</v>
          </cell>
          <cell r="G472" t="str">
            <v>TTD</v>
          </cell>
        </row>
        <row r="473">
          <cell r="F473">
            <v>23.79998779296875</v>
          </cell>
          <cell r="G473">
            <v>23.79998779296875</v>
          </cell>
        </row>
        <row r="474">
          <cell r="E474">
            <v>24</v>
          </cell>
          <cell r="F474">
            <v>23</v>
          </cell>
          <cell r="G474">
            <v>22.426257580226199</v>
          </cell>
        </row>
        <row r="475">
          <cell r="E475">
            <v>24.8</v>
          </cell>
          <cell r="F475">
            <v>23.4</v>
          </cell>
          <cell r="G475">
            <v>22.647828842860125</v>
          </cell>
        </row>
        <row r="476">
          <cell r="E476">
            <v>26.2</v>
          </cell>
          <cell r="F476">
            <v>24.4</v>
          </cell>
          <cell r="G476">
            <v>23.501662544126386</v>
          </cell>
        </row>
        <row r="477">
          <cell r="E477">
            <v>28.2</v>
          </cell>
          <cell r="F477">
            <v>24.2</v>
          </cell>
          <cell r="G477">
            <v>22.258119917094085</v>
          </cell>
        </row>
        <row r="478">
          <cell r="E478">
            <v>30.2</v>
          </cell>
          <cell r="F478">
            <v>25.2</v>
          </cell>
          <cell r="G478">
            <v>22.895037169362322</v>
          </cell>
        </row>
        <row r="479">
          <cell r="E479">
            <v>31.4</v>
          </cell>
          <cell r="F479">
            <v>24.2</v>
          </cell>
          <cell r="G479">
            <v>20.643070589712298</v>
          </cell>
        </row>
        <row r="480">
          <cell r="E480">
            <v>31.6</v>
          </cell>
          <cell r="F480">
            <v>24.8</v>
          </cell>
          <cell r="G480">
            <v>21.563145517128401</v>
          </cell>
        </row>
        <row r="481">
          <cell r="E481">
            <v>31.9</v>
          </cell>
          <cell r="F481">
            <v>26.7</v>
          </cell>
          <cell r="G481">
            <v>24.484049529388855</v>
          </cell>
        </row>
        <row r="482">
          <cell r="E482">
            <v>31.4</v>
          </cell>
          <cell r="F482">
            <v>26.2</v>
          </cell>
          <cell r="G482">
            <v>23.925167750037577</v>
          </cell>
        </row>
        <row r="483">
          <cell r="E483">
            <v>30.5</v>
          </cell>
          <cell r="F483">
            <v>25.9</v>
          </cell>
          <cell r="G483">
            <v>23.85743191577928</v>
          </cell>
        </row>
        <row r="484">
          <cell r="E484">
            <v>28.4</v>
          </cell>
          <cell r="F484">
            <v>23.6</v>
          </cell>
          <cell r="G484">
            <v>21.190521710331666</v>
          </cell>
        </row>
        <row r="485">
          <cell r="E485">
            <v>26.4</v>
          </cell>
          <cell r="F485">
            <v>22.6</v>
          </cell>
          <cell r="G485">
            <v>20.591660485396403</v>
          </cell>
        </row>
        <row r="486">
          <cell r="E486">
            <v>25.7</v>
          </cell>
          <cell r="F486">
            <v>22.5</v>
          </cell>
          <cell r="G486">
            <v>20.797235284811141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25.7</v>
          </cell>
          <cell r="G498">
            <v>25.699996948242188</v>
          </cell>
        </row>
        <row r="499">
          <cell r="F499">
            <v>25.699996948242188</v>
          </cell>
          <cell r="G499">
            <v>25.699996948242188</v>
          </cell>
        </row>
        <row r="500">
          <cell r="F500">
            <v>25.699996948242188</v>
          </cell>
          <cell r="G500">
            <v>25.699996948242188</v>
          </cell>
        </row>
        <row r="501">
          <cell r="F501" t="str">
            <v>WXREV</v>
          </cell>
          <cell r="G501">
            <v>25.699996948242188</v>
          </cell>
        </row>
        <row r="502">
          <cell r="F502">
            <v>25.699996948242188</v>
          </cell>
          <cell r="G502">
            <v>25.699996948242188</v>
          </cell>
        </row>
        <row r="503">
          <cell r="F503">
            <v>25.699996948242188</v>
          </cell>
          <cell r="G503">
            <v>25.699996948242188</v>
          </cell>
        </row>
        <row r="504">
          <cell r="F504">
            <v>25.699996948242188</v>
          </cell>
          <cell r="G504">
            <v>25.699996948242188</v>
          </cell>
        </row>
        <row r="505">
          <cell r="F505">
            <v>25.699996948242188</v>
          </cell>
          <cell r="G505">
            <v>25.699996948242188</v>
          </cell>
        </row>
        <row r="506">
          <cell r="F506" t="str">
            <v>JANUARI</v>
          </cell>
          <cell r="G506">
            <v>25.699996948242188</v>
          </cell>
        </row>
        <row r="507">
          <cell r="F507">
            <v>25.699996948242188</v>
          </cell>
          <cell r="G507">
            <v>25.699996948242188</v>
          </cell>
        </row>
        <row r="508">
          <cell r="F508" t="str">
            <v>BB</v>
          </cell>
          <cell r="G508" t="str">
            <v>TTD</v>
          </cell>
        </row>
        <row r="509">
          <cell r="F509">
            <v>25.699996948242188</v>
          </cell>
          <cell r="G509">
            <v>25.699996948242188</v>
          </cell>
        </row>
        <row r="510">
          <cell r="E510">
            <v>24.9</v>
          </cell>
          <cell r="F510">
            <v>23.6</v>
          </cell>
          <cell r="G510">
            <v>22.901607473693023</v>
          </cell>
        </row>
        <row r="511">
          <cell r="E511">
            <v>27.3</v>
          </cell>
          <cell r="F511">
            <v>24.2</v>
          </cell>
          <cell r="G511">
            <v>22.688369899451935</v>
          </cell>
        </row>
        <row r="512">
          <cell r="E512">
            <v>29.4</v>
          </cell>
          <cell r="F512">
            <v>25</v>
          </cell>
          <cell r="G512">
            <v>22.952122264170168</v>
          </cell>
        </row>
        <row r="513">
          <cell r="E513">
            <v>30.3</v>
          </cell>
          <cell r="F513">
            <v>25.3</v>
          </cell>
          <cell r="G513">
            <v>23.007249584663022</v>
          </cell>
        </row>
        <row r="514">
          <cell r="E514">
            <v>31</v>
          </cell>
          <cell r="F514">
            <v>25.1</v>
          </cell>
          <cell r="G514">
            <v>22.35463937621892</v>
          </cell>
        </row>
        <row r="515">
          <cell r="E515">
            <v>31.6</v>
          </cell>
          <cell r="F515">
            <v>25</v>
          </cell>
          <cell r="G515">
            <v>21.897743004464761</v>
          </cell>
        </row>
        <row r="516">
          <cell r="E516">
            <v>31.4</v>
          </cell>
          <cell r="F516">
            <v>25.1</v>
          </cell>
          <cell r="G516">
            <v>22.16120399906259</v>
          </cell>
        </row>
        <row r="517">
          <cell r="E517">
            <v>30</v>
          </cell>
          <cell r="F517">
            <v>25.2</v>
          </cell>
          <cell r="G517">
            <v>22.988313287442271</v>
          </cell>
        </row>
        <row r="518">
          <cell r="E518">
            <v>29.4</v>
          </cell>
          <cell r="F518">
            <v>25</v>
          </cell>
          <cell r="G518">
            <v>22.952122264170168</v>
          </cell>
        </row>
        <row r="519">
          <cell r="E519">
            <v>28.6</v>
          </cell>
          <cell r="F519">
            <v>25</v>
          </cell>
          <cell r="G519">
            <v>23.321392650725961</v>
          </cell>
        </row>
        <row r="520">
          <cell r="E520">
            <v>27</v>
          </cell>
          <cell r="F520">
            <v>24.6</v>
          </cell>
          <cell r="G520">
            <v>23.439555090650348</v>
          </cell>
        </row>
        <row r="521">
          <cell r="E521">
            <v>27</v>
          </cell>
          <cell r="F521">
            <v>24.6</v>
          </cell>
          <cell r="G521">
            <v>23.439555090650348</v>
          </cell>
        </row>
        <row r="522">
          <cell r="E522">
            <v>26.2</v>
          </cell>
          <cell r="F522">
            <v>24</v>
          </cell>
          <cell r="G522">
            <v>22.898249002326494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26.2</v>
          </cell>
          <cell r="G534">
            <v>26.199996948242188</v>
          </cell>
        </row>
        <row r="535">
          <cell r="F535">
            <v>26.199996948242188</v>
          </cell>
          <cell r="G535">
            <v>26.199996948242188</v>
          </cell>
        </row>
        <row r="536">
          <cell r="F536">
            <v>26.199996948242188</v>
          </cell>
          <cell r="G536">
            <v>26.199996948242188</v>
          </cell>
        </row>
        <row r="537">
          <cell r="F537" t="str">
            <v>WXREV</v>
          </cell>
          <cell r="G537">
            <v>26.199996948242188</v>
          </cell>
        </row>
        <row r="538">
          <cell r="F538">
            <v>26.199996948242188</v>
          </cell>
          <cell r="G538">
            <v>26.199996948242188</v>
          </cell>
        </row>
        <row r="539">
          <cell r="F539">
            <v>26.199996948242188</v>
          </cell>
          <cell r="G539">
            <v>26.199996948242188</v>
          </cell>
        </row>
        <row r="540">
          <cell r="F540">
            <v>26.199996948242188</v>
          </cell>
          <cell r="G540">
            <v>26.199996948242188</v>
          </cell>
        </row>
        <row r="541">
          <cell r="F541">
            <v>26.199996948242188</v>
          </cell>
          <cell r="G541">
            <v>26.199996948242188</v>
          </cell>
        </row>
        <row r="542">
          <cell r="F542" t="str">
            <v>JANUARI</v>
          </cell>
          <cell r="G542">
            <v>26.199996948242188</v>
          </cell>
        </row>
        <row r="543">
          <cell r="F543">
            <v>26.199996948242188</v>
          </cell>
          <cell r="G543">
            <v>26.199996948242188</v>
          </cell>
        </row>
        <row r="544">
          <cell r="F544" t="str">
            <v>BB</v>
          </cell>
          <cell r="G544" t="str">
            <v>TTD</v>
          </cell>
        </row>
        <row r="545">
          <cell r="F545">
            <v>26.199996948242188</v>
          </cell>
          <cell r="G545">
            <v>26.199996948242188</v>
          </cell>
        </row>
        <row r="546">
          <cell r="E546">
            <v>26.6</v>
          </cell>
          <cell r="F546">
            <v>24</v>
          </cell>
          <cell r="G546">
            <v>22.710351727825326</v>
          </cell>
        </row>
        <row r="547">
          <cell r="E547">
            <v>28.5</v>
          </cell>
          <cell r="F547">
            <v>24</v>
          </cell>
          <cell r="G547">
            <v>21.791326148024869</v>
          </cell>
        </row>
        <row r="548">
          <cell r="E548">
            <v>29.2</v>
          </cell>
          <cell r="F548">
            <v>24.1</v>
          </cell>
          <cell r="G548">
            <v>21.605064958105199</v>
          </cell>
        </row>
        <row r="549">
          <cell r="E549">
            <v>30</v>
          </cell>
          <cell r="F549">
            <v>24.3</v>
          </cell>
          <cell r="G549">
            <v>21.532732680700015</v>
          </cell>
        </row>
        <row r="550">
          <cell r="E550">
            <v>31</v>
          </cell>
          <cell r="F550">
            <v>24</v>
          </cell>
          <cell r="G550">
            <v>20.508989309109545</v>
          </cell>
        </row>
        <row r="551">
          <cell r="E551">
            <v>32</v>
          </cell>
          <cell r="F551">
            <v>24.8</v>
          </cell>
          <cell r="G551">
            <v>21.361330246224274</v>
          </cell>
        </row>
        <row r="552">
          <cell r="E552">
            <v>31.8</v>
          </cell>
          <cell r="F552">
            <v>25.4</v>
          </cell>
          <cell r="G552">
            <v>22.461217290434405</v>
          </cell>
        </row>
        <row r="553">
          <cell r="E553">
            <v>31</v>
          </cell>
          <cell r="F553">
            <v>25.6</v>
          </cell>
          <cell r="G553">
            <v>23.159866723625395</v>
          </cell>
        </row>
        <row r="554">
          <cell r="E554">
            <v>30</v>
          </cell>
          <cell r="F554">
            <v>25.4</v>
          </cell>
          <cell r="G554">
            <v>23.303296611588866</v>
          </cell>
        </row>
        <row r="555">
          <cell r="E555">
            <v>28.4</v>
          </cell>
          <cell r="F555">
            <v>25.2</v>
          </cell>
          <cell r="G555">
            <v>23.718447763009451</v>
          </cell>
        </row>
        <row r="556">
          <cell r="E556">
            <v>28.2</v>
          </cell>
          <cell r="F556">
            <v>25</v>
          </cell>
          <cell r="G556">
            <v>23.503366381695525</v>
          </cell>
        </row>
        <row r="557">
          <cell r="E557">
            <v>27.8</v>
          </cell>
          <cell r="F557">
            <v>25</v>
          </cell>
          <cell r="G557">
            <v>23.683614162726549</v>
          </cell>
        </row>
        <row r="558">
          <cell r="E558">
            <v>27.4</v>
          </cell>
          <cell r="F558">
            <v>24.8</v>
          </cell>
          <cell r="G558">
            <v>23.560870599375164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27.4</v>
          </cell>
          <cell r="G570">
            <v>27.399993896484375</v>
          </cell>
        </row>
        <row r="571">
          <cell r="F571">
            <v>27.399993896484375</v>
          </cell>
          <cell r="G571">
            <v>27.399993896484375</v>
          </cell>
        </row>
        <row r="572">
          <cell r="F572">
            <v>27.399993896484375</v>
          </cell>
          <cell r="G572">
            <v>27.399993896484375</v>
          </cell>
        </row>
        <row r="573">
          <cell r="F573" t="str">
            <v>WXREV</v>
          </cell>
          <cell r="G573">
            <v>27.399993896484375</v>
          </cell>
        </row>
        <row r="574">
          <cell r="F574">
            <v>27.399993896484375</v>
          </cell>
          <cell r="G574">
            <v>27.399993896484375</v>
          </cell>
        </row>
        <row r="575">
          <cell r="F575">
            <v>27.399993896484375</v>
          </cell>
          <cell r="G575">
            <v>27.399993896484375</v>
          </cell>
        </row>
        <row r="576">
          <cell r="F576">
            <v>27.399993896484375</v>
          </cell>
          <cell r="G576">
            <v>27.399993896484375</v>
          </cell>
        </row>
        <row r="577">
          <cell r="F577">
            <v>27.399993896484375</v>
          </cell>
          <cell r="G577">
            <v>27.399993896484375</v>
          </cell>
        </row>
        <row r="578">
          <cell r="F578" t="str">
            <v>JANUARI</v>
          </cell>
          <cell r="G578">
            <v>27.399993896484375</v>
          </cell>
        </row>
        <row r="579">
          <cell r="F579">
            <v>27.399993896484375</v>
          </cell>
          <cell r="G579">
            <v>27.399993896484375</v>
          </cell>
        </row>
        <row r="580">
          <cell r="F580" t="str">
            <v>BB</v>
          </cell>
          <cell r="G580" t="str">
            <v>TTD</v>
          </cell>
        </row>
        <row r="581">
          <cell r="F581">
            <v>27.399993896484375</v>
          </cell>
          <cell r="G581">
            <v>27.399993896484375</v>
          </cell>
        </row>
        <row r="582">
          <cell r="E582">
            <v>24.5</v>
          </cell>
          <cell r="F582">
            <v>23.6</v>
          </cell>
          <cell r="G582">
            <v>23.087618446210271</v>
          </cell>
        </row>
        <row r="583">
          <cell r="E583">
            <v>25.8</v>
          </cell>
          <cell r="F583">
            <v>24.2</v>
          </cell>
          <cell r="G583">
            <v>23.384370540910407</v>
          </cell>
        </row>
        <row r="584">
          <cell r="E584">
            <v>27.5</v>
          </cell>
          <cell r="F584">
            <v>24.8</v>
          </cell>
          <cell r="G584">
            <v>23.51567808679572</v>
          </cell>
        </row>
        <row r="585">
          <cell r="E585">
            <v>28.2</v>
          </cell>
          <cell r="F585">
            <v>24.6</v>
          </cell>
          <cell r="G585">
            <v>22.886439940964369</v>
          </cell>
        </row>
        <row r="586">
          <cell r="E586">
            <v>29.6</v>
          </cell>
          <cell r="F586">
            <v>25.4</v>
          </cell>
          <cell r="G586">
            <v>23.485447924589423</v>
          </cell>
        </row>
        <row r="587">
          <cell r="E587">
            <v>30</v>
          </cell>
          <cell r="F587">
            <v>25.8</v>
          </cell>
          <cell r="G587">
            <v>23.924726871474732</v>
          </cell>
        </row>
        <row r="588">
          <cell r="E588">
            <v>30.4</v>
          </cell>
          <cell r="F588">
            <v>25.3</v>
          </cell>
          <cell r="G588">
            <v>22.960715346435535</v>
          </cell>
        </row>
        <row r="589">
          <cell r="E589">
            <v>29.9</v>
          </cell>
          <cell r="F589">
            <v>25.3</v>
          </cell>
          <cell r="G589">
            <v>23.192251346547145</v>
          </cell>
        </row>
        <row r="590">
          <cell r="E590">
            <v>26.4</v>
          </cell>
          <cell r="F590">
            <v>23.7</v>
          </cell>
          <cell r="G590">
            <v>22.342651306421143</v>
          </cell>
        </row>
        <row r="591">
          <cell r="E591">
            <v>26</v>
          </cell>
          <cell r="F591">
            <v>23.2</v>
          </cell>
          <cell r="G591">
            <v>21.758108440057615</v>
          </cell>
        </row>
        <row r="592">
          <cell r="E592">
            <v>25.6</v>
          </cell>
          <cell r="F592">
            <v>22.9</v>
          </cell>
          <cell r="G592">
            <v>21.486176608450648</v>
          </cell>
        </row>
        <row r="593">
          <cell r="E593">
            <v>25.4</v>
          </cell>
          <cell r="F593">
            <v>22.6</v>
          </cell>
          <cell r="G593">
            <v>21.112895903137211</v>
          </cell>
        </row>
        <row r="594">
          <cell r="E594">
            <v>24.8</v>
          </cell>
          <cell r="F594">
            <v>22.8</v>
          </cell>
          <cell r="G594">
            <v>21.730298217970802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24.8</v>
          </cell>
          <cell r="G606">
            <v>24.79998779296875</v>
          </cell>
        </row>
        <row r="607">
          <cell r="F607">
            <v>24.79998779296875</v>
          </cell>
          <cell r="G607">
            <v>24.79998779296875</v>
          </cell>
        </row>
        <row r="608">
          <cell r="F608">
            <v>24.79998779296875</v>
          </cell>
          <cell r="G608">
            <v>24.79998779296875</v>
          </cell>
        </row>
        <row r="609">
          <cell r="F609" t="str">
            <v>WXREV</v>
          </cell>
          <cell r="G609">
            <v>24.79998779296875</v>
          </cell>
        </row>
        <row r="610">
          <cell r="F610">
            <v>24.79998779296875</v>
          </cell>
          <cell r="G610">
            <v>24.79998779296875</v>
          </cell>
        </row>
        <row r="611">
          <cell r="F611">
            <v>24.79998779296875</v>
          </cell>
          <cell r="G611">
            <v>24.79998779296875</v>
          </cell>
        </row>
        <row r="612">
          <cell r="F612">
            <v>24.79998779296875</v>
          </cell>
          <cell r="G612">
            <v>24.79998779296875</v>
          </cell>
        </row>
        <row r="613">
          <cell r="F613">
            <v>24.79998779296875</v>
          </cell>
          <cell r="G613">
            <v>24.79998779296875</v>
          </cell>
        </row>
        <row r="614">
          <cell r="F614" t="str">
            <v>JANUARI</v>
          </cell>
          <cell r="G614">
            <v>24.79998779296875</v>
          </cell>
        </row>
        <row r="615">
          <cell r="F615">
            <v>24.79998779296875</v>
          </cell>
          <cell r="G615">
            <v>24.79998779296875</v>
          </cell>
        </row>
        <row r="616">
          <cell r="F616" t="str">
            <v>BB</v>
          </cell>
          <cell r="G616" t="str">
            <v>TTD</v>
          </cell>
        </row>
        <row r="617">
          <cell r="F617">
            <v>24.79998779296875</v>
          </cell>
          <cell r="G617">
            <v>24.79998779296875</v>
          </cell>
        </row>
        <row r="618">
          <cell r="E618">
            <v>24.9</v>
          </cell>
          <cell r="F618">
            <v>23</v>
          </cell>
          <cell r="G618">
            <v>21.989938281850591</v>
          </cell>
        </row>
        <row r="619">
          <cell r="E619">
            <v>25.9</v>
          </cell>
          <cell r="F619">
            <v>24.2</v>
          </cell>
          <cell r="G619">
            <v>23.338757504110937</v>
          </cell>
        </row>
        <row r="620">
          <cell r="E620">
            <v>27.4</v>
          </cell>
          <cell r="F620">
            <v>24.8</v>
          </cell>
          <cell r="G620">
            <v>23.560870599375164</v>
          </cell>
        </row>
        <row r="621">
          <cell r="E621">
            <v>28.8</v>
          </cell>
          <cell r="F621">
            <v>24.8</v>
          </cell>
          <cell r="G621">
            <v>22.918167167153779</v>
          </cell>
        </row>
        <row r="622">
          <cell r="E622">
            <v>29.9</v>
          </cell>
          <cell r="F622">
            <v>25.8</v>
          </cell>
          <cell r="G622">
            <v>23.968963072351563</v>
          </cell>
        </row>
        <row r="623">
          <cell r="E623">
            <v>31</v>
          </cell>
          <cell r="F623">
            <v>25.7</v>
          </cell>
          <cell r="G623">
            <v>23.318613134823512</v>
          </cell>
        </row>
        <row r="624">
          <cell r="E624">
            <v>31.1</v>
          </cell>
          <cell r="F624">
            <v>26</v>
          </cell>
          <cell r="G624">
            <v>23.745816279224478</v>
          </cell>
        </row>
        <row r="625">
          <cell r="E625">
            <v>30.4</v>
          </cell>
          <cell r="F625">
            <v>23.8</v>
          </cell>
          <cell r="G625">
            <v>20.483117326690671</v>
          </cell>
        </row>
        <row r="626">
          <cell r="E626">
            <v>29.2</v>
          </cell>
          <cell r="F626">
            <v>25</v>
          </cell>
          <cell r="G626">
            <v>23.045116879889999</v>
          </cell>
        </row>
        <row r="627">
          <cell r="E627">
            <v>25.8</v>
          </cell>
          <cell r="F627">
            <v>23.4</v>
          </cell>
          <cell r="G627">
            <v>22.168141216801725</v>
          </cell>
        </row>
        <row r="628">
          <cell r="E628">
            <v>24.8</v>
          </cell>
          <cell r="F628">
            <v>23</v>
          </cell>
          <cell r="G628">
            <v>22.038921395720571</v>
          </cell>
        </row>
        <row r="629">
          <cell r="E629">
            <v>24.6</v>
          </cell>
          <cell r="F629">
            <v>22.6</v>
          </cell>
          <cell r="G629">
            <v>21.519633459087071</v>
          </cell>
        </row>
        <row r="630">
          <cell r="E630">
            <v>24</v>
          </cell>
          <cell r="F630">
            <v>22.4</v>
          </cell>
          <cell r="G630">
            <v>21.511181316989337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24</v>
          </cell>
          <cell r="G642">
            <v>24</v>
          </cell>
        </row>
        <row r="643">
          <cell r="F643">
            <v>24</v>
          </cell>
          <cell r="G643">
            <v>24</v>
          </cell>
        </row>
        <row r="644">
          <cell r="F644">
            <v>24</v>
          </cell>
          <cell r="G644">
            <v>24</v>
          </cell>
        </row>
        <row r="645">
          <cell r="F645" t="str">
            <v>WXREV</v>
          </cell>
          <cell r="G645">
            <v>24</v>
          </cell>
        </row>
        <row r="646">
          <cell r="F646">
            <v>24</v>
          </cell>
          <cell r="G646">
            <v>24</v>
          </cell>
        </row>
        <row r="647">
          <cell r="F647">
            <v>24</v>
          </cell>
          <cell r="G647">
            <v>24</v>
          </cell>
        </row>
        <row r="648">
          <cell r="F648">
            <v>24</v>
          </cell>
          <cell r="G648">
            <v>24</v>
          </cell>
        </row>
        <row r="649">
          <cell r="F649">
            <v>24</v>
          </cell>
          <cell r="G649">
            <v>24</v>
          </cell>
        </row>
        <row r="650">
          <cell r="F650" t="str">
            <v>JANUARI</v>
          </cell>
          <cell r="G650">
            <v>24</v>
          </cell>
        </row>
        <row r="651">
          <cell r="F651">
            <v>24</v>
          </cell>
          <cell r="G651">
            <v>24</v>
          </cell>
        </row>
        <row r="652">
          <cell r="F652" t="str">
            <v>BB</v>
          </cell>
          <cell r="G652" t="str">
            <v>TTD</v>
          </cell>
        </row>
        <row r="653">
          <cell r="F653">
            <v>24</v>
          </cell>
          <cell r="G653">
            <v>24</v>
          </cell>
        </row>
        <row r="654">
          <cell r="E654">
            <v>24</v>
          </cell>
          <cell r="F654">
            <v>23</v>
          </cell>
          <cell r="G654">
            <v>22.426257580226199</v>
          </cell>
        </row>
        <row r="655">
          <cell r="E655">
            <v>25.4</v>
          </cell>
          <cell r="F655">
            <v>23.6</v>
          </cell>
          <cell r="G655">
            <v>22.666490581585112</v>
          </cell>
        </row>
        <row r="656">
          <cell r="E656">
            <v>27.2</v>
          </cell>
          <cell r="F656">
            <v>24.2</v>
          </cell>
          <cell r="G656">
            <v>22.735575147904516</v>
          </cell>
        </row>
        <row r="657">
          <cell r="E657">
            <v>28.4</v>
          </cell>
          <cell r="F657">
            <v>24.6</v>
          </cell>
          <cell r="G657">
            <v>22.792662448856582</v>
          </cell>
        </row>
        <row r="658">
          <cell r="E658">
            <v>29.6</v>
          </cell>
          <cell r="F658">
            <v>25.4</v>
          </cell>
          <cell r="G658">
            <v>23.485447924589423</v>
          </cell>
        </row>
        <row r="659">
          <cell r="E659">
            <v>30.2</v>
          </cell>
          <cell r="F659">
            <v>25.2</v>
          </cell>
          <cell r="G659">
            <v>22.895037169362322</v>
          </cell>
        </row>
        <row r="660">
          <cell r="E660">
            <v>30</v>
          </cell>
          <cell r="F660">
            <v>26</v>
          </cell>
          <cell r="G660">
            <v>24.231346865433</v>
          </cell>
        </row>
        <row r="661">
          <cell r="E661">
            <v>29.7</v>
          </cell>
          <cell r="F661">
            <v>25.5</v>
          </cell>
          <cell r="G661">
            <v>23.595364975971581</v>
          </cell>
        </row>
        <row r="662">
          <cell r="E662">
            <v>25.4</v>
          </cell>
          <cell r="F662">
            <v>22.4</v>
          </cell>
          <cell r="G662">
            <v>20.793135845008763</v>
          </cell>
        </row>
        <row r="663">
          <cell r="E663">
            <v>25.9</v>
          </cell>
          <cell r="F663">
            <v>24</v>
          </cell>
          <cell r="G663">
            <v>23.037956678897412</v>
          </cell>
        </row>
        <row r="664">
          <cell r="E664">
            <v>25.6</v>
          </cell>
          <cell r="F664">
            <v>23.8</v>
          </cell>
          <cell r="G664">
            <v>22.875450234951316</v>
          </cell>
        </row>
        <row r="665">
          <cell r="E665">
            <v>24.8</v>
          </cell>
          <cell r="F665">
            <v>23.8</v>
          </cell>
          <cell r="G665">
            <v>23.246174595512937</v>
          </cell>
        </row>
        <row r="666">
          <cell r="E666">
            <v>24.5</v>
          </cell>
          <cell r="F666">
            <v>23.6</v>
          </cell>
          <cell r="G666">
            <v>23.087618446210271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24.5</v>
          </cell>
          <cell r="G678">
            <v>24.5</v>
          </cell>
        </row>
        <row r="679">
          <cell r="F679">
            <v>24.5</v>
          </cell>
          <cell r="G679">
            <v>24.5</v>
          </cell>
        </row>
        <row r="680">
          <cell r="F680">
            <v>24.5</v>
          </cell>
          <cell r="G680">
            <v>24.5</v>
          </cell>
        </row>
        <row r="681">
          <cell r="F681" t="str">
            <v>WXREV</v>
          </cell>
          <cell r="G681">
            <v>24.5</v>
          </cell>
        </row>
        <row r="682">
          <cell r="F682">
            <v>24.5</v>
          </cell>
          <cell r="G682">
            <v>24.5</v>
          </cell>
        </row>
        <row r="683">
          <cell r="F683">
            <v>24.5</v>
          </cell>
          <cell r="G683">
            <v>24.5</v>
          </cell>
        </row>
        <row r="684">
          <cell r="F684">
            <v>24.5</v>
          </cell>
          <cell r="G684">
            <v>24.5</v>
          </cell>
        </row>
        <row r="685">
          <cell r="F685">
            <v>24.5</v>
          </cell>
          <cell r="G685">
            <v>24.5</v>
          </cell>
        </row>
        <row r="686">
          <cell r="F686" t="str">
            <v>JANUARI</v>
          </cell>
          <cell r="G686">
            <v>24.5</v>
          </cell>
        </row>
        <row r="687">
          <cell r="F687">
            <v>24.5</v>
          </cell>
          <cell r="G687">
            <v>24.5</v>
          </cell>
        </row>
        <row r="688">
          <cell r="F688" t="str">
            <v>BB</v>
          </cell>
          <cell r="G688" t="str">
            <v>TTD</v>
          </cell>
        </row>
        <row r="689">
          <cell r="F689">
            <v>24.5</v>
          </cell>
          <cell r="G689">
            <v>24.5</v>
          </cell>
        </row>
        <row r="690">
          <cell r="E690">
            <v>24</v>
          </cell>
          <cell r="F690">
            <v>23.4</v>
          </cell>
          <cell r="G690">
            <v>23.022986804446777</v>
          </cell>
        </row>
        <row r="691">
          <cell r="E691">
            <v>24.7</v>
          </cell>
          <cell r="F691">
            <v>23.5</v>
          </cell>
          <cell r="G691">
            <v>22.845309657871482</v>
          </cell>
        </row>
        <row r="692">
          <cell r="E692">
            <v>25.8</v>
          </cell>
          <cell r="F692">
            <v>24.2</v>
          </cell>
          <cell r="G692">
            <v>23.384370540910407</v>
          </cell>
        </row>
        <row r="693">
          <cell r="E693">
            <v>27.1</v>
          </cell>
          <cell r="F693">
            <v>24.7</v>
          </cell>
          <cell r="G693">
            <v>23.545262944402548</v>
          </cell>
        </row>
        <row r="694">
          <cell r="E694">
            <v>27.9</v>
          </cell>
          <cell r="F694">
            <v>24.8</v>
          </cell>
          <cell r="G694">
            <v>23.333825326586801</v>
          </cell>
        </row>
        <row r="695">
          <cell r="E695">
            <v>28.6</v>
          </cell>
          <cell r="F695">
            <v>25</v>
          </cell>
          <cell r="G695">
            <v>23.321392650725961</v>
          </cell>
        </row>
        <row r="696">
          <cell r="E696">
            <v>28</v>
          </cell>
          <cell r="F696">
            <v>24.2</v>
          </cell>
          <cell r="G696">
            <v>22.354583733692817</v>
          </cell>
        </row>
        <row r="697">
          <cell r="E697">
            <v>26.9</v>
          </cell>
          <cell r="F697">
            <v>24.6</v>
          </cell>
          <cell r="G697">
            <v>23.4849281634764</v>
          </cell>
        </row>
        <row r="698">
          <cell r="E698">
            <v>25.7</v>
          </cell>
          <cell r="F698">
            <v>24.2</v>
          </cell>
          <cell r="G698">
            <v>23.42987425288819</v>
          </cell>
        </row>
        <row r="699">
          <cell r="E699">
            <v>25.1</v>
          </cell>
          <cell r="F699">
            <v>23.9</v>
          </cell>
          <cell r="G699">
            <v>23.257089217326385</v>
          </cell>
        </row>
        <row r="700">
          <cell r="E700">
            <v>24.6</v>
          </cell>
          <cell r="F700">
            <v>23.5</v>
          </cell>
          <cell r="G700">
            <v>22.892122789540583</v>
          </cell>
        </row>
        <row r="701">
          <cell r="E701">
            <v>23.6</v>
          </cell>
          <cell r="F701">
            <v>22.8</v>
          </cell>
          <cell r="G701">
            <v>22.317767571519479</v>
          </cell>
        </row>
        <row r="702">
          <cell r="E702">
            <v>22.3</v>
          </cell>
          <cell r="F702">
            <v>22</v>
          </cell>
          <cell r="G702">
            <v>21.750917737405739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22.3</v>
          </cell>
          <cell r="G714">
            <v>22.29998779296875</v>
          </cell>
        </row>
        <row r="715">
          <cell r="F715">
            <v>22.29998779296875</v>
          </cell>
          <cell r="G715">
            <v>22.29998779296875</v>
          </cell>
        </row>
        <row r="716">
          <cell r="F716">
            <v>22.29998779296875</v>
          </cell>
          <cell r="G716">
            <v>22.29998779296875</v>
          </cell>
        </row>
        <row r="717">
          <cell r="F717" t="str">
            <v>WXREV</v>
          </cell>
          <cell r="G717">
            <v>22.29998779296875</v>
          </cell>
        </row>
        <row r="718">
          <cell r="F718">
            <v>22.29998779296875</v>
          </cell>
          <cell r="G718">
            <v>22.29998779296875</v>
          </cell>
        </row>
        <row r="719">
          <cell r="F719">
            <v>22.29998779296875</v>
          </cell>
          <cell r="G719">
            <v>22.29998779296875</v>
          </cell>
        </row>
        <row r="720">
          <cell r="F720">
            <v>22.29998779296875</v>
          </cell>
          <cell r="G720">
            <v>22.29998779296875</v>
          </cell>
        </row>
        <row r="721">
          <cell r="F721">
            <v>22.29998779296875</v>
          </cell>
          <cell r="G721">
            <v>22.29998779296875</v>
          </cell>
        </row>
        <row r="722">
          <cell r="F722" t="str">
            <v>JANUARI</v>
          </cell>
          <cell r="G722">
            <v>22.29998779296875</v>
          </cell>
        </row>
        <row r="723">
          <cell r="F723">
            <v>22.29998779296875</v>
          </cell>
          <cell r="G723">
            <v>22.29998779296875</v>
          </cell>
        </row>
        <row r="724">
          <cell r="F724" t="str">
            <v>BB</v>
          </cell>
          <cell r="G724" t="str">
            <v>TTD</v>
          </cell>
        </row>
        <row r="725">
          <cell r="F725">
            <v>22.29998779296875</v>
          </cell>
          <cell r="G725">
            <v>22.29998779296875</v>
          </cell>
        </row>
        <row r="726">
          <cell r="E726">
            <v>23.7</v>
          </cell>
          <cell r="F726">
            <v>23.1</v>
          </cell>
          <cell r="G726">
            <v>22.718493760265002</v>
          </cell>
        </row>
        <row r="727">
          <cell r="E727">
            <v>25.6</v>
          </cell>
          <cell r="F727">
            <v>23.9</v>
          </cell>
          <cell r="G727">
            <v>23.026370764979553</v>
          </cell>
        </row>
        <row r="728">
          <cell r="E728">
            <v>27.3</v>
          </cell>
          <cell r="F728">
            <v>24.1</v>
          </cell>
          <cell r="G728">
            <v>22.533025414360566</v>
          </cell>
        </row>
        <row r="729">
          <cell r="E729">
            <v>28.5</v>
          </cell>
          <cell r="F729">
            <v>24.5</v>
          </cell>
          <cell r="G729">
            <v>22.588443376288346</v>
          </cell>
        </row>
        <row r="730">
          <cell r="E730">
            <v>29.2</v>
          </cell>
          <cell r="F730">
            <v>24.6</v>
          </cell>
          <cell r="G730">
            <v>22.412824160138996</v>
          </cell>
        </row>
        <row r="731">
          <cell r="E731">
            <v>29.8</v>
          </cell>
          <cell r="F731">
            <v>24.8</v>
          </cell>
          <cell r="G731">
            <v>22.445350590029136</v>
          </cell>
        </row>
        <row r="732">
          <cell r="E732">
            <v>29.9</v>
          </cell>
          <cell r="F732">
            <v>25.7</v>
          </cell>
          <cell r="G732">
            <v>23.815003930608807</v>
          </cell>
        </row>
        <row r="733">
          <cell r="E733">
            <v>30</v>
          </cell>
          <cell r="F733">
            <v>25</v>
          </cell>
          <cell r="G733">
            <v>22.670362668359488</v>
          </cell>
        </row>
        <row r="734">
          <cell r="E734">
            <v>28.6</v>
          </cell>
          <cell r="F734">
            <v>24.8</v>
          </cell>
          <cell r="G734">
            <v>23.011327145203094</v>
          </cell>
        </row>
        <row r="735">
          <cell r="E735">
            <v>27.8</v>
          </cell>
          <cell r="F735">
            <v>24.8</v>
          </cell>
          <cell r="G735">
            <v>23.379452040413032</v>
          </cell>
        </row>
        <row r="736">
          <cell r="E736">
            <v>27</v>
          </cell>
          <cell r="F736">
            <v>24.6</v>
          </cell>
          <cell r="G736">
            <v>23.439555090650348</v>
          </cell>
        </row>
        <row r="737">
          <cell r="E737">
            <v>26.6</v>
          </cell>
          <cell r="F737">
            <v>24.4</v>
          </cell>
          <cell r="G737">
            <v>23.319679814146195</v>
          </cell>
        </row>
        <row r="738">
          <cell r="E738">
            <v>25.8</v>
          </cell>
          <cell r="F738">
            <v>24</v>
          </cell>
          <cell r="G738">
            <v>23.084297681296647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25.8</v>
          </cell>
          <cell r="G750">
            <v>25.79998779296875</v>
          </cell>
        </row>
        <row r="751">
          <cell r="F751">
            <v>25.79998779296875</v>
          </cell>
          <cell r="G751">
            <v>25.79998779296875</v>
          </cell>
        </row>
        <row r="752">
          <cell r="F752">
            <v>25.79998779296875</v>
          </cell>
          <cell r="G752">
            <v>25.79998779296875</v>
          </cell>
        </row>
        <row r="753">
          <cell r="F753" t="str">
            <v>WXREV</v>
          </cell>
          <cell r="G753">
            <v>25.79998779296875</v>
          </cell>
        </row>
        <row r="754">
          <cell r="F754">
            <v>25.79998779296875</v>
          </cell>
          <cell r="G754">
            <v>25.79998779296875</v>
          </cell>
        </row>
        <row r="755">
          <cell r="F755">
            <v>25.79998779296875</v>
          </cell>
          <cell r="G755">
            <v>25.79998779296875</v>
          </cell>
        </row>
        <row r="756">
          <cell r="F756">
            <v>25.79998779296875</v>
          </cell>
          <cell r="G756">
            <v>25.79998779296875</v>
          </cell>
        </row>
        <row r="757">
          <cell r="F757">
            <v>25.79998779296875</v>
          </cell>
          <cell r="G757">
            <v>25.79998779296875</v>
          </cell>
        </row>
        <row r="758">
          <cell r="F758" t="str">
            <v>JANUARI</v>
          </cell>
          <cell r="G758">
            <v>25.79998779296875</v>
          </cell>
        </row>
        <row r="759">
          <cell r="F759">
            <v>25.79998779296875</v>
          </cell>
          <cell r="G759">
            <v>25.79998779296875</v>
          </cell>
        </row>
        <row r="760">
          <cell r="F760" t="str">
            <v>BB</v>
          </cell>
          <cell r="G760" t="str">
            <v>TTD</v>
          </cell>
        </row>
        <row r="761">
          <cell r="F761">
            <v>25.79998779296875</v>
          </cell>
          <cell r="G761">
            <v>25.79998779296875</v>
          </cell>
        </row>
        <row r="762">
          <cell r="E762">
            <v>24.8</v>
          </cell>
          <cell r="F762">
            <v>23.2</v>
          </cell>
          <cell r="G762">
            <v>22.344736198934232</v>
          </cell>
        </row>
        <row r="763">
          <cell r="E763">
            <v>26.2</v>
          </cell>
          <cell r="F763">
            <v>23.5</v>
          </cell>
          <cell r="G763">
            <v>22.128807201761973</v>
          </cell>
        </row>
        <row r="764">
          <cell r="E764">
            <v>28</v>
          </cell>
          <cell r="F764">
            <v>24</v>
          </cell>
          <cell r="G764">
            <v>22.037563837182521</v>
          </cell>
        </row>
        <row r="765">
          <cell r="E765">
            <v>29</v>
          </cell>
          <cell r="F765">
            <v>24.6</v>
          </cell>
          <cell r="G765">
            <v>22.508503251918363</v>
          </cell>
        </row>
        <row r="766">
          <cell r="E766">
            <v>29</v>
          </cell>
          <cell r="F766">
            <v>24.8</v>
          </cell>
          <cell r="G766">
            <v>22.824546080853771</v>
          </cell>
        </row>
        <row r="767">
          <cell r="E767">
            <v>29.8</v>
          </cell>
          <cell r="F767">
            <v>24.8</v>
          </cell>
          <cell r="G767">
            <v>22.445350590029136</v>
          </cell>
        </row>
        <row r="768">
          <cell r="E768">
            <v>29.6</v>
          </cell>
          <cell r="F768">
            <v>25.2</v>
          </cell>
          <cell r="G768">
            <v>23.173497959213115</v>
          </cell>
        </row>
        <row r="769">
          <cell r="E769">
            <v>29.4</v>
          </cell>
          <cell r="F769">
            <v>25</v>
          </cell>
          <cell r="G769">
            <v>22.952122264170168</v>
          </cell>
        </row>
        <row r="770">
          <cell r="E770">
            <v>28.6</v>
          </cell>
          <cell r="F770">
            <v>24.8</v>
          </cell>
          <cell r="G770">
            <v>23.011327145203094</v>
          </cell>
        </row>
        <row r="771">
          <cell r="E771">
            <v>28.2</v>
          </cell>
          <cell r="F771">
            <v>24.8</v>
          </cell>
          <cell r="G771">
            <v>23.196283144013933</v>
          </cell>
        </row>
        <row r="772">
          <cell r="E772">
            <v>27.8</v>
          </cell>
          <cell r="F772">
            <v>24.6</v>
          </cell>
          <cell r="G772">
            <v>23.072611503492613</v>
          </cell>
        </row>
        <row r="773">
          <cell r="E773">
            <v>27.2</v>
          </cell>
          <cell r="F773">
            <v>24.2</v>
          </cell>
          <cell r="G773">
            <v>22.735575147904516</v>
          </cell>
        </row>
        <row r="774">
          <cell r="E774">
            <v>26.4</v>
          </cell>
          <cell r="F774">
            <v>23.8</v>
          </cell>
          <cell r="G774">
            <v>22.497311086300893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26.4</v>
          </cell>
          <cell r="G786">
            <v>26.399993896484375</v>
          </cell>
        </row>
        <row r="787">
          <cell r="F787">
            <v>26.399993896484375</v>
          </cell>
          <cell r="G787">
            <v>26.399993896484375</v>
          </cell>
        </row>
        <row r="788">
          <cell r="F788">
            <v>26.399993896484375</v>
          </cell>
          <cell r="G788">
            <v>26.399993896484375</v>
          </cell>
        </row>
        <row r="789">
          <cell r="F789" t="str">
            <v>WXREV</v>
          </cell>
          <cell r="G789">
            <v>26.399993896484375</v>
          </cell>
        </row>
        <row r="790">
          <cell r="F790">
            <v>26.399993896484375</v>
          </cell>
          <cell r="G790">
            <v>26.399993896484375</v>
          </cell>
        </row>
        <row r="791">
          <cell r="F791">
            <v>26.399993896484375</v>
          </cell>
          <cell r="G791">
            <v>26.399993896484375</v>
          </cell>
        </row>
        <row r="792">
          <cell r="F792">
            <v>26.399993896484375</v>
          </cell>
          <cell r="G792">
            <v>26.399993896484375</v>
          </cell>
        </row>
        <row r="793">
          <cell r="F793">
            <v>26.399993896484375</v>
          </cell>
          <cell r="G793">
            <v>26.399993896484375</v>
          </cell>
        </row>
        <row r="794">
          <cell r="F794" t="str">
            <v>JANUARI</v>
          </cell>
          <cell r="G794">
            <v>26.399993896484375</v>
          </cell>
        </row>
        <row r="795">
          <cell r="F795">
            <v>26.399993896484375</v>
          </cell>
          <cell r="G795">
            <v>26.399993896484375</v>
          </cell>
        </row>
        <row r="796">
          <cell r="F796" t="str">
            <v>BB</v>
          </cell>
          <cell r="G796" t="str">
            <v>TTD</v>
          </cell>
        </row>
        <row r="797">
          <cell r="F797">
            <v>26.399993896484375</v>
          </cell>
          <cell r="G797">
            <v>26.399993896484375</v>
          </cell>
        </row>
        <row r="798">
          <cell r="E798">
            <v>24.2</v>
          </cell>
          <cell r="F798">
            <v>23.6</v>
          </cell>
          <cell r="G798">
            <v>23.225937351919136</v>
          </cell>
        </row>
        <row r="799">
          <cell r="E799">
            <v>25</v>
          </cell>
          <cell r="F799">
            <v>24.1</v>
          </cell>
          <cell r="G799">
            <v>23.598495867136165</v>
          </cell>
        </row>
        <row r="800">
          <cell r="E800">
            <v>25.5</v>
          </cell>
          <cell r="F800">
            <v>24.5</v>
          </cell>
          <cell r="G800">
            <v>23.962818704493536</v>
          </cell>
        </row>
        <row r="801">
          <cell r="E801">
            <v>26.6</v>
          </cell>
          <cell r="F801">
            <v>24.9</v>
          </cell>
          <cell r="G801">
            <v>24.066773325049194</v>
          </cell>
        </row>
        <row r="802">
          <cell r="E802">
            <v>27.8</v>
          </cell>
          <cell r="F802">
            <v>25</v>
          </cell>
          <cell r="G802">
            <v>23.683614162726549</v>
          </cell>
        </row>
        <row r="803">
          <cell r="E803">
            <v>28.6</v>
          </cell>
          <cell r="F803">
            <v>25.2</v>
          </cell>
          <cell r="G803">
            <v>23.628701010435609</v>
          </cell>
        </row>
        <row r="804">
          <cell r="E804">
            <v>28.8</v>
          </cell>
          <cell r="F804">
            <v>25.6</v>
          </cell>
          <cell r="G804">
            <v>24.148033521051371</v>
          </cell>
        </row>
        <row r="805">
          <cell r="E805">
            <v>29.5</v>
          </cell>
          <cell r="F805">
            <v>25.6</v>
          </cell>
          <cell r="G805">
            <v>23.839145063199307</v>
          </cell>
        </row>
        <row r="806">
          <cell r="E806">
            <v>29.4</v>
          </cell>
          <cell r="F806">
            <v>25.6</v>
          </cell>
          <cell r="G806">
            <v>23.883579415901753</v>
          </cell>
        </row>
        <row r="807">
          <cell r="E807">
            <v>29.4</v>
          </cell>
          <cell r="F807">
            <v>25.4</v>
          </cell>
          <cell r="G807">
            <v>23.575872804337322</v>
          </cell>
        </row>
        <row r="808">
          <cell r="E808">
            <v>27.8</v>
          </cell>
          <cell r="F808">
            <v>24.5</v>
          </cell>
          <cell r="G808">
            <v>22.918160749608798</v>
          </cell>
        </row>
        <row r="809">
          <cell r="E809">
            <v>27.3</v>
          </cell>
          <cell r="F809">
            <v>24.8</v>
          </cell>
          <cell r="G809">
            <v>23.605955947310239</v>
          </cell>
        </row>
        <row r="810">
          <cell r="E810">
            <v>26.3</v>
          </cell>
          <cell r="F810">
            <v>24.3</v>
          </cell>
          <cell r="G810">
            <v>23.306088145728847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26.3</v>
          </cell>
          <cell r="G822">
            <v>26.29998779296875</v>
          </cell>
        </row>
        <row r="823">
          <cell r="F823">
            <v>26.29998779296875</v>
          </cell>
          <cell r="G823">
            <v>26.29998779296875</v>
          </cell>
        </row>
        <row r="824">
          <cell r="F824">
            <v>26.29998779296875</v>
          </cell>
          <cell r="G824">
            <v>26.29998779296875</v>
          </cell>
        </row>
        <row r="825">
          <cell r="F825" t="str">
            <v>WXREV</v>
          </cell>
          <cell r="G825">
            <v>26.29998779296875</v>
          </cell>
        </row>
        <row r="826">
          <cell r="F826">
            <v>26.29998779296875</v>
          </cell>
          <cell r="G826">
            <v>26.29998779296875</v>
          </cell>
        </row>
        <row r="827">
          <cell r="F827">
            <v>26.29998779296875</v>
          </cell>
          <cell r="G827">
            <v>26.29998779296875</v>
          </cell>
        </row>
        <row r="828">
          <cell r="F828">
            <v>26.29998779296875</v>
          </cell>
          <cell r="G828">
            <v>26.29998779296875</v>
          </cell>
        </row>
        <row r="829">
          <cell r="F829">
            <v>26.29998779296875</v>
          </cell>
          <cell r="G829">
            <v>26.29998779296875</v>
          </cell>
        </row>
        <row r="830">
          <cell r="F830" t="str">
            <v>JANUARI</v>
          </cell>
          <cell r="G830">
            <v>26.29998779296875</v>
          </cell>
        </row>
        <row r="831">
          <cell r="F831">
            <v>26.29998779296875</v>
          </cell>
          <cell r="G831">
            <v>26.29998779296875</v>
          </cell>
        </row>
        <row r="832">
          <cell r="F832" t="str">
            <v>BB</v>
          </cell>
          <cell r="G832" t="str">
            <v>TTD</v>
          </cell>
        </row>
        <row r="833">
          <cell r="F833">
            <v>26.29998779296875</v>
          </cell>
          <cell r="G833">
            <v>26.29998779296875</v>
          </cell>
        </row>
        <row r="834">
          <cell r="E834">
            <v>25.5</v>
          </cell>
          <cell r="F834">
            <v>23.9</v>
          </cell>
          <cell r="G834">
            <v>23.072739791753886</v>
          </cell>
        </row>
        <row r="835">
          <cell r="E835">
            <v>26.9</v>
          </cell>
          <cell r="F835">
            <v>24.8</v>
          </cell>
          <cell r="G835">
            <v>23.785236541264084</v>
          </cell>
        </row>
        <row r="836">
          <cell r="E836">
            <v>28.2</v>
          </cell>
          <cell r="F836">
            <v>24.1</v>
          </cell>
          <cell r="G836">
            <v>22.09917349386928</v>
          </cell>
        </row>
        <row r="837">
          <cell r="E837">
            <v>29.4</v>
          </cell>
          <cell r="F837">
            <v>24.5</v>
          </cell>
          <cell r="G837">
            <v>22.155870252918731</v>
          </cell>
        </row>
        <row r="838">
          <cell r="E838">
            <v>30.3</v>
          </cell>
          <cell r="F838">
            <v>24.5</v>
          </cell>
          <cell r="G838">
            <v>21.713107831372216</v>
          </cell>
        </row>
        <row r="839">
          <cell r="E839">
            <v>30.7</v>
          </cell>
          <cell r="F839">
            <v>24.5</v>
          </cell>
          <cell r="G839">
            <v>21.512916539250263</v>
          </cell>
        </row>
        <row r="840">
          <cell r="E840">
            <v>31</v>
          </cell>
          <cell r="F840">
            <v>25.4</v>
          </cell>
          <cell r="G840">
            <v>22.840111988888175</v>
          </cell>
        </row>
        <row r="841">
          <cell r="E841">
            <v>31.2</v>
          </cell>
          <cell r="F841">
            <v>25.4</v>
          </cell>
          <cell r="G841">
            <v>22.746098808962643</v>
          </cell>
        </row>
        <row r="842">
          <cell r="E842">
            <v>30.2</v>
          </cell>
          <cell r="F842">
            <v>25.2</v>
          </cell>
          <cell r="G842">
            <v>22.895037169362322</v>
          </cell>
        </row>
        <row r="843">
          <cell r="E843">
            <v>30</v>
          </cell>
          <cell r="F843">
            <v>25.2</v>
          </cell>
          <cell r="G843">
            <v>22.988313287442271</v>
          </cell>
        </row>
        <row r="844">
          <cell r="E844">
            <v>28.6</v>
          </cell>
          <cell r="F844">
            <v>25</v>
          </cell>
          <cell r="G844">
            <v>23.321392650725961</v>
          </cell>
        </row>
        <row r="845">
          <cell r="E845">
            <v>27.8</v>
          </cell>
          <cell r="F845">
            <v>24.6</v>
          </cell>
          <cell r="G845">
            <v>23.072611503492613</v>
          </cell>
        </row>
        <row r="846">
          <cell r="E846">
            <v>26.4</v>
          </cell>
          <cell r="F846">
            <v>24.2</v>
          </cell>
          <cell r="G846">
            <v>23.109032442757304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26.4</v>
          </cell>
          <cell r="G858">
            <v>26.399993896484375</v>
          </cell>
        </row>
        <row r="859">
          <cell r="F859">
            <v>26.399993896484375</v>
          </cell>
          <cell r="G859">
            <v>26.399993896484375</v>
          </cell>
        </row>
        <row r="860">
          <cell r="F860">
            <v>26.399993896484375</v>
          </cell>
          <cell r="G860">
            <v>26.399993896484375</v>
          </cell>
        </row>
        <row r="861">
          <cell r="F861" t="str">
            <v>WXREV</v>
          </cell>
          <cell r="G861">
            <v>26.399993896484375</v>
          </cell>
        </row>
        <row r="862">
          <cell r="F862">
            <v>26.399993896484375</v>
          </cell>
          <cell r="G862">
            <v>26.399993896484375</v>
          </cell>
        </row>
        <row r="863">
          <cell r="F863">
            <v>26.399993896484375</v>
          </cell>
          <cell r="G863">
            <v>26.399993896484375</v>
          </cell>
        </row>
        <row r="864">
          <cell r="F864">
            <v>26.399993896484375</v>
          </cell>
          <cell r="G864">
            <v>26.399993896484375</v>
          </cell>
        </row>
        <row r="865">
          <cell r="F865">
            <v>26.399993896484375</v>
          </cell>
          <cell r="G865">
            <v>26.399993896484375</v>
          </cell>
        </row>
        <row r="866">
          <cell r="F866" t="str">
            <v>JANUARI</v>
          </cell>
          <cell r="G866">
            <v>26.399993896484375</v>
          </cell>
        </row>
        <row r="867">
          <cell r="F867">
            <v>26.399993896484375</v>
          </cell>
          <cell r="G867">
            <v>26.399993896484375</v>
          </cell>
        </row>
        <row r="868">
          <cell r="F868" t="str">
            <v>BB</v>
          </cell>
          <cell r="G868" t="str">
            <v>TTD</v>
          </cell>
        </row>
        <row r="869">
          <cell r="F869">
            <v>26.399993896484375</v>
          </cell>
          <cell r="G869">
            <v>26.399993896484375</v>
          </cell>
        </row>
        <row r="870">
          <cell r="E870">
            <v>26.4</v>
          </cell>
          <cell r="F870">
            <v>23.8</v>
          </cell>
          <cell r="G870">
            <v>22.497311086300893</v>
          </cell>
        </row>
        <row r="871">
          <cell r="E871">
            <v>27.7</v>
          </cell>
          <cell r="F871">
            <v>24.2</v>
          </cell>
          <cell r="G871">
            <v>22.498359192841523</v>
          </cell>
        </row>
        <row r="872">
          <cell r="E872">
            <v>29.6</v>
          </cell>
          <cell r="F872">
            <v>24.6</v>
          </cell>
          <cell r="G872">
            <v>22.219995210731696</v>
          </cell>
        </row>
        <row r="873">
          <cell r="E873">
            <v>30.6</v>
          </cell>
          <cell r="F873">
            <v>24.9</v>
          </cell>
          <cell r="G873">
            <v>22.221757861918281</v>
          </cell>
        </row>
        <row r="874">
          <cell r="E874">
            <v>31.2</v>
          </cell>
          <cell r="F874">
            <v>24.8</v>
          </cell>
          <cell r="G874">
            <v>21.762806904664341</v>
          </cell>
        </row>
        <row r="875">
          <cell r="E875">
            <v>31.6</v>
          </cell>
          <cell r="F875">
            <v>24.9</v>
          </cell>
          <cell r="G875">
            <v>21.730884792792612</v>
          </cell>
        </row>
        <row r="876">
          <cell r="E876">
            <v>31.9</v>
          </cell>
          <cell r="F876">
            <v>24.7</v>
          </cell>
          <cell r="G876">
            <v>21.241978043382993</v>
          </cell>
        </row>
        <row r="877">
          <cell r="E877">
            <v>32.1</v>
          </cell>
          <cell r="F877">
            <v>26</v>
          </cell>
          <cell r="G877">
            <v>23.293419238797458</v>
          </cell>
        </row>
        <row r="878">
          <cell r="E878">
            <v>30.7</v>
          </cell>
          <cell r="F878">
            <v>25.4</v>
          </cell>
          <cell r="G878">
            <v>22.980260969641254</v>
          </cell>
        </row>
        <row r="879">
          <cell r="E879">
            <v>30.1</v>
          </cell>
          <cell r="F879">
            <v>26</v>
          </cell>
          <cell r="G879">
            <v>24.187714475081204</v>
          </cell>
        </row>
        <row r="880">
          <cell r="E880">
            <v>29</v>
          </cell>
          <cell r="F880">
            <v>25.6</v>
          </cell>
          <cell r="G880">
            <v>24.060288665251548</v>
          </cell>
        </row>
        <row r="881">
          <cell r="E881">
            <v>25.8</v>
          </cell>
          <cell r="F881">
            <v>23.3</v>
          </cell>
          <cell r="G881">
            <v>22.013014015184659</v>
          </cell>
        </row>
        <row r="882">
          <cell r="E882">
            <v>25.4</v>
          </cell>
          <cell r="F882">
            <v>23.2</v>
          </cell>
          <cell r="G882">
            <v>22.053712651913379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25.4</v>
          </cell>
          <cell r="G894">
            <v>25.399993896484375</v>
          </cell>
        </row>
        <row r="895">
          <cell r="F895">
            <v>25.399993896484375</v>
          </cell>
          <cell r="G895">
            <v>25.399993896484375</v>
          </cell>
        </row>
        <row r="896">
          <cell r="F896">
            <v>25.399993896484375</v>
          </cell>
          <cell r="G896">
            <v>25.399993896484375</v>
          </cell>
        </row>
        <row r="897">
          <cell r="F897" t="str">
            <v>WXREV</v>
          </cell>
          <cell r="G897">
            <v>25.399993896484375</v>
          </cell>
        </row>
        <row r="898">
          <cell r="F898">
            <v>25.399993896484375</v>
          </cell>
          <cell r="G898">
            <v>25.399993896484375</v>
          </cell>
        </row>
        <row r="899">
          <cell r="F899">
            <v>25.399993896484375</v>
          </cell>
          <cell r="G899">
            <v>25.399993896484375</v>
          </cell>
        </row>
        <row r="900">
          <cell r="F900">
            <v>25.399993896484375</v>
          </cell>
          <cell r="G900">
            <v>25.399993896484375</v>
          </cell>
        </row>
        <row r="901">
          <cell r="F901">
            <v>25.399993896484375</v>
          </cell>
          <cell r="G901">
            <v>25.399993896484375</v>
          </cell>
        </row>
        <row r="902">
          <cell r="F902" t="str">
            <v>JANUARI</v>
          </cell>
          <cell r="G902">
            <v>25.399993896484375</v>
          </cell>
        </row>
        <row r="903">
          <cell r="F903">
            <v>25.399993896484375</v>
          </cell>
          <cell r="G903">
            <v>25.399993896484375</v>
          </cell>
        </row>
        <row r="904">
          <cell r="F904" t="str">
            <v>BB</v>
          </cell>
          <cell r="G904" t="str">
            <v>TTD</v>
          </cell>
        </row>
        <row r="905">
          <cell r="F905">
            <v>25.399993896484375</v>
          </cell>
          <cell r="G905">
            <v>25.399993896484375</v>
          </cell>
        </row>
        <row r="906">
          <cell r="E906">
            <v>25.1</v>
          </cell>
          <cell r="F906">
            <v>23.7</v>
          </cell>
          <cell r="G906">
            <v>22.958279350460575</v>
          </cell>
        </row>
        <row r="907">
          <cell r="E907">
            <v>26.8</v>
          </cell>
          <cell r="F907">
            <v>24.7</v>
          </cell>
          <cell r="G907">
            <v>23.680309123146266</v>
          </cell>
        </row>
        <row r="908">
          <cell r="E908">
            <v>28.8</v>
          </cell>
          <cell r="F908">
            <v>25</v>
          </cell>
          <cell r="G908">
            <v>23.229747355809128</v>
          </cell>
        </row>
        <row r="909">
          <cell r="E909">
            <v>30</v>
          </cell>
          <cell r="F909">
            <v>25.8</v>
          </cell>
          <cell r="G909">
            <v>23.924726871474732</v>
          </cell>
        </row>
        <row r="910">
          <cell r="E910">
            <v>30.6</v>
          </cell>
          <cell r="F910">
            <v>25.8</v>
          </cell>
          <cell r="G910">
            <v>23.657131550071426</v>
          </cell>
        </row>
        <row r="911">
          <cell r="E911">
            <v>31.2</v>
          </cell>
          <cell r="F911">
            <v>26.2</v>
          </cell>
          <cell r="G911">
            <v>24.013538250316298</v>
          </cell>
        </row>
        <row r="912">
          <cell r="E912">
            <v>31.6</v>
          </cell>
          <cell r="F912">
            <v>26.4</v>
          </cell>
          <cell r="G912">
            <v>24.148956660996692</v>
          </cell>
        </row>
        <row r="913">
          <cell r="E913">
            <v>29.8</v>
          </cell>
          <cell r="F913">
            <v>26.3</v>
          </cell>
          <cell r="G913">
            <v>24.771319719127266</v>
          </cell>
        </row>
        <row r="914">
          <cell r="E914">
            <v>27</v>
          </cell>
          <cell r="F914">
            <v>25.8</v>
          </cell>
          <cell r="G914">
            <v>25.20925852351645</v>
          </cell>
        </row>
        <row r="915">
          <cell r="E915">
            <v>27.1</v>
          </cell>
          <cell r="F915">
            <v>25.9</v>
          </cell>
          <cell r="G915">
            <v>25.311840807303817</v>
          </cell>
        </row>
        <row r="916">
          <cell r="E916">
            <v>24.2</v>
          </cell>
          <cell r="F916">
            <v>23.6</v>
          </cell>
          <cell r="G916">
            <v>23.225937351919136</v>
          </cell>
        </row>
        <row r="917">
          <cell r="E917">
            <v>23.2</v>
          </cell>
          <cell r="F917">
            <v>23</v>
          </cell>
          <cell r="G917">
            <v>22.805789529148537</v>
          </cell>
        </row>
        <row r="918">
          <cell r="E918">
            <v>23.6</v>
          </cell>
          <cell r="F918">
            <v>23.3</v>
          </cell>
          <cell r="G918">
            <v>23.061028547349643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23.2</v>
          </cell>
          <cell r="G930">
            <v>23.199996948242188</v>
          </cell>
        </row>
        <row r="931">
          <cell r="F931">
            <v>23.199996948242188</v>
          </cell>
          <cell r="G931">
            <v>23.199996948242188</v>
          </cell>
        </row>
        <row r="932">
          <cell r="F932">
            <v>23.199996948242188</v>
          </cell>
          <cell r="G932">
            <v>23.199996948242188</v>
          </cell>
        </row>
        <row r="933">
          <cell r="F933" t="str">
            <v>WXREV</v>
          </cell>
          <cell r="G933">
            <v>23.199996948242188</v>
          </cell>
        </row>
        <row r="934">
          <cell r="F934">
            <v>23.199996948242188</v>
          </cell>
          <cell r="G934">
            <v>23.199996948242188</v>
          </cell>
        </row>
        <row r="935">
          <cell r="F935">
            <v>23.199996948242188</v>
          </cell>
          <cell r="G935">
            <v>23.199996948242188</v>
          </cell>
        </row>
        <row r="936">
          <cell r="F936">
            <v>23.199996948242188</v>
          </cell>
          <cell r="G936">
            <v>23.199996948242188</v>
          </cell>
        </row>
        <row r="937">
          <cell r="F937">
            <v>23.199996948242188</v>
          </cell>
          <cell r="G937">
            <v>23.199996948242188</v>
          </cell>
        </row>
        <row r="938">
          <cell r="F938" t="str">
            <v>JANUARI</v>
          </cell>
          <cell r="G938">
            <v>23.199996948242188</v>
          </cell>
        </row>
        <row r="939">
          <cell r="F939">
            <v>23.199996948242188</v>
          </cell>
          <cell r="G939">
            <v>23.199996948242188</v>
          </cell>
        </row>
        <row r="940">
          <cell r="F940" t="str">
            <v>BB</v>
          </cell>
          <cell r="G940" t="str">
            <v>TTD</v>
          </cell>
        </row>
        <row r="941">
          <cell r="F941">
            <v>23.199996948242188</v>
          </cell>
          <cell r="G941">
            <v>23.199996948242188</v>
          </cell>
        </row>
        <row r="942">
          <cell r="E942">
            <v>25</v>
          </cell>
          <cell r="F942">
            <v>23.9</v>
          </cell>
          <cell r="G942">
            <v>23.302897837111615</v>
          </cell>
        </row>
        <row r="943">
          <cell r="E943">
            <v>26.1</v>
          </cell>
          <cell r="F943">
            <v>24.5</v>
          </cell>
          <cell r="G943">
            <v>23.695785818957198</v>
          </cell>
        </row>
        <row r="944">
          <cell r="E944">
            <v>27.7</v>
          </cell>
          <cell r="F944">
            <v>24.7</v>
          </cell>
          <cell r="G944">
            <v>23.272256959776332</v>
          </cell>
        </row>
        <row r="945">
          <cell r="E945">
            <v>29.3</v>
          </cell>
          <cell r="F945">
            <v>25.3</v>
          </cell>
          <cell r="G945">
            <v>23.466413061032977</v>
          </cell>
        </row>
        <row r="946">
          <cell r="E946">
            <v>30.4</v>
          </cell>
          <cell r="F946">
            <v>25.4</v>
          </cell>
          <cell r="G946">
            <v>23.119379698708254</v>
          </cell>
        </row>
        <row r="947">
          <cell r="E947">
            <v>30.6</v>
          </cell>
          <cell r="F947">
            <v>25.3</v>
          </cell>
          <cell r="G947">
            <v>22.86730209001103</v>
          </cell>
        </row>
        <row r="948">
          <cell r="E948">
            <v>30.6</v>
          </cell>
          <cell r="F948">
            <v>25.8</v>
          </cell>
          <cell r="G948">
            <v>23.657131550071426</v>
          </cell>
        </row>
        <row r="949">
          <cell r="E949">
            <v>29.4</v>
          </cell>
          <cell r="F949">
            <v>25.6</v>
          </cell>
          <cell r="G949">
            <v>23.883579415901753</v>
          </cell>
        </row>
        <row r="950">
          <cell r="E950">
            <v>28</v>
          </cell>
          <cell r="F950">
            <v>25.6</v>
          </cell>
          <cell r="G950">
            <v>24.495040198018586</v>
          </cell>
        </row>
        <row r="951">
          <cell r="E951">
            <v>27.4</v>
          </cell>
          <cell r="F951">
            <v>25.6</v>
          </cell>
          <cell r="G951">
            <v>24.751230598214192</v>
          </cell>
        </row>
        <row r="952">
          <cell r="E952">
            <v>27</v>
          </cell>
          <cell r="F952">
            <v>25.4</v>
          </cell>
          <cell r="G952">
            <v>24.62878511289367</v>
          </cell>
        </row>
        <row r="953">
          <cell r="E953">
            <v>26.4</v>
          </cell>
          <cell r="F953">
            <v>25.4</v>
          </cell>
          <cell r="G953">
            <v>24.883203978925096</v>
          </cell>
        </row>
        <row r="954">
          <cell r="E954">
            <v>24.6</v>
          </cell>
          <cell r="F954">
            <v>23.4</v>
          </cell>
          <cell r="G954">
            <v>22.742318927283165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24.6</v>
          </cell>
          <cell r="G966">
            <v>24.599990844726563</v>
          </cell>
        </row>
        <row r="967">
          <cell r="F967">
            <v>24.599990844726563</v>
          </cell>
          <cell r="G967">
            <v>24.599990844726563</v>
          </cell>
        </row>
        <row r="968">
          <cell r="F968">
            <v>24.599990844726563</v>
          </cell>
          <cell r="G968">
            <v>24.599990844726563</v>
          </cell>
        </row>
        <row r="969">
          <cell r="F969" t="str">
            <v>WXREV</v>
          </cell>
          <cell r="G969">
            <v>24.599990844726563</v>
          </cell>
        </row>
        <row r="970">
          <cell r="F970">
            <v>24.599990844726563</v>
          </cell>
          <cell r="G970">
            <v>24.599990844726563</v>
          </cell>
        </row>
        <row r="971">
          <cell r="F971">
            <v>24.599990844726563</v>
          </cell>
          <cell r="G971">
            <v>24.599990844726563</v>
          </cell>
        </row>
        <row r="972">
          <cell r="F972">
            <v>24.599990844726563</v>
          </cell>
          <cell r="G972">
            <v>24.599990844726563</v>
          </cell>
        </row>
        <row r="973">
          <cell r="F973">
            <v>24.599990844726563</v>
          </cell>
          <cell r="G973">
            <v>24.599990844726563</v>
          </cell>
        </row>
        <row r="974">
          <cell r="F974" t="str">
            <v>JANUARI</v>
          </cell>
          <cell r="G974">
            <v>24.599990844726563</v>
          </cell>
        </row>
        <row r="975">
          <cell r="F975">
            <v>24.599990844726563</v>
          </cell>
          <cell r="G975">
            <v>24.599990844726563</v>
          </cell>
        </row>
        <row r="976">
          <cell r="F976" t="str">
            <v>BB</v>
          </cell>
          <cell r="G976" t="str">
            <v>TTD</v>
          </cell>
        </row>
        <row r="977">
          <cell r="F977">
            <v>24.599990844726563</v>
          </cell>
          <cell r="G977">
            <v>24.599990844726563</v>
          </cell>
        </row>
        <row r="978">
          <cell r="E978">
            <v>25</v>
          </cell>
          <cell r="F978">
            <v>23.8</v>
          </cell>
          <cell r="G978">
            <v>23.154171566343187</v>
          </cell>
        </row>
        <row r="979">
          <cell r="E979">
            <v>26</v>
          </cell>
          <cell r="F979">
            <v>24.2</v>
          </cell>
          <cell r="G979">
            <v>23.293034575471221</v>
          </cell>
        </row>
        <row r="980">
          <cell r="E980">
            <v>26.6</v>
          </cell>
          <cell r="F980">
            <v>24.6</v>
          </cell>
          <cell r="G980">
            <v>23.620401055617794</v>
          </cell>
        </row>
        <row r="981">
          <cell r="E981">
            <v>28.4</v>
          </cell>
          <cell r="F981">
            <v>25.1</v>
          </cell>
          <cell r="G981">
            <v>23.565856961624398</v>
          </cell>
        </row>
        <row r="982">
          <cell r="E982">
            <v>29.1</v>
          </cell>
          <cell r="F982">
            <v>25.7</v>
          </cell>
          <cell r="G982">
            <v>24.168058861776881</v>
          </cell>
        </row>
        <row r="983">
          <cell r="E983">
            <v>30.2</v>
          </cell>
          <cell r="F983">
            <v>26</v>
          </cell>
          <cell r="G983">
            <v>24.14398223668147</v>
          </cell>
        </row>
        <row r="984">
          <cell r="E984">
            <v>30.2</v>
          </cell>
          <cell r="F984">
            <v>25.2</v>
          </cell>
          <cell r="G984">
            <v>22.895037169362322</v>
          </cell>
        </row>
        <row r="985">
          <cell r="E985">
            <v>29.6</v>
          </cell>
          <cell r="F985">
            <v>25.2</v>
          </cell>
          <cell r="G985">
            <v>23.173497959213115</v>
          </cell>
        </row>
        <row r="986">
          <cell r="E986">
            <v>28.6</v>
          </cell>
          <cell r="F986">
            <v>25</v>
          </cell>
          <cell r="G986">
            <v>23.321392650725961</v>
          </cell>
        </row>
        <row r="987">
          <cell r="E987">
            <v>27.6</v>
          </cell>
          <cell r="F987">
            <v>24.8</v>
          </cell>
          <cell r="G987">
            <v>23.470377859669266</v>
          </cell>
        </row>
        <row r="988">
          <cell r="E988">
            <v>26.4</v>
          </cell>
          <cell r="F988">
            <v>24.6</v>
          </cell>
          <cell r="G988">
            <v>23.710183186275557</v>
          </cell>
        </row>
        <row r="989">
          <cell r="E989">
            <v>26.4</v>
          </cell>
          <cell r="F989">
            <v>24.6</v>
          </cell>
          <cell r="G989">
            <v>23.710183186275557</v>
          </cell>
        </row>
        <row r="990">
          <cell r="E990">
            <v>26</v>
          </cell>
          <cell r="F990">
            <v>24</v>
          </cell>
          <cell r="G990">
            <v>22.991501967304046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26</v>
          </cell>
          <cell r="G1002">
            <v>26</v>
          </cell>
        </row>
        <row r="1003">
          <cell r="F1003">
            <v>26</v>
          </cell>
          <cell r="G1003">
            <v>26</v>
          </cell>
        </row>
        <row r="1004">
          <cell r="F1004">
            <v>26</v>
          </cell>
          <cell r="G1004">
            <v>26</v>
          </cell>
        </row>
        <row r="1005">
          <cell r="F1005" t="str">
            <v>WXREV</v>
          </cell>
          <cell r="G1005">
            <v>26</v>
          </cell>
        </row>
        <row r="1006">
          <cell r="F1006">
            <v>26</v>
          </cell>
          <cell r="G1006">
            <v>26</v>
          </cell>
        </row>
        <row r="1007">
          <cell r="F1007">
            <v>26</v>
          </cell>
          <cell r="G1007">
            <v>26</v>
          </cell>
        </row>
        <row r="1008">
          <cell r="F1008">
            <v>26</v>
          </cell>
          <cell r="G1008">
            <v>26</v>
          </cell>
        </row>
        <row r="1009">
          <cell r="F1009">
            <v>26</v>
          </cell>
          <cell r="G1009">
            <v>26</v>
          </cell>
        </row>
        <row r="1010">
          <cell r="F1010" t="str">
            <v>JANUARI</v>
          </cell>
          <cell r="G1010">
            <v>26</v>
          </cell>
        </row>
        <row r="1011">
          <cell r="F1011">
            <v>26</v>
          </cell>
          <cell r="G1011">
            <v>26</v>
          </cell>
        </row>
        <row r="1012">
          <cell r="F1012" t="str">
            <v>BB</v>
          </cell>
          <cell r="G1012" t="str">
            <v>TTD</v>
          </cell>
        </row>
        <row r="1013">
          <cell r="F1013">
            <v>26</v>
          </cell>
          <cell r="G1013">
            <v>26</v>
          </cell>
        </row>
        <row r="1014">
          <cell r="E1014">
            <v>24.3</v>
          </cell>
          <cell r="F1014">
            <v>23.1</v>
          </cell>
          <cell r="G1014">
            <v>22.433234562287311</v>
          </cell>
        </row>
        <row r="1015">
          <cell r="E1015">
            <v>25.4</v>
          </cell>
          <cell r="F1015">
            <v>23.8</v>
          </cell>
          <cell r="G1015">
            <v>22.968814165589823</v>
          </cell>
        </row>
        <row r="1016">
          <cell r="E1016">
            <v>26.7</v>
          </cell>
          <cell r="F1016">
            <v>24.1</v>
          </cell>
          <cell r="G1016">
            <v>22.816809305961961</v>
          </cell>
        </row>
        <row r="1017">
          <cell r="E1017">
            <v>28.9</v>
          </cell>
          <cell r="F1017">
            <v>24.1</v>
          </cell>
          <cell r="G1017">
            <v>21.75466975720472</v>
          </cell>
        </row>
        <row r="1018">
          <cell r="E1018">
            <v>30.3</v>
          </cell>
          <cell r="F1018">
            <v>25</v>
          </cell>
          <cell r="G1018">
            <v>22.527890548735694</v>
          </cell>
        </row>
        <row r="1019">
          <cell r="E1019">
            <v>31.1</v>
          </cell>
          <cell r="F1019">
            <v>25.5</v>
          </cell>
          <cell r="G1019">
            <v>22.953818578487795</v>
          </cell>
        </row>
        <row r="1020">
          <cell r="E1020">
            <v>31.6</v>
          </cell>
          <cell r="F1020">
            <v>25.9</v>
          </cell>
          <cell r="G1020">
            <v>23.362154904731423</v>
          </cell>
        </row>
        <row r="1021">
          <cell r="E1021">
            <v>31.2</v>
          </cell>
          <cell r="F1021">
            <v>26.2</v>
          </cell>
          <cell r="G1021">
            <v>24.013538250316298</v>
          </cell>
        </row>
        <row r="1022">
          <cell r="E1022">
            <v>30.4</v>
          </cell>
          <cell r="F1022">
            <v>25.5</v>
          </cell>
          <cell r="G1022">
            <v>23.277303667603046</v>
          </cell>
        </row>
        <row r="1023">
          <cell r="E1023">
            <v>29</v>
          </cell>
          <cell r="F1023">
            <v>25.2</v>
          </cell>
          <cell r="G1023">
            <v>23.447926951785295</v>
          </cell>
        </row>
        <row r="1024">
          <cell r="E1024">
            <v>28.3</v>
          </cell>
          <cell r="F1024">
            <v>24.8</v>
          </cell>
          <cell r="G1024">
            <v>23.15021314722178</v>
          </cell>
        </row>
        <row r="1025">
          <cell r="E1025">
            <v>27.8</v>
          </cell>
          <cell r="F1025">
            <v>24.6</v>
          </cell>
          <cell r="G1025">
            <v>23.072611503492613</v>
          </cell>
        </row>
        <row r="1026">
          <cell r="E1026">
            <v>27.3</v>
          </cell>
          <cell r="F1026">
            <v>24.8</v>
          </cell>
          <cell r="G1026">
            <v>23.605955947310239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27.3</v>
          </cell>
          <cell r="G1038">
            <v>27.29998779296875</v>
          </cell>
        </row>
        <row r="1039">
          <cell r="F1039">
            <v>27.29998779296875</v>
          </cell>
          <cell r="G1039">
            <v>27.29998779296875</v>
          </cell>
        </row>
        <row r="1040">
          <cell r="F1040">
            <v>27.29998779296875</v>
          </cell>
          <cell r="G1040">
            <v>27.29998779296875</v>
          </cell>
        </row>
        <row r="1041">
          <cell r="F1041" t="str">
            <v>WXREV</v>
          </cell>
          <cell r="G1041">
            <v>27.29998779296875</v>
          </cell>
        </row>
        <row r="1042">
          <cell r="F1042">
            <v>27.29998779296875</v>
          </cell>
          <cell r="G1042">
            <v>27.29998779296875</v>
          </cell>
        </row>
        <row r="1043">
          <cell r="F1043">
            <v>27.29998779296875</v>
          </cell>
          <cell r="G1043">
            <v>27.29998779296875</v>
          </cell>
        </row>
        <row r="1044">
          <cell r="F1044">
            <v>27.29998779296875</v>
          </cell>
          <cell r="G1044">
            <v>27.29998779296875</v>
          </cell>
        </row>
        <row r="1045">
          <cell r="F1045">
            <v>27.29998779296875</v>
          </cell>
          <cell r="G1045">
            <v>27.29998779296875</v>
          </cell>
        </row>
        <row r="1046">
          <cell r="F1046" t="str">
            <v>JANUARI</v>
          </cell>
          <cell r="G1046">
            <v>27.29998779296875</v>
          </cell>
        </row>
        <row r="1047">
          <cell r="F1047">
            <v>27.29998779296875</v>
          </cell>
          <cell r="G1047">
            <v>27.29998779296875</v>
          </cell>
        </row>
        <row r="1048">
          <cell r="F1048" t="str">
            <v>BB</v>
          </cell>
          <cell r="G1048" t="str">
            <v>TTD</v>
          </cell>
        </row>
        <row r="1049">
          <cell r="F1049">
            <v>27.29998779296875</v>
          </cell>
          <cell r="G1049">
            <v>27.29998779296875</v>
          </cell>
        </row>
        <row r="1050">
          <cell r="E1050">
            <v>25.4</v>
          </cell>
          <cell r="F1050">
            <v>23.9</v>
          </cell>
          <cell r="G1050">
            <v>23.118995558898437</v>
          </cell>
        </row>
        <row r="1051">
          <cell r="E1051">
            <v>26.7</v>
          </cell>
          <cell r="F1051">
            <v>24.5</v>
          </cell>
          <cell r="G1051">
            <v>23.424953110002289</v>
          </cell>
        </row>
        <row r="1052">
          <cell r="E1052">
            <v>28.2</v>
          </cell>
          <cell r="F1052">
            <v>24.8</v>
          </cell>
          <cell r="G1052">
            <v>23.196283144013933</v>
          </cell>
        </row>
        <row r="1053">
          <cell r="E1053">
            <v>29.5</v>
          </cell>
          <cell r="F1053">
            <v>25</v>
          </cell>
          <cell r="G1053">
            <v>22.905453010257961</v>
          </cell>
        </row>
        <row r="1054">
          <cell r="E1054">
            <v>30.3</v>
          </cell>
          <cell r="F1054">
            <v>25.7</v>
          </cell>
          <cell r="G1054">
            <v>23.635993633454174</v>
          </cell>
        </row>
        <row r="1055">
          <cell r="E1055">
            <v>30.5</v>
          </cell>
          <cell r="F1055">
            <v>25.2</v>
          </cell>
          <cell r="G1055">
            <v>22.754254563137529</v>
          </cell>
        </row>
        <row r="1056">
          <cell r="E1056">
            <v>31.2</v>
          </cell>
          <cell r="F1056">
            <v>26.1</v>
          </cell>
          <cell r="G1056">
            <v>23.857649708441681</v>
          </cell>
        </row>
        <row r="1057">
          <cell r="E1057">
            <v>30.8</v>
          </cell>
          <cell r="F1057">
            <v>25.6</v>
          </cell>
          <cell r="G1057">
            <v>23.251853221643302</v>
          </cell>
        </row>
        <row r="1058">
          <cell r="E1058">
            <v>30.2</v>
          </cell>
          <cell r="F1058">
            <v>25</v>
          </cell>
          <cell r="G1058">
            <v>22.575500907686056</v>
          </cell>
        </row>
        <row r="1059">
          <cell r="E1059">
            <v>29.4</v>
          </cell>
          <cell r="F1059">
            <v>25</v>
          </cell>
          <cell r="G1059">
            <v>22.952122264170168</v>
          </cell>
        </row>
        <row r="1060">
          <cell r="E1060">
            <v>28.8</v>
          </cell>
          <cell r="F1060">
            <v>25</v>
          </cell>
          <cell r="G1060">
            <v>23.229747355809128</v>
          </cell>
        </row>
        <row r="1061">
          <cell r="E1061">
            <v>28</v>
          </cell>
          <cell r="F1061">
            <v>25.2</v>
          </cell>
          <cell r="G1061">
            <v>23.896682202951688</v>
          </cell>
        </row>
        <row r="1062">
          <cell r="E1062">
            <v>27.4</v>
          </cell>
          <cell r="F1062">
            <v>25</v>
          </cell>
          <cell r="G1062">
            <v>23.862170856686003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27.4</v>
          </cell>
          <cell r="G1074">
            <v>27.399993896484375</v>
          </cell>
        </row>
        <row r="1075">
          <cell r="F1075">
            <v>27.399993896484375</v>
          </cell>
          <cell r="G1075">
            <v>27.399993896484375</v>
          </cell>
        </row>
        <row r="1076">
          <cell r="F1076">
            <v>27.399993896484375</v>
          </cell>
          <cell r="G1076">
            <v>27.399993896484375</v>
          </cell>
        </row>
        <row r="1077">
          <cell r="F1077" t="str">
            <v>WXREV</v>
          </cell>
          <cell r="G1077">
            <v>27.399993896484375</v>
          </cell>
        </row>
        <row r="1078">
          <cell r="F1078">
            <v>27.399993896484375</v>
          </cell>
          <cell r="G1078">
            <v>27.399993896484375</v>
          </cell>
        </row>
        <row r="1079">
          <cell r="F1079">
            <v>27.399993896484375</v>
          </cell>
          <cell r="G1079">
            <v>27.399993896484375</v>
          </cell>
        </row>
        <row r="1080">
          <cell r="F1080">
            <v>27.399993896484375</v>
          </cell>
          <cell r="G1080">
            <v>27.399993896484375</v>
          </cell>
        </row>
        <row r="1081">
          <cell r="F1081">
            <v>27.399993896484375</v>
          </cell>
          <cell r="G1081">
            <v>27.399993896484375</v>
          </cell>
        </row>
        <row r="1082">
          <cell r="F1082" t="str">
            <v>JANUARI</v>
          </cell>
          <cell r="G1082">
            <v>27.399993896484375</v>
          </cell>
        </row>
        <row r="1083">
          <cell r="F1083">
            <v>27.399993896484375</v>
          </cell>
          <cell r="G1083">
            <v>27.399993896484375</v>
          </cell>
        </row>
        <row r="1084">
          <cell r="F1084" t="str">
            <v>BB</v>
          </cell>
          <cell r="G1084" t="str">
            <v>TTD</v>
          </cell>
        </row>
        <row r="1085">
          <cell r="F1085">
            <v>27.399993896484375</v>
          </cell>
          <cell r="G1085">
            <v>27.399993896484375</v>
          </cell>
        </row>
        <row r="1086">
          <cell r="E1086">
            <v>25</v>
          </cell>
          <cell r="F1086">
            <v>24</v>
          </cell>
          <cell r="G1086">
            <v>23.451002870250118</v>
          </cell>
        </row>
        <row r="1087">
          <cell r="E1087">
            <v>26.2</v>
          </cell>
          <cell r="F1087">
            <v>24.2</v>
          </cell>
          <cell r="G1087">
            <v>23.201256751926248</v>
          </cell>
        </row>
        <row r="1088">
          <cell r="E1088">
            <v>28.2</v>
          </cell>
          <cell r="F1088">
            <v>24.2</v>
          </cell>
          <cell r="G1088">
            <v>22.258119917094085</v>
          </cell>
        </row>
        <row r="1089">
          <cell r="E1089">
            <v>29.8</v>
          </cell>
          <cell r="F1089">
            <v>25.2</v>
          </cell>
          <cell r="G1089">
            <v>23.081131949841016</v>
          </cell>
        </row>
        <row r="1090">
          <cell r="E1090">
            <v>30.6</v>
          </cell>
          <cell r="F1090">
            <v>25.6</v>
          </cell>
          <cell r="G1090">
            <v>23.343395747115117</v>
          </cell>
        </row>
        <row r="1091">
          <cell r="E1091">
            <v>31.2</v>
          </cell>
          <cell r="F1091">
            <v>25.4</v>
          </cell>
          <cell r="G1091">
            <v>22.746098808962643</v>
          </cell>
        </row>
        <row r="1092">
          <cell r="E1092">
            <v>31</v>
          </cell>
          <cell r="F1092">
            <v>25</v>
          </cell>
          <cell r="G1092">
            <v>22.191206158280181</v>
          </cell>
        </row>
        <row r="1093">
          <cell r="E1093">
            <v>31.3</v>
          </cell>
          <cell r="F1093">
            <v>25.7</v>
          </cell>
          <cell r="G1093">
            <v>23.180951820442868</v>
          </cell>
        </row>
        <row r="1094">
          <cell r="E1094">
            <v>29.7</v>
          </cell>
          <cell r="F1094">
            <v>24.2</v>
          </cell>
          <cell r="G1094">
            <v>21.518401932247901</v>
          </cell>
        </row>
        <row r="1095">
          <cell r="E1095">
            <v>28.6</v>
          </cell>
          <cell r="F1095">
            <v>22.8</v>
          </cell>
          <cell r="G1095">
            <v>19.737691721710537</v>
          </cell>
        </row>
        <row r="1096">
          <cell r="E1096">
            <v>28.6</v>
          </cell>
          <cell r="F1096">
            <v>22.8</v>
          </cell>
          <cell r="G1096">
            <v>19.737691721710537</v>
          </cell>
        </row>
        <row r="1097">
          <cell r="E1097">
            <v>26.9</v>
          </cell>
          <cell r="F1097">
            <v>23.3</v>
          </cell>
          <cell r="G1097">
            <v>21.466252876073661</v>
          </cell>
        </row>
        <row r="1098">
          <cell r="E1098">
            <v>25.8</v>
          </cell>
          <cell r="F1098">
            <v>23.6</v>
          </cell>
          <cell r="G1098">
            <v>22.476265609365306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  <row r="1121">
          <cell r="R1121" t="str">
            <v xml:space="preserve">TIM PEMBUAT LAPORAN </v>
          </cell>
        </row>
        <row r="1136">
          <cell r="C1136" t="str">
            <v>STASIUN KLIMATOLOGI KL. IV SLEMAN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M43" t="str">
            <v>Mengetahui,</v>
          </cell>
        </row>
      </sheetData>
      <sheetData sheetId="10"/>
      <sheetData sheetId="11"/>
      <sheetData sheetId="12"/>
      <sheetData sheetId="13">
        <row r="11">
          <cell r="Y11" t="str">
            <v>Januari 2022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 t="str">
            <v>Januari 2022</v>
          </cell>
        </row>
      </sheetData>
      <sheetData sheetId="20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4">
          <cell r="C44" t="str">
            <v>Sleman Yogyakarta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1">
        <row r="1">
          <cell r="F1" t="str">
            <v>STASIUN KLIMATOLOGI KL. IV SLEMAN</v>
          </cell>
        </row>
      </sheetData>
      <sheetData sheetId="22">
        <row r="1">
          <cell r="H1" t="str">
            <v>STASIUN KLIMATOLOGI KL. IV SLEMAN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FEBRUARI</v>
          </cell>
          <cell r="G2">
            <v>0</v>
          </cell>
        </row>
        <row r="3">
          <cell r="F3">
            <v>0</v>
          </cell>
          <cell r="G3">
            <v>0</v>
          </cell>
        </row>
        <row r="4">
          <cell r="F4" t="str">
            <v>BB</v>
          </cell>
          <cell r="G4" t="str">
            <v>TTD</v>
          </cell>
        </row>
        <row r="5">
          <cell r="F5">
            <v>0</v>
          </cell>
          <cell r="G5">
            <v>0</v>
          </cell>
        </row>
        <row r="6">
          <cell r="E6">
            <v>25.2</v>
          </cell>
          <cell r="F6">
            <v>23.4</v>
          </cell>
          <cell r="G6">
            <v>22.45741703757486</v>
          </cell>
        </row>
        <row r="7">
          <cell r="E7">
            <v>26.4</v>
          </cell>
          <cell r="F7">
            <v>23.8</v>
          </cell>
          <cell r="G7">
            <v>22.497311086300893</v>
          </cell>
        </row>
        <row r="8">
          <cell r="E8">
            <v>28.4</v>
          </cell>
          <cell r="F8">
            <v>24.2</v>
          </cell>
          <cell r="G8">
            <v>22.161158941710486</v>
          </cell>
        </row>
        <row r="9">
          <cell r="E9">
            <v>30</v>
          </cell>
          <cell r="F9">
            <v>25.1</v>
          </cell>
          <cell r="G9">
            <v>22.829714824028944</v>
          </cell>
        </row>
        <row r="10">
          <cell r="E10">
            <v>30.3</v>
          </cell>
          <cell r="F10">
            <v>25.1</v>
          </cell>
          <cell r="G10">
            <v>22.688443801576025</v>
          </cell>
        </row>
        <row r="11">
          <cell r="E11">
            <v>30.6</v>
          </cell>
          <cell r="F11">
            <v>25.4</v>
          </cell>
          <cell r="G11">
            <v>23.026747545268133</v>
          </cell>
        </row>
        <row r="12">
          <cell r="E12">
            <v>31.2</v>
          </cell>
          <cell r="F12">
            <v>25.3</v>
          </cell>
          <cell r="G12">
            <v>22.584259480285496</v>
          </cell>
        </row>
        <row r="13">
          <cell r="E13">
            <v>31.2</v>
          </cell>
          <cell r="F13">
            <v>24.3</v>
          </cell>
          <cell r="G13">
            <v>20.919624643011055</v>
          </cell>
        </row>
        <row r="14">
          <cell r="E14">
            <v>29.6</v>
          </cell>
          <cell r="F14">
            <v>24.9</v>
          </cell>
          <cell r="G14">
            <v>22.700144821566319</v>
          </cell>
        </row>
        <row r="15">
          <cell r="E15">
            <v>29</v>
          </cell>
          <cell r="F15">
            <v>25.1</v>
          </cell>
          <cell r="G15">
            <v>23.293141559911223</v>
          </cell>
        </row>
        <row r="16">
          <cell r="E16">
            <v>28.8</v>
          </cell>
          <cell r="F16">
            <v>25.4</v>
          </cell>
          <cell r="G16">
            <v>23.844597001278153</v>
          </cell>
        </row>
        <row r="17">
          <cell r="E17">
            <v>28.3</v>
          </cell>
          <cell r="F17">
            <v>25.4</v>
          </cell>
          <cell r="G17">
            <v>24.065674695827873</v>
          </cell>
        </row>
        <row r="18">
          <cell r="E18">
            <v>27</v>
          </cell>
          <cell r="F18">
            <v>24.7</v>
          </cell>
          <cell r="G18">
            <v>23.590384962747073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27</v>
          </cell>
          <cell r="G30">
            <v>27</v>
          </cell>
        </row>
        <row r="33">
          <cell r="F33" t="str">
            <v>WXREV</v>
          </cell>
        </row>
        <row r="34">
          <cell r="F34">
            <v>27</v>
          </cell>
          <cell r="G34">
            <v>27</v>
          </cell>
        </row>
        <row r="35">
          <cell r="F35">
            <v>27</v>
          </cell>
          <cell r="G35">
            <v>27</v>
          </cell>
        </row>
        <row r="36">
          <cell r="F36">
            <v>27</v>
          </cell>
          <cell r="G36">
            <v>27</v>
          </cell>
        </row>
        <row r="37">
          <cell r="F37">
            <v>27</v>
          </cell>
          <cell r="G37">
            <v>27</v>
          </cell>
        </row>
        <row r="38">
          <cell r="F38" t="str">
            <v>FEBRUARI</v>
          </cell>
          <cell r="G38">
            <v>27</v>
          </cell>
        </row>
        <row r="39">
          <cell r="F39">
            <v>27</v>
          </cell>
          <cell r="G39">
            <v>27</v>
          </cell>
        </row>
        <row r="40">
          <cell r="F40" t="str">
            <v>BB</v>
          </cell>
          <cell r="G40" t="str">
            <v>TTD</v>
          </cell>
        </row>
        <row r="41">
          <cell r="F41">
            <v>27</v>
          </cell>
          <cell r="G41">
            <v>27</v>
          </cell>
        </row>
        <row r="42">
          <cell r="E42">
            <v>25.2</v>
          </cell>
          <cell r="F42">
            <v>24</v>
          </cell>
          <cell r="G42">
            <v>23.359988927625103</v>
          </cell>
        </row>
        <row r="43">
          <cell r="E43">
            <v>27</v>
          </cell>
          <cell r="F43">
            <v>24.2</v>
          </cell>
          <cell r="G43">
            <v>22.829633194937365</v>
          </cell>
        </row>
        <row r="44">
          <cell r="E44">
            <v>28.9</v>
          </cell>
          <cell r="F44">
            <v>25.5</v>
          </cell>
          <cell r="G44">
            <v>23.9524681757811</v>
          </cell>
        </row>
        <row r="45">
          <cell r="E45">
            <v>29.6</v>
          </cell>
          <cell r="F45">
            <v>25.5</v>
          </cell>
          <cell r="G45">
            <v>23.640370879653982</v>
          </cell>
        </row>
        <row r="46">
          <cell r="E46">
            <v>30.6</v>
          </cell>
          <cell r="F46">
            <v>25.7</v>
          </cell>
          <cell r="G46">
            <v>23.500621985768088</v>
          </cell>
        </row>
        <row r="47">
          <cell r="E47">
            <v>30.2</v>
          </cell>
          <cell r="F47">
            <v>25.9</v>
          </cell>
          <cell r="G47">
            <v>23.99030123628047</v>
          </cell>
        </row>
        <row r="48">
          <cell r="E48">
            <v>26.8</v>
          </cell>
          <cell r="F48">
            <v>24.4</v>
          </cell>
          <cell r="G48">
            <v>23.228029920116789</v>
          </cell>
        </row>
        <row r="49">
          <cell r="E49">
            <v>25.2</v>
          </cell>
          <cell r="F49">
            <v>23.2</v>
          </cell>
          <cell r="G49">
            <v>22.151221893264331</v>
          </cell>
        </row>
        <row r="50">
          <cell r="E50">
            <v>25.4</v>
          </cell>
          <cell r="F50">
            <v>23.4</v>
          </cell>
          <cell r="G50">
            <v>22.361484869154971</v>
          </cell>
        </row>
        <row r="51">
          <cell r="E51">
            <v>26</v>
          </cell>
          <cell r="F51">
            <v>23.6</v>
          </cell>
          <cell r="G51">
            <v>22.380428406468425</v>
          </cell>
        </row>
        <row r="52">
          <cell r="E52">
            <v>26.6</v>
          </cell>
          <cell r="F52">
            <v>24.6</v>
          </cell>
          <cell r="G52">
            <v>23.620401055617794</v>
          </cell>
        </row>
        <row r="53">
          <cell r="E53">
            <v>26.8</v>
          </cell>
          <cell r="F53">
            <v>24.6</v>
          </cell>
          <cell r="G53">
            <v>23.530193147412959</v>
          </cell>
        </row>
        <row r="54">
          <cell r="E54">
            <v>26</v>
          </cell>
          <cell r="F54">
            <v>23.6</v>
          </cell>
          <cell r="G54">
            <v>22.380428406468425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25.2</v>
          </cell>
          <cell r="G66">
            <v>25.199996948242188</v>
          </cell>
        </row>
        <row r="67">
          <cell r="F67">
            <v>25.199996948242188</v>
          </cell>
          <cell r="G67">
            <v>25.199996948242188</v>
          </cell>
        </row>
        <row r="68">
          <cell r="F68">
            <v>25.199996948242188</v>
          </cell>
          <cell r="G68">
            <v>25.199996948242188</v>
          </cell>
        </row>
        <row r="69">
          <cell r="F69" t="str">
            <v>WXREV</v>
          </cell>
          <cell r="G69">
            <v>25.199996948242188</v>
          </cell>
        </row>
        <row r="70">
          <cell r="F70">
            <v>25.199996948242188</v>
          </cell>
          <cell r="G70">
            <v>25.199996948242188</v>
          </cell>
        </row>
        <row r="71">
          <cell r="F71">
            <v>25.199996948242188</v>
          </cell>
          <cell r="G71">
            <v>25.199996948242188</v>
          </cell>
        </row>
        <row r="72">
          <cell r="F72">
            <v>25.199996948242188</v>
          </cell>
          <cell r="G72">
            <v>25.199996948242188</v>
          </cell>
        </row>
        <row r="73">
          <cell r="F73">
            <v>25.199996948242188</v>
          </cell>
          <cell r="G73">
            <v>25.199996948242188</v>
          </cell>
        </row>
        <row r="74">
          <cell r="F74" t="str">
            <v>FEBRUARI</v>
          </cell>
          <cell r="G74">
            <v>25.199996948242188</v>
          </cell>
        </row>
        <row r="75">
          <cell r="F75">
            <v>25.199996948242188</v>
          </cell>
          <cell r="G75">
            <v>25.199996948242188</v>
          </cell>
        </row>
        <row r="76">
          <cell r="F76" t="str">
            <v>BB</v>
          </cell>
          <cell r="G76" t="str">
            <v>TTD</v>
          </cell>
        </row>
        <row r="77">
          <cell r="F77">
            <v>25.199996948242188</v>
          </cell>
          <cell r="G77">
            <v>25.199996948242188</v>
          </cell>
        </row>
        <row r="78">
          <cell r="E78">
            <v>24.6</v>
          </cell>
          <cell r="F78">
            <v>23.3</v>
          </cell>
          <cell r="G78">
            <v>22.591865424441583</v>
          </cell>
        </row>
        <row r="79">
          <cell r="E79">
            <v>26.2</v>
          </cell>
          <cell r="F79">
            <v>24</v>
          </cell>
          <cell r="G79">
            <v>22.898249002326494</v>
          </cell>
        </row>
        <row r="80">
          <cell r="E80">
            <v>28.2</v>
          </cell>
          <cell r="F80">
            <v>24.4</v>
          </cell>
          <cell r="G80">
            <v>22.573749319862735</v>
          </cell>
        </row>
        <row r="81">
          <cell r="E81">
            <v>29.8</v>
          </cell>
          <cell r="F81">
            <v>25</v>
          </cell>
          <cell r="G81">
            <v>22.764750111093644</v>
          </cell>
        </row>
        <row r="82">
          <cell r="E82">
            <v>30.6</v>
          </cell>
          <cell r="F82">
            <v>25.7</v>
          </cell>
          <cell r="G82">
            <v>23.500621985768088</v>
          </cell>
        </row>
        <row r="83">
          <cell r="E83">
            <v>32.299999999999997</v>
          </cell>
          <cell r="F83">
            <v>25.6</v>
          </cell>
          <cell r="G83">
            <v>22.550803390215055</v>
          </cell>
        </row>
        <row r="84">
          <cell r="E84">
            <v>32.700000000000003</v>
          </cell>
          <cell r="F84">
            <v>25</v>
          </cell>
          <cell r="G84">
            <v>21.347497023795398</v>
          </cell>
        </row>
        <row r="85">
          <cell r="E85">
            <v>24</v>
          </cell>
          <cell r="F85">
            <v>22.6</v>
          </cell>
          <cell r="G85">
            <v>21.818982335509961</v>
          </cell>
        </row>
        <row r="86">
          <cell r="E86">
            <v>23.4</v>
          </cell>
          <cell r="F86">
            <v>22.4</v>
          </cell>
          <cell r="G86">
            <v>21.810660692606927</v>
          </cell>
        </row>
        <row r="87">
          <cell r="E87">
            <v>24</v>
          </cell>
          <cell r="F87">
            <v>23</v>
          </cell>
          <cell r="G87">
            <v>22.426257580226199</v>
          </cell>
        </row>
        <row r="88">
          <cell r="E88">
            <v>24.6</v>
          </cell>
          <cell r="F88">
            <v>23.2</v>
          </cell>
          <cell r="G88">
            <v>22.440752283690482</v>
          </cell>
        </row>
        <row r="89">
          <cell r="E89">
            <v>24.6</v>
          </cell>
          <cell r="F89">
            <v>23.4</v>
          </cell>
          <cell r="G89">
            <v>22.742318927283165</v>
          </cell>
        </row>
        <row r="90">
          <cell r="E90">
            <v>24.2</v>
          </cell>
          <cell r="F90">
            <v>23.2</v>
          </cell>
          <cell r="G90">
            <v>22.631329178936141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23.4</v>
          </cell>
          <cell r="G102">
            <v>23.399993896484375</v>
          </cell>
        </row>
        <row r="103">
          <cell r="F103">
            <v>23.399993896484375</v>
          </cell>
          <cell r="G103">
            <v>23.399993896484375</v>
          </cell>
        </row>
        <row r="104">
          <cell r="F104">
            <v>23.399993896484375</v>
          </cell>
          <cell r="G104">
            <v>23.399993896484375</v>
          </cell>
        </row>
        <row r="105">
          <cell r="F105" t="str">
            <v>WXREV</v>
          </cell>
          <cell r="G105">
            <v>23.399993896484375</v>
          </cell>
        </row>
        <row r="106">
          <cell r="F106">
            <v>23.399993896484375</v>
          </cell>
          <cell r="G106">
            <v>23.399993896484375</v>
          </cell>
        </row>
        <row r="107">
          <cell r="F107">
            <v>23.399993896484375</v>
          </cell>
          <cell r="G107">
            <v>23.399993896484375</v>
          </cell>
        </row>
        <row r="108">
          <cell r="F108">
            <v>23.399993896484375</v>
          </cell>
          <cell r="G108">
            <v>23.399993896484375</v>
          </cell>
        </row>
        <row r="109">
          <cell r="F109">
            <v>23.399993896484375</v>
          </cell>
          <cell r="G109">
            <v>23.399993896484375</v>
          </cell>
        </row>
        <row r="110">
          <cell r="F110" t="str">
            <v>FEBRUARI</v>
          </cell>
          <cell r="G110">
            <v>23.399993896484375</v>
          </cell>
        </row>
        <row r="111">
          <cell r="F111">
            <v>23.399993896484375</v>
          </cell>
          <cell r="G111">
            <v>23.399993896484375</v>
          </cell>
        </row>
        <row r="112">
          <cell r="F112" t="str">
            <v>BB</v>
          </cell>
          <cell r="G112" t="str">
            <v>TTD</v>
          </cell>
        </row>
        <row r="113">
          <cell r="F113">
            <v>23.399993896484375</v>
          </cell>
          <cell r="G113">
            <v>23.399993896484375</v>
          </cell>
        </row>
        <row r="114">
          <cell r="E114">
            <v>24.6</v>
          </cell>
          <cell r="F114">
            <v>23.8</v>
          </cell>
          <cell r="G114">
            <v>23.337733422817518</v>
          </cell>
        </row>
        <row r="115">
          <cell r="E115">
            <v>26</v>
          </cell>
          <cell r="F115">
            <v>24.4</v>
          </cell>
          <cell r="G115">
            <v>23.592004375769026</v>
          </cell>
        </row>
        <row r="116">
          <cell r="E116">
            <v>27.8</v>
          </cell>
          <cell r="F116">
            <v>24.8</v>
          </cell>
          <cell r="G116">
            <v>23.379452040413032</v>
          </cell>
        </row>
        <row r="117">
          <cell r="E117">
            <v>29</v>
          </cell>
          <cell r="F117">
            <v>25</v>
          </cell>
          <cell r="G117">
            <v>23.13765699199967</v>
          </cell>
        </row>
        <row r="118">
          <cell r="E118">
            <v>30.5</v>
          </cell>
          <cell r="F118">
            <v>25</v>
          </cell>
          <cell r="G118">
            <v>22.432307607667887</v>
          </cell>
        </row>
        <row r="119">
          <cell r="E119">
            <v>30.8</v>
          </cell>
          <cell r="F119">
            <v>25.2</v>
          </cell>
          <cell r="G119">
            <v>22.612414864747695</v>
          </cell>
        </row>
        <row r="120">
          <cell r="E120">
            <v>31.5</v>
          </cell>
          <cell r="F120">
            <v>26</v>
          </cell>
          <cell r="G120">
            <v>23.566147277914862</v>
          </cell>
        </row>
        <row r="121">
          <cell r="E121">
            <v>31.7</v>
          </cell>
          <cell r="F121">
            <v>26.2</v>
          </cell>
          <cell r="G121">
            <v>23.791839319785169</v>
          </cell>
        </row>
        <row r="122">
          <cell r="E122">
            <v>29.5</v>
          </cell>
          <cell r="F122">
            <v>25</v>
          </cell>
          <cell r="G122">
            <v>22.905453010257961</v>
          </cell>
        </row>
        <row r="123">
          <cell r="E123">
            <v>29.2</v>
          </cell>
          <cell r="F123">
            <v>24</v>
          </cell>
          <cell r="G123">
            <v>21.44106467360707</v>
          </cell>
        </row>
        <row r="124">
          <cell r="E124">
            <v>28.2</v>
          </cell>
          <cell r="F124">
            <v>24.2</v>
          </cell>
          <cell r="G124">
            <v>22.258119917094085</v>
          </cell>
        </row>
        <row r="125">
          <cell r="E125">
            <v>27.9</v>
          </cell>
          <cell r="F125">
            <v>24.8</v>
          </cell>
          <cell r="G125">
            <v>23.333825326586801</v>
          </cell>
        </row>
        <row r="126">
          <cell r="E126">
            <v>27.1</v>
          </cell>
          <cell r="F126">
            <v>24.8</v>
          </cell>
          <cell r="G126">
            <v>23.695807327426095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27.1</v>
          </cell>
          <cell r="G138">
            <v>27.099990844726563</v>
          </cell>
        </row>
        <row r="139">
          <cell r="F139">
            <v>27.099990844726563</v>
          </cell>
          <cell r="G139">
            <v>27.099990844726563</v>
          </cell>
        </row>
        <row r="140">
          <cell r="F140">
            <v>27.099990844726563</v>
          </cell>
          <cell r="G140">
            <v>27.099990844726563</v>
          </cell>
        </row>
        <row r="141">
          <cell r="F141" t="str">
            <v>WXREV</v>
          </cell>
          <cell r="G141">
            <v>27.099990844726563</v>
          </cell>
        </row>
        <row r="142">
          <cell r="F142">
            <v>27.099990844726563</v>
          </cell>
          <cell r="G142">
            <v>27.099990844726563</v>
          </cell>
        </row>
        <row r="143">
          <cell r="F143">
            <v>27.099990844726563</v>
          </cell>
          <cell r="G143">
            <v>27.099990844726563</v>
          </cell>
        </row>
        <row r="144">
          <cell r="F144">
            <v>27.099990844726563</v>
          </cell>
          <cell r="G144">
            <v>27.099990844726563</v>
          </cell>
        </row>
        <row r="145">
          <cell r="F145">
            <v>27.099990844726563</v>
          </cell>
          <cell r="G145">
            <v>27.099990844726563</v>
          </cell>
        </row>
        <row r="146">
          <cell r="F146" t="str">
            <v>FEBRUARI</v>
          </cell>
          <cell r="G146">
            <v>27.099990844726563</v>
          </cell>
        </row>
        <row r="147">
          <cell r="F147">
            <v>27.099990844726563</v>
          </cell>
          <cell r="G147">
            <v>27.099990844726563</v>
          </cell>
        </row>
        <row r="148">
          <cell r="F148" t="str">
            <v>BB</v>
          </cell>
          <cell r="G148" t="str">
            <v>TTD</v>
          </cell>
        </row>
        <row r="149">
          <cell r="F149">
            <v>27.099990844726563</v>
          </cell>
          <cell r="G149">
            <v>27.099990844726563</v>
          </cell>
        </row>
        <row r="150">
          <cell r="E150">
            <v>23.7</v>
          </cell>
          <cell r="F150">
            <v>22.8</v>
          </cell>
          <cell r="G150">
            <v>22.269507301736514</v>
          </cell>
        </row>
        <row r="151">
          <cell r="E151">
            <v>24.8</v>
          </cell>
          <cell r="F151">
            <v>23.6</v>
          </cell>
          <cell r="G151">
            <v>22.948281918843517</v>
          </cell>
        </row>
        <row r="152">
          <cell r="E152">
            <v>25.4</v>
          </cell>
          <cell r="F152">
            <v>24.2</v>
          </cell>
          <cell r="G152">
            <v>23.565735043217593</v>
          </cell>
        </row>
        <row r="153">
          <cell r="E153">
            <v>25.7</v>
          </cell>
          <cell r="F153">
            <v>23.9</v>
          </cell>
          <cell r="G153">
            <v>22.979887879905885</v>
          </cell>
        </row>
        <row r="154">
          <cell r="E154">
            <v>26.3</v>
          </cell>
          <cell r="F154">
            <v>24.7</v>
          </cell>
          <cell r="G154">
            <v>23.903278617423673</v>
          </cell>
        </row>
        <row r="155">
          <cell r="E155">
            <v>26.7</v>
          </cell>
          <cell r="F155">
            <v>24.9</v>
          </cell>
          <cell r="G155">
            <v>24.022766343607394</v>
          </cell>
        </row>
        <row r="156">
          <cell r="E156">
            <v>26.2</v>
          </cell>
          <cell r="F156">
            <v>24.8</v>
          </cell>
          <cell r="G156">
            <v>24.09497496904363</v>
          </cell>
        </row>
        <row r="157">
          <cell r="E157">
            <v>25.8</v>
          </cell>
          <cell r="F157">
            <v>24.2</v>
          </cell>
          <cell r="G157">
            <v>23.384370540910407</v>
          </cell>
        </row>
        <row r="158">
          <cell r="E158">
            <v>25.8</v>
          </cell>
          <cell r="F158">
            <v>24.4</v>
          </cell>
          <cell r="G158">
            <v>23.681919065166394</v>
          </cell>
        </row>
        <row r="159">
          <cell r="E159">
            <v>25.5</v>
          </cell>
          <cell r="F159">
            <v>24</v>
          </cell>
          <cell r="G159">
            <v>23.222644384066268</v>
          </cell>
        </row>
        <row r="160">
          <cell r="E160">
            <v>25.8</v>
          </cell>
          <cell r="F160">
            <v>23.8</v>
          </cell>
          <cell r="G160">
            <v>22.781622980972795</v>
          </cell>
        </row>
        <row r="161">
          <cell r="E161">
            <v>25.6</v>
          </cell>
          <cell r="F161">
            <v>24.6</v>
          </cell>
          <cell r="G161">
            <v>24.06513901073685</v>
          </cell>
        </row>
        <row r="162">
          <cell r="E162">
            <v>25</v>
          </cell>
          <cell r="F162">
            <v>24.2</v>
          </cell>
          <cell r="G162">
            <v>23.745385843105907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25</v>
          </cell>
          <cell r="G174">
            <v>25</v>
          </cell>
        </row>
        <row r="175">
          <cell r="F175">
            <v>25</v>
          </cell>
          <cell r="G175">
            <v>25</v>
          </cell>
        </row>
        <row r="176">
          <cell r="F176">
            <v>25</v>
          </cell>
          <cell r="G176">
            <v>25</v>
          </cell>
        </row>
        <row r="177">
          <cell r="F177" t="str">
            <v>WXREV</v>
          </cell>
          <cell r="G177">
            <v>25</v>
          </cell>
        </row>
        <row r="178">
          <cell r="F178">
            <v>25</v>
          </cell>
          <cell r="G178">
            <v>25</v>
          </cell>
        </row>
        <row r="179">
          <cell r="F179">
            <v>25</v>
          </cell>
          <cell r="G179">
            <v>25</v>
          </cell>
        </row>
        <row r="180">
          <cell r="F180">
            <v>25</v>
          </cell>
          <cell r="G180">
            <v>25</v>
          </cell>
        </row>
        <row r="181">
          <cell r="F181">
            <v>25</v>
          </cell>
          <cell r="G181">
            <v>25</v>
          </cell>
        </row>
        <row r="182">
          <cell r="F182" t="str">
            <v>FEBRUARI</v>
          </cell>
          <cell r="G182">
            <v>25</v>
          </cell>
        </row>
        <row r="183">
          <cell r="F183">
            <v>25</v>
          </cell>
          <cell r="G183">
            <v>25</v>
          </cell>
        </row>
        <row r="184">
          <cell r="F184" t="str">
            <v>BB</v>
          </cell>
          <cell r="G184" t="str">
            <v>TTD</v>
          </cell>
        </row>
        <row r="185">
          <cell r="F185">
            <v>25</v>
          </cell>
          <cell r="G185">
            <v>25</v>
          </cell>
        </row>
        <row r="186">
          <cell r="E186">
            <v>25.8</v>
          </cell>
          <cell r="F186">
            <v>24</v>
          </cell>
          <cell r="G186">
            <v>23.084297681296647</v>
          </cell>
        </row>
        <row r="187">
          <cell r="E187">
            <v>27.4</v>
          </cell>
          <cell r="F187">
            <v>24</v>
          </cell>
          <cell r="G187">
            <v>22.328850061942795</v>
          </cell>
        </row>
        <row r="188">
          <cell r="E188">
            <v>28.8</v>
          </cell>
          <cell r="F188">
            <v>24.6</v>
          </cell>
          <cell r="G188">
            <v>22.603699197462753</v>
          </cell>
        </row>
        <row r="189">
          <cell r="E189">
            <v>29.6</v>
          </cell>
          <cell r="F189">
            <v>25.2</v>
          </cell>
          <cell r="G189">
            <v>23.173497959213115</v>
          </cell>
        </row>
        <row r="190">
          <cell r="E190">
            <v>30.8</v>
          </cell>
          <cell r="F190">
            <v>25.8</v>
          </cell>
          <cell r="G190">
            <v>23.56709069326994</v>
          </cell>
        </row>
        <row r="191">
          <cell r="E191">
            <v>31.4</v>
          </cell>
          <cell r="F191">
            <v>26.2</v>
          </cell>
          <cell r="G191">
            <v>23.925167750037577</v>
          </cell>
        </row>
        <row r="192">
          <cell r="E192">
            <v>28.8</v>
          </cell>
          <cell r="F192">
            <v>24</v>
          </cell>
          <cell r="G192">
            <v>21.642015979127848</v>
          </cell>
        </row>
        <row r="193">
          <cell r="E193">
            <v>23.7</v>
          </cell>
          <cell r="F193">
            <v>23.1</v>
          </cell>
          <cell r="G193">
            <v>22.718493760265002</v>
          </cell>
        </row>
        <row r="194">
          <cell r="E194">
            <v>23.8</v>
          </cell>
          <cell r="F194">
            <v>23.3</v>
          </cell>
          <cell r="G194">
            <v>22.968122691375331</v>
          </cell>
        </row>
        <row r="195">
          <cell r="E195">
            <v>24</v>
          </cell>
          <cell r="F195">
            <v>23.4</v>
          </cell>
          <cell r="G195">
            <v>23.022986804446777</v>
          </cell>
        </row>
        <row r="196">
          <cell r="E196">
            <v>24</v>
          </cell>
          <cell r="F196">
            <v>23.4</v>
          </cell>
          <cell r="G196">
            <v>23.022986804446777</v>
          </cell>
        </row>
        <row r="197">
          <cell r="E197">
            <v>24.2</v>
          </cell>
          <cell r="F197">
            <v>23.5</v>
          </cell>
          <cell r="G197">
            <v>23.078225344363613</v>
          </cell>
        </row>
        <row r="198">
          <cell r="E198">
            <v>24.2</v>
          </cell>
          <cell r="F198">
            <v>23.2</v>
          </cell>
          <cell r="G198">
            <v>22.631329178936141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23.7</v>
          </cell>
          <cell r="G210">
            <v>23.699996948242188</v>
          </cell>
        </row>
        <row r="211">
          <cell r="F211">
            <v>23.699996948242188</v>
          </cell>
          <cell r="G211">
            <v>23.699996948242188</v>
          </cell>
        </row>
        <row r="212">
          <cell r="F212">
            <v>23.699996948242188</v>
          </cell>
          <cell r="G212">
            <v>23.699996948242188</v>
          </cell>
        </row>
        <row r="213">
          <cell r="F213" t="str">
            <v>WXREV</v>
          </cell>
          <cell r="G213">
            <v>23.699996948242188</v>
          </cell>
        </row>
        <row r="214">
          <cell r="F214">
            <v>23.699996948242188</v>
          </cell>
          <cell r="G214">
            <v>23.699996948242188</v>
          </cell>
        </row>
        <row r="215">
          <cell r="F215">
            <v>23.699996948242188</v>
          </cell>
          <cell r="G215">
            <v>23.699996948242188</v>
          </cell>
        </row>
        <row r="216">
          <cell r="F216">
            <v>23.699996948242188</v>
          </cell>
          <cell r="G216">
            <v>23.699996948242188</v>
          </cell>
        </row>
        <row r="217">
          <cell r="F217">
            <v>23.699996948242188</v>
          </cell>
          <cell r="G217">
            <v>23.699996948242188</v>
          </cell>
        </row>
        <row r="218">
          <cell r="F218" t="str">
            <v>FEBRUARI</v>
          </cell>
          <cell r="G218">
            <v>23.699996948242188</v>
          </cell>
        </row>
        <row r="219">
          <cell r="F219">
            <v>23.699996948242188</v>
          </cell>
          <cell r="G219">
            <v>23.699996948242188</v>
          </cell>
        </row>
        <row r="220">
          <cell r="F220" t="str">
            <v>BB</v>
          </cell>
          <cell r="G220" t="str">
            <v>TTD</v>
          </cell>
        </row>
        <row r="221">
          <cell r="F221">
            <v>23.699996948242188</v>
          </cell>
          <cell r="G221">
            <v>23.699996948242188</v>
          </cell>
        </row>
        <row r="222">
          <cell r="E222">
            <v>24.4</v>
          </cell>
          <cell r="F222">
            <v>23.7</v>
          </cell>
          <cell r="G222">
            <v>23.281650558659795</v>
          </cell>
        </row>
        <row r="223">
          <cell r="E223">
            <v>25.6</v>
          </cell>
          <cell r="F223">
            <v>24.3</v>
          </cell>
          <cell r="G223">
            <v>23.623646261428956</v>
          </cell>
        </row>
        <row r="224">
          <cell r="E224">
            <v>25.4</v>
          </cell>
          <cell r="F224">
            <v>23.9</v>
          </cell>
          <cell r="G224">
            <v>23.118995558898437</v>
          </cell>
        </row>
        <row r="225">
          <cell r="E225">
            <v>25.8</v>
          </cell>
          <cell r="F225">
            <v>24.4</v>
          </cell>
          <cell r="G225">
            <v>23.681919065166394</v>
          </cell>
        </row>
        <row r="226">
          <cell r="E226">
            <v>27.5</v>
          </cell>
          <cell r="F226">
            <v>25.2</v>
          </cell>
          <cell r="G226">
            <v>24.117157557316535</v>
          </cell>
        </row>
        <row r="227">
          <cell r="E227">
            <v>27.8</v>
          </cell>
          <cell r="F227">
            <v>25.4</v>
          </cell>
          <cell r="G227">
            <v>24.284221531671822</v>
          </cell>
        </row>
        <row r="228">
          <cell r="E228">
            <v>27.8</v>
          </cell>
          <cell r="F228">
            <v>25.2</v>
          </cell>
          <cell r="G228">
            <v>23.985178287701391</v>
          </cell>
        </row>
        <row r="229">
          <cell r="E229">
            <v>28.1</v>
          </cell>
          <cell r="F229">
            <v>25.3</v>
          </cell>
          <cell r="G229">
            <v>24.00315392237005</v>
          </cell>
        </row>
        <row r="230">
          <cell r="E230">
            <v>28.2</v>
          </cell>
          <cell r="F230">
            <v>24.9</v>
          </cell>
          <cell r="G230">
            <v>23.350164439350358</v>
          </cell>
        </row>
        <row r="231">
          <cell r="E231">
            <v>27.9</v>
          </cell>
          <cell r="F231">
            <v>24.9</v>
          </cell>
          <cell r="G231">
            <v>23.486600872425196</v>
          </cell>
        </row>
        <row r="232">
          <cell r="E232">
            <v>28.9</v>
          </cell>
          <cell r="F232">
            <v>23</v>
          </cell>
          <cell r="G232">
            <v>19.917113757434294</v>
          </cell>
        </row>
        <row r="233">
          <cell r="E233">
            <v>28</v>
          </cell>
          <cell r="F233">
            <v>23.2</v>
          </cell>
          <cell r="G233">
            <v>20.737584230106016</v>
          </cell>
        </row>
        <row r="234">
          <cell r="E234">
            <v>26.4</v>
          </cell>
          <cell r="F234">
            <v>24.4</v>
          </cell>
          <cell r="G234">
            <v>23.41088917767016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26.4</v>
          </cell>
          <cell r="G246">
            <v>26.399993896484375</v>
          </cell>
        </row>
        <row r="247">
          <cell r="F247">
            <v>26.399993896484375</v>
          </cell>
          <cell r="G247">
            <v>26.399993896484375</v>
          </cell>
        </row>
        <row r="248">
          <cell r="F248">
            <v>26.399993896484375</v>
          </cell>
          <cell r="G248">
            <v>26.399993896484375</v>
          </cell>
        </row>
        <row r="249">
          <cell r="F249" t="str">
            <v>WXREV</v>
          </cell>
          <cell r="G249">
            <v>26.399993896484375</v>
          </cell>
        </row>
        <row r="250">
          <cell r="F250">
            <v>26.399993896484375</v>
          </cell>
          <cell r="G250">
            <v>26.399993896484375</v>
          </cell>
        </row>
        <row r="251">
          <cell r="F251">
            <v>26.399993896484375</v>
          </cell>
          <cell r="G251">
            <v>26.399993896484375</v>
          </cell>
        </row>
        <row r="252">
          <cell r="F252">
            <v>26.399993896484375</v>
          </cell>
          <cell r="G252">
            <v>26.399993896484375</v>
          </cell>
        </row>
        <row r="253">
          <cell r="F253">
            <v>26.399993896484375</v>
          </cell>
          <cell r="G253">
            <v>26.399993896484375</v>
          </cell>
        </row>
        <row r="254">
          <cell r="F254" t="str">
            <v>FEBRUARI</v>
          </cell>
          <cell r="G254">
            <v>26.399993896484375</v>
          </cell>
        </row>
        <row r="255">
          <cell r="F255">
            <v>26.399993896484375</v>
          </cell>
          <cell r="G255">
            <v>26.399993896484375</v>
          </cell>
        </row>
        <row r="256">
          <cell r="F256" t="str">
            <v>BB</v>
          </cell>
          <cell r="G256" t="str">
            <v>TTD</v>
          </cell>
        </row>
        <row r="257">
          <cell r="F257">
            <v>26.399993896484375</v>
          </cell>
          <cell r="G257">
            <v>26.399993896484375</v>
          </cell>
        </row>
        <row r="258">
          <cell r="E258">
            <v>24.8</v>
          </cell>
          <cell r="F258">
            <v>23.5</v>
          </cell>
          <cell r="G258">
            <v>22.798380300845441</v>
          </cell>
        </row>
        <row r="259">
          <cell r="E259">
            <v>25.8</v>
          </cell>
          <cell r="F259">
            <v>23.9</v>
          </cell>
          <cell r="G259">
            <v>22.93329053299497</v>
          </cell>
        </row>
        <row r="260">
          <cell r="E260">
            <v>27.1</v>
          </cell>
          <cell r="F260">
            <v>24.3</v>
          </cell>
          <cell r="G260">
            <v>22.93653381188777</v>
          </cell>
        </row>
        <row r="261">
          <cell r="E261">
            <v>28.4</v>
          </cell>
          <cell r="F261">
            <v>24.6</v>
          </cell>
          <cell r="G261">
            <v>22.792662448856582</v>
          </cell>
        </row>
        <row r="262">
          <cell r="E262">
            <v>30.1</v>
          </cell>
          <cell r="F262">
            <v>25.9</v>
          </cell>
          <cell r="G262">
            <v>24.034386138060192</v>
          </cell>
        </row>
        <row r="263">
          <cell r="E263">
            <v>30.7</v>
          </cell>
          <cell r="F263">
            <v>24.9</v>
          </cell>
          <cell r="G263">
            <v>22.173243878774922</v>
          </cell>
        </row>
        <row r="264">
          <cell r="E264">
            <v>29.9</v>
          </cell>
          <cell r="F264">
            <v>24.3</v>
          </cell>
          <cell r="G264">
            <v>21.582927891337569</v>
          </cell>
        </row>
        <row r="265">
          <cell r="E265">
            <v>29.6</v>
          </cell>
          <cell r="F265">
            <v>24.2</v>
          </cell>
          <cell r="G265">
            <v>21.568635253270578</v>
          </cell>
        </row>
        <row r="266">
          <cell r="E266">
            <v>29</v>
          </cell>
          <cell r="F266">
            <v>24.6</v>
          </cell>
          <cell r="G266">
            <v>22.508503251918363</v>
          </cell>
        </row>
        <row r="267">
          <cell r="E267">
            <v>28.6</v>
          </cell>
          <cell r="F267">
            <v>25</v>
          </cell>
          <cell r="G267">
            <v>23.321392650725961</v>
          </cell>
        </row>
        <row r="268">
          <cell r="E268">
            <v>28.4</v>
          </cell>
          <cell r="F268">
            <v>25.4</v>
          </cell>
          <cell r="G268">
            <v>24.021663637150674</v>
          </cell>
        </row>
        <row r="269">
          <cell r="E269">
            <v>28.4</v>
          </cell>
          <cell r="F269">
            <v>25.4</v>
          </cell>
          <cell r="G269">
            <v>24.021663637150674</v>
          </cell>
        </row>
        <row r="270">
          <cell r="E270">
            <v>27</v>
          </cell>
          <cell r="F270">
            <v>24.4</v>
          </cell>
          <cell r="G270">
            <v>23.135934889422426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27</v>
          </cell>
          <cell r="G282">
            <v>27</v>
          </cell>
        </row>
        <row r="283">
          <cell r="F283">
            <v>27</v>
          </cell>
          <cell r="G283">
            <v>27</v>
          </cell>
        </row>
        <row r="284">
          <cell r="F284">
            <v>27</v>
          </cell>
          <cell r="G284">
            <v>27</v>
          </cell>
        </row>
        <row r="285">
          <cell r="F285" t="str">
            <v>WXREV</v>
          </cell>
          <cell r="G285">
            <v>27</v>
          </cell>
        </row>
        <row r="286">
          <cell r="F286">
            <v>27</v>
          </cell>
          <cell r="G286">
            <v>27</v>
          </cell>
        </row>
        <row r="287">
          <cell r="F287">
            <v>27</v>
          </cell>
          <cell r="G287">
            <v>27</v>
          </cell>
        </row>
        <row r="288">
          <cell r="F288">
            <v>27</v>
          </cell>
          <cell r="G288">
            <v>27</v>
          </cell>
        </row>
        <row r="289">
          <cell r="F289">
            <v>27</v>
          </cell>
          <cell r="G289">
            <v>27</v>
          </cell>
        </row>
        <row r="290">
          <cell r="F290" t="str">
            <v>FEBRUARI</v>
          </cell>
          <cell r="G290">
            <v>27</v>
          </cell>
        </row>
        <row r="291">
          <cell r="F291">
            <v>27</v>
          </cell>
          <cell r="G291">
            <v>27</v>
          </cell>
        </row>
        <row r="292">
          <cell r="F292" t="str">
            <v>BB</v>
          </cell>
          <cell r="G292" t="str">
            <v>TTD</v>
          </cell>
        </row>
        <row r="293">
          <cell r="F293">
            <v>27</v>
          </cell>
          <cell r="G293">
            <v>27</v>
          </cell>
        </row>
        <row r="294">
          <cell r="E294">
            <v>25.2</v>
          </cell>
          <cell r="F294">
            <v>24.2</v>
          </cell>
          <cell r="G294">
            <v>23.655772475405435</v>
          </cell>
        </row>
        <row r="295">
          <cell r="E295">
            <v>26.4</v>
          </cell>
          <cell r="F295">
            <v>24.8</v>
          </cell>
          <cell r="G295">
            <v>24.00699031261323</v>
          </cell>
        </row>
        <row r="296">
          <cell r="E296">
            <v>27.3</v>
          </cell>
          <cell r="F296">
            <v>24.8</v>
          </cell>
          <cell r="G296">
            <v>23.605955947310239</v>
          </cell>
        </row>
        <row r="297">
          <cell r="E297">
            <v>29</v>
          </cell>
          <cell r="F297">
            <v>25</v>
          </cell>
          <cell r="G297">
            <v>23.13765699199967</v>
          </cell>
        </row>
        <row r="298">
          <cell r="E298">
            <v>30</v>
          </cell>
          <cell r="F298">
            <v>25.2</v>
          </cell>
          <cell r="G298">
            <v>22.988313287442271</v>
          </cell>
        </row>
        <row r="299">
          <cell r="E299">
            <v>30.8</v>
          </cell>
          <cell r="F299">
            <v>25.4</v>
          </cell>
          <cell r="G299">
            <v>22.933659924886598</v>
          </cell>
        </row>
        <row r="300">
          <cell r="E300">
            <v>30.8</v>
          </cell>
          <cell r="F300">
            <v>25.8</v>
          </cell>
          <cell r="G300">
            <v>23.56709069326994</v>
          </cell>
        </row>
        <row r="301">
          <cell r="E301">
            <v>30.2</v>
          </cell>
          <cell r="F301">
            <v>24.6</v>
          </cell>
          <cell r="G301">
            <v>21.926992488235253</v>
          </cell>
        </row>
        <row r="302">
          <cell r="E302">
            <v>29.4</v>
          </cell>
          <cell r="F302">
            <v>24.6</v>
          </cell>
          <cell r="G302">
            <v>22.316656612844575</v>
          </cell>
        </row>
        <row r="303">
          <cell r="E303">
            <v>26.6</v>
          </cell>
          <cell r="F303">
            <v>24.6</v>
          </cell>
          <cell r="G303">
            <v>23.620401055617794</v>
          </cell>
        </row>
        <row r="304">
          <cell r="E304">
            <v>26.4</v>
          </cell>
          <cell r="F304">
            <v>24.6</v>
          </cell>
          <cell r="G304">
            <v>23.710183186275557</v>
          </cell>
        </row>
        <row r="305">
          <cell r="E305">
            <v>26.4</v>
          </cell>
          <cell r="F305">
            <v>24.6</v>
          </cell>
          <cell r="G305">
            <v>23.710183186275557</v>
          </cell>
        </row>
        <row r="306">
          <cell r="E306">
            <v>25.8</v>
          </cell>
          <cell r="F306">
            <v>24</v>
          </cell>
          <cell r="G306">
            <v>23.084297681296647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25.8</v>
          </cell>
          <cell r="G318">
            <v>25.79998779296875</v>
          </cell>
        </row>
        <row r="319">
          <cell r="F319">
            <v>25.79998779296875</v>
          </cell>
          <cell r="G319">
            <v>25.79998779296875</v>
          </cell>
        </row>
        <row r="320">
          <cell r="F320">
            <v>25.79998779296875</v>
          </cell>
          <cell r="G320">
            <v>25.79998779296875</v>
          </cell>
        </row>
        <row r="321">
          <cell r="F321" t="str">
            <v>WXREV</v>
          </cell>
          <cell r="G321">
            <v>25.79998779296875</v>
          </cell>
        </row>
        <row r="322">
          <cell r="F322">
            <v>25.79998779296875</v>
          </cell>
          <cell r="G322">
            <v>25.79998779296875</v>
          </cell>
        </row>
        <row r="323">
          <cell r="F323">
            <v>25.79998779296875</v>
          </cell>
          <cell r="G323">
            <v>25.79998779296875</v>
          </cell>
        </row>
        <row r="324">
          <cell r="F324">
            <v>25.79998779296875</v>
          </cell>
          <cell r="G324">
            <v>25.79998779296875</v>
          </cell>
        </row>
        <row r="325">
          <cell r="F325">
            <v>25.79998779296875</v>
          </cell>
          <cell r="G325">
            <v>25.79998779296875</v>
          </cell>
        </row>
        <row r="326">
          <cell r="F326" t="str">
            <v>FEBRUARI</v>
          </cell>
          <cell r="G326">
            <v>25.79998779296875</v>
          </cell>
        </row>
        <row r="327">
          <cell r="F327">
            <v>25.79998779296875</v>
          </cell>
          <cell r="G327">
            <v>25.79998779296875</v>
          </cell>
        </row>
        <row r="328">
          <cell r="F328" t="str">
            <v>BB</v>
          </cell>
          <cell r="G328" t="str">
            <v>TTD</v>
          </cell>
        </row>
        <row r="329">
          <cell r="F329">
            <v>25.79998779296875</v>
          </cell>
          <cell r="G329">
            <v>25.79998779296875</v>
          </cell>
        </row>
        <row r="330">
          <cell r="E330">
            <v>25</v>
          </cell>
          <cell r="F330">
            <v>23.3</v>
          </cell>
          <cell r="G330">
            <v>22.400885909362238</v>
          </cell>
        </row>
        <row r="331">
          <cell r="E331">
            <v>25.4</v>
          </cell>
          <cell r="F331">
            <v>23.5</v>
          </cell>
          <cell r="G331">
            <v>22.514328180055845</v>
          </cell>
        </row>
        <row r="332">
          <cell r="E332">
            <v>26.6</v>
          </cell>
          <cell r="F332">
            <v>24.5</v>
          </cell>
          <cell r="G332">
            <v>23.470360724914261</v>
          </cell>
        </row>
        <row r="333">
          <cell r="E333">
            <v>28.6</v>
          </cell>
          <cell r="F333">
            <v>24</v>
          </cell>
          <cell r="G333">
            <v>21.741688210998174</v>
          </cell>
        </row>
        <row r="334">
          <cell r="E334">
            <v>29.8</v>
          </cell>
          <cell r="F334">
            <v>24.6</v>
          </cell>
          <cell r="G334">
            <v>22.122834462404985</v>
          </cell>
        </row>
        <row r="335">
          <cell r="E335">
            <v>30.4</v>
          </cell>
          <cell r="F335">
            <v>25</v>
          </cell>
          <cell r="G335">
            <v>22.480159668280084</v>
          </cell>
        </row>
        <row r="336">
          <cell r="E336">
            <v>30.3</v>
          </cell>
          <cell r="F336">
            <v>25.2</v>
          </cell>
          <cell r="G336">
            <v>22.848226042163287</v>
          </cell>
        </row>
        <row r="337">
          <cell r="E337">
            <v>30.4</v>
          </cell>
          <cell r="F337">
            <v>24.8</v>
          </cell>
          <cell r="G337">
            <v>22.155861844971266</v>
          </cell>
        </row>
        <row r="338">
          <cell r="E338">
            <v>29.9</v>
          </cell>
          <cell r="F338">
            <v>24.8</v>
          </cell>
          <cell r="G338">
            <v>22.397410550137618</v>
          </cell>
        </row>
        <row r="339">
          <cell r="E339">
            <v>29.6</v>
          </cell>
          <cell r="F339">
            <v>24.8</v>
          </cell>
          <cell r="G339">
            <v>22.540866348822316</v>
          </cell>
        </row>
        <row r="340">
          <cell r="E340">
            <v>29.1</v>
          </cell>
          <cell r="F340">
            <v>24.5</v>
          </cell>
          <cell r="G340">
            <v>22.301168385898468</v>
          </cell>
        </row>
        <row r="341">
          <cell r="E341">
            <v>28.4</v>
          </cell>
          <cell r="F341">
            <v>25.2</v>
          </cell>
          <cell r="G341">
            <v>23.718447763009451</v>
          </cell>
        </row>
        <row r="342">
          <cell r="E342">
            <v>25.1</v>
          </cell>
          <cell r="F342">
            <v>23.5</v>
          </cell>
          <cell r="G342">
            <v>22.656888622713407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25.1</v>
          </cell>
          <cell r="G354">
            <v>25.099990844726563</v>
          </cell>
        </row>
        <row r="355">
          <cell r="F355">
            <v>25.099990844726563</v>
          </cell>
          <cell r="G355">
            <v>25.099990844726563</v>
          </cell>
        </row>
        <row r="356">
          <cell r="F356">
            <v>25.099990844726563</v>
          </cell>
          <cell r="G356">
            <v>25.099990844726563</v>
          </cell>
        </row>
        <row r="357">
          <cell r="F357" t="str">
            <v>WXREV</v>
          </cell>
          <cell r="G357">
            <v>25.099990844726563</v>
          </cell>
        </row>
        <row r="358">
          <cell r="F358">
            <v>25.099990844726563</v>
          </cell>
          <cell r="G358">
            <v>25.099990844726563</v>
          </cell>
        </row>
        <row r="359">
          <cell r="F359">
            <v>25.099990844726563</v>
          </cell>
          <cell r="G359">
            <v>25.099990844726563</v>
          </cell>
        </row>
        <row r="360">
          <cell r="F360">
            <v>25.099990844726563</v>
          </cell>
          <cell r="G360">
            <v>25.099990844726563</v>
          </cell>
        </row>
        <row r="361">
          <cell r="F361">
            <v>25.099990844726563</v>
          </cell>
          <cell r="G361">
            <v>25.099990844726563</v>
          </cell>
        </row>
        <row r="362">
          <cell r="F362" t="str">
            <v>FEBRUARI</v>
          </cell>
          <cell r="G362">
            <v>25.099990844726563</v>
          </cell>
        </row>
        <row r="363">
          <cell r="F363">
            <v>25.099990844726563</v>
          </cell>
          <cell r="G363">
            <v>25.099990844726563</v>
          </cell>
        </row>
        <row r="364">
          <cell r="F364" t="str">
            <v>BB</v>
          </cell>
          <cell r="G364" t="str">
            <v>TTD</v>
          </cell>
        </row>
        <row r="365">
          <cell r="F365">
            <v>25.099990844726563</v>
          </cell>
          <cell r="G365">
            <v>25.099990844726563</v>
          </cell>
        </row>
        <row r="366">
          <cell r="E366">
            <v>24.2</v>
          </cell>
          <cell r="F366">
            <v>23.6</v>
          </cell>
          <cell r="G366">
            <v>23.225937351919136</v>
          </cell>
        </row>
        <row r="367">
          <cell r="E367">
            <v>25.1</v>
          </cell>
          <cell r="F367">
            <v>24.2</v>
          </cell>
          <cell r="G367">
            <v>23.700631898461467</v>
          </cell>
        </row>
        <row r="368">
          <cell r="E368">
            <v>27.5</v>
          </cell>
          <cell r="F368">
            <v>24.7</v>
          </cell>
          <cell r="G368">
            <v>23.363695800806138</v>
          </cell>
        </row>
        <row r="369">
          <cell r="E369">
            <v>29</v>
          </cell>
          <cell r="F369">
            <v>24</v>
          </cell>
          <cell r="G369">
            <v>21.541810194989623</v>
          </cell>
        </row>
        <row r="370">
          <cell r="E370">
            <v>29.8</v>
          </cell>
          <cell r="F370">
            <v>24.7</v>
          </cell>
          <cell r="G370">
            <v>22.284488461817968</v>
          </cell>
        </row>
        <row r="371">
          <cell r="E371">
            <v>30.2</v>
          </cell>
          <cell r="F371">
            <v>25</v>
          </cell>
          <cell r="G371">
            <v>22.575500907686056</v>
          </cell>
        </row>
        <row r="372">
          <cell r="E372">
            <v>30.3</v>
          </cell>
          <cell r="F372">
            <v>25.5</v>
          </cell>
          <cell r="G372">
            <v>23.323068469901976</v>
          </cell>
        </row>
        <row r="373">
          <cell r="E373">
            <v>30.5</v>
          </cell>
          <cell r="F373">
            <v>25.4</v>
          </cell>
          <cell r="G373">
            <v>23.073120255376931</v>
          </cell>
        </row>
        <row r="374">
          <cell r="E374">
            <v>29.8</v>
          </cell>
          <cell r="F374">
            <v>25.4</v>
          </cell>
          <cell r="G374">
            <v>23.394590685489504</v>
          </cell>
        </row>
        <row r="375">
          <cell r="E375">
            <v>24</v>
          </cell>
          <cell r="F375">
            <v>23.4</v>
          </cell>
          <cell r="G375">
            <v>23.022986804446777</v>
          </cell>
        </row>
        <row r="376">
          <cell r="E376">
            <v>23.8</v>
          </cell>
          <cell r="F376">
            <v>23.2</v>
          </cell>
          <cell r="G376">
            <v>22.82000049036704</v>
          </cell>
        </row>
        <row r="377">
          <cell r="E377">
            <v>24</v>
          </cell>
          <cell r="F377">
            <v>23.2</v>
          </cell>
          <cell r="G377">
            <v>22.725900467116261</v>
          </cell>
        </row>
        <row r="378">
          <cell r="E378">
            <v>23.8</v>
          </cell>
          <cell r="F378">
            <v>23.2</v>
          </cell>
          <cell r="G378">
            <v>22.82000049036704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23.8</v>
          </cell>
          <cell r="G390">
            <v>23.79998779296875</v>
          </cell>
        </row>
        <row r="391">
          <cell r="F391">
            <v>23.79998779296875</v>
          </cell>
          <cell r="G391">
            <v>23.79998779296875</v>
          </cell>
        </row>
        <row r="392">
          <cell r="F392">
            <v>23.79998779296875</v>
          </cell>
          <cell r="G392">
            <v>23.79998779296875</v>
          </cell>
        </row>
        <row r="393">
          <cell r="F393" t="str">
            <v>WXREV</v>
          </cell>
          <cell r="G393">
            <v>23.79998779296875</v>
          </cell>
        </row>
        <row r="394">
          <cell r="F394">
            <v>23.79998779296875</v>
          </cell>
          <cell r="G394">
            <v>23.79998779296875</v>
          </cell>
        </row>
        <row r="395">
          <cell r="F395">
            <v>23.79998779296875</v>
          </cell>
          <cell r="G395">
            <v>23.79998779296875</v>
          </cell>
        </row>
        <row r="396">
          <cell r="F396">
            <v>23.79998779296875</v>
          </cell>
          <cell r="G396">
            <v>23.79998779296875</v>
          </cell>
        </row>
        <row r="397">
          <cell r="F397">
            <v>23.79998779296875</v>
          </cell>
          <cell r="G397">
            <v>23.79998779296875</v>
          </cell>
        </row>
        <row r="398">
          <cell r="F398" t="str">
            <v>FEBRUARI</v>
          </cell>
          <cell r="G398">
            <v>23.79998779296875</v>
          </cell>
        </row>
        <row r="399">
          <cell r="F399">
            <v>23.79998779296875</v>
          </cell>
          <cell r="G399">
            <v>23.79998779296875</v>
          </cell>
        </row>
        <row r="400">
          <cell r="F400" t="str">
            <v>BB</v>
          </cell>
          <cell r="G400" t="str">
            <v>TTD</v>
          </cell>
        </row>
        <row r="401">
          <cell r="F401">
            <v>23.79998779296875</v>
          </cell>
          <cell r="G401">
            <v>23.79998779296875</v>
          </cell>
        </row>
        <row r="402">
          <cell r="E402">
            <v>24</v>
          </cell>
          <cell r="F402">
            <v>23.2</v>
          </cell>
          <cell r="G402">
            <v>22.725900467116261</v>
          </cell>
        </row>
        <row r="403">
          <cell r="E403">
            <v>25.8</v>
          </cell>
          <cell r="F403">
            <v>24</v>
          </cell>
          <cell r="G403">
            <v>23.084297681296647</v>
          </cell>
        </row>
        <row r="404">
          <cell r="E404">
            <v>27.6</v>
          </cell>
          <cell r="F404">
            <v>24.6</v>
          </cell>
          <cell r="G404">
            <v>23.165015271595813</v>
          </cell>
        </row>
        <row r="405">
          <cell r="E405">
            <v>28.8</v>
          </cell>
          <cell r="F405">
            <v>25.2</v>
          </cell>
          <cell r="G405">
            <v>23.538528861704741</v>
          </cell>
        </row>
        <row r="406">
          <cell r="E406">
            <v>29.6</v>
          </cell>
          <cell r="F406">
            <v>24.6</v>
          </cell>
          <cell r="G406">
            <v>22.219995210731696</v>
          </cell>
        </row>
        <row r="407">
          <cell r="E407">
            <v>30.6</v>
          </cell>
          <cell r="F407">
            <v>24.8</v>
          </cell>
          <cell r="G407">
            <v>22.058366904828024</v>
          </cell>
        </row>
        <row r="408">
          <cell r="E408">
            <v>31.2</v>
          </cell>
          <cell r="F408">
            <v>25.2</v>
          </cell>
          <cell r="G408">
            <v>22.421621048731168</v>
          </cell>
        </row>
        <row r="409">
          <cell r="E409">
            <v>31.6</v>
          </cell>
          <cell r="F409">
            <v>25.9</v>
          </cell>
          <cell r="G409">
            <v>23.362154904731423</v>
          </cell>
        </row>
        <row r="410">
          <cell r="E410">
            <v>30</v>
          </cell>
          <cell r="F410">
            <v>25.2</v>
          </cell>
          <cell r="G410">
            <v>22.988313287442271</v>
          </cell>
        </row>
        <row r="411">
          <cell r="E411">
            <v>29.6</v>
          </cell>
          <cell r="F411">
            <v>25</v>
          </cell>
          <cell r="G411">
            <v>22.858668311959782</v>
          </cell>
        </row>
        <row r="412">
          <cell r="E412">
            <v>28.4</v>
          </cell>
          <cell r="F412">
            <v>24.6</v>
          </cell>
          <cell r="G412">
            <v>22.792662448856582</v>
          </cell>
        </row>
        <row r="413">
          <cell r="E413">
            <v>27.6</v>
          </cell>
          <cell r="F413">
            <v>24.3</v>
          </cell>
          <cell r="G413">
            <v>22.70184305017392</v>
          </cell>
        </row>
        <row r="414">
          <cell r="E414">
            <v>26.4</v>
          </cell>
          <cell r="F414">
            <v>24</v>
          </cell>
          <cell r="G414">
            <v>22.804533908537021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26.4</v>
          </cell>
          <cell r="G426">
            <v>26.399993896484375</v>
          </cell>
        </row>
        <row r="427">
          <cell r="F427">
            <v>26.399993896484375</v>
          </cell>
          <cell r="G427">
            <v>26.399993896484375</v>
          </cell>
        </row>
        <row r="428">
          <cell r="F428">
            <v>26.399993896484375</v>
          </cell>
          <cell r="G428">
            <v>26.399993896484375</v>
          </cell>
        </row>
        <row r="429">
          <cell r="F429" t="str">
            <v>WXREV</v>
          </cell>
          <cell r="G429">
            <v>26.399993896484375</v>
          </cell>
        </row>
        <row r="430">
          <cell r="F430">
            <v>26.399993896484375</v>
          </cell>
          <cell r="G430">
            <v>26.399993896484375</v>
          </cell>
        </row>
        <row r="431">
          <cell r="F431">
            <v>26.399993896484375</v>
          </cell>
          <cell r="G431">
            <v>26.399993896484375</v>
          </cell>
        </row>
        <row r="432">
          <cell r="F432">
            <v>26.399993896484375</v>
          </cell>
          <cell r="G432">
            <v>26.399993896484375</v>
          </cell>
        </row>
        <row r="433">
          <cell r="F433">
            <v>26.399993896484375</v>
          </cell>
          <cell r="G433">
            <v>26.399993896484375</v>
          </cell>
        </row>
        <row r="434">
          <cell r="F434" t="str">
            <v>FEBRUARI</v>
          </cell>
          <cell r="G434">
            <v>26.399993896484375</v>
          </cell>
        </row>
        <row r="435">
          <cell r="F435">
            <v>26.399993896484375</v>
          </cell>
          <cell r="G435">
            <v>26.399993896484375</v>
          </cell>
        </row>
        <row r="436">
          <cell r="F436" t="str">
            <v>BB</v>
          </cell>
          <cell r="G436" t="str">
            <v>TTD</v>
          </cell>
        </row>
        <row r="437">
          <cell r="F437">
            <v>26.399993896484375</v>
          </cell>
          <cell r="G437">
            <v>26.399993896484375</v>
          </cell>
        </row>
        <row r="438">
          <cell r="E438">
            <v>24.2</v>
          </cell>
          <cell r="F438">
            <v>23.4</v>
          </cell>
          <cell r="G438">
            <v>22.929892936995007</v>
          </cell>
        </row>
        <row r="439">
          <cell r="E439">
            <v>25</v>
          </cell>
          <cell r="F439">
            <v>23.6</v>
          </cell>
          <cell r="G439">
            <v>22.854817544971361</v>
          </cell>
        </row>
        <row r="440">
          <cell r="E440">
            <v>25.4</v>
          </cell>
          <cell r="F440">
            <v>23.8</v>
          </cell>
          <cell r="G440">
            <v>22.968814165589823</v>
          </cell>
        </row>
        <row r="441">
          <cell r="E441">
            <v>26.2</v>
          </cell>
          <cell r="F441">
            <v>24.3</v>
          </cell>
          <cell r="G441">
            <v>23.351779975526394</v>
          </cell>
        </row>
        <row r="442">
          <cell r="E442">
            <v>26.4</v>
          </cell>
          <cell r="F442">
            <v>24.4</v>
          </cell>
          <cell r="G442">
            <v>23.41088917767016</v>
          </cell>
        </row>
        <row r="443">
          <cell r="E443">
            <v>27.6</v>
          </cell>
          <cell r="F443">
            <v>25.2</v>
          </cell>
          <cell r="G443">
            <v>24.073265773758312</v>
          </cell>
        </row>
        <row r="444">
          <cell r="E444">
            <v>28.5</v>
          </cell>
          <cell r="F444">
            <v>25.4</v>
          </cell>
          <cell r="G444">
            <v>23.977550847964523</v>
          </cell>
        </row>
        <row r="445">
          <cell r="E445">
            <v>28.8</v>
          </cell>
          <cell r="F445">
            <v>25.6</v>
          </cell>
          <cell r="G445">
            <v>24.148033521051371</v>
          </cell>
        </row>
        <row r="446">
          <cell r="E446">
            <v>28</v>
          </cell>
          <cell r="F446">
            <v>25</v>
          </cell>
          <cell r="G446">
            <v>23.593703811444115</v>
          </cell>
        </row>
        <row r="447">
          <cell r="E447">
            <v>25</v>
          </cell>
          <cell r="F447">
            <v>24</v>
          </cell>
          <cell r="G447">
            <v>23.451002870250118</v>
          </cell>
        </row>
        <row r="448">
          <cell r="E448">
            <v>23.2</v>
          </cell>
          <cell r="F448">
            <v>22.4</v>
          </cell>
          <cell r="G448">
            <v>21.909432598448738</v>
          </cell>
        </row>
        <row r="449">
          <cell r="E449">
            <v>23</v>
          </cell>
          <cell r="F449">
            <v>22.8</v>
          </cell>
          <cell r="G449">
            <v>22.604760645934597</v>
          </cell>
        </row>
        <row r="450">
          <cell r="E450">
            <v>22.6</v>
          </cell>
          <cell r="F450">
            <v>22.6</v>
          </cell>
          <cell r="G450">
            <v>22.499432989537826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22.6</v>
          </cell>
          <cell r="G462">
            <v>22.599990844726563</v>
          </cell>
        </row>
        <row r="463">
          <cell r="F463">
            <v>22.599990844726563</v>
          </cell>
          <cell r="G463">
            <v>22.599990844726563</v>
          </cell>
        </row>
        <row r="464">
          <cell r="F464">
            <v>22.599990844726563</v>
          </cell>
          <cell r="G464">
            <v>22.599990844726563</v>
          </cell>
        </row>
        <row r="465">
          <cell r="F465" t="str">
            <v>WXREV</v>
          </cell>
          <cell r="G465">
            <v>22.599990844726563</v>
          </cell>
        </row>
        <row r="466">
          <cell r="F466">
            <v>22.599990844726563</v>
          </cell>
          <cell r="G466">
            <v>22.599990844726563</v>
          </cell>
        </row>
        <row r="467">
          <cell r="F467">
            <v>22.599990844726563</v>
          </cell>
          <cell r="G467">
            <v>22.599990844726563</v>
          </cell>
        </row>
        <row r="468">
          <cell r="F468">
            <v>22.599990844726563</v>
          </cell>
          <cell r="G468">
            <v>22.599990844726563</v>
          </cell>
        </row>
        <row r="469">
          <cell r="F469">
            <v>22.599990844726563</v>
          </cell>
          <cell r="G469">
            <v>22.599990844726563</v>
          </cell>
        </row>
        <row r="470">
          <cell r="F470" t="str">
            <v>FEBRUARI</v>
          </cell>
          <cell r="G470">
            <v>22.599990844726563</v>
          </cell>
        </row>
        <row r="471">
          <cell r="F471">
            <v>22.599990844726563</v>
          </cell>
          <cell r="G471">
            <v>22.599990844726563</v>
          </cell>
        </row>
        <row r="472">
          <cell r="F472" t="str">
            <v>BB</v>
          </cell>
          <cell r="G472" t="str">
            <v>TTD</v>
          </cell>
        </row>
        <row r="473">
          <cell r="F473">
            <v>22.599990844726563</v>
          </cell>
          <cell r="G473">
            <v>22.599990844726563</v>
          </cell>
        </row>
        <row r="474">
          <cell r="E474">
            <v>22.9</v>
          </cell>
          <cell r="F474">
            <v>22.8</v>
          </cell>
          <cell r="G474">
            <v>22.652170926389957</v>
          </cell>
        </row>
        <row r="475">
          <cell r="E475">
            <v>23.5</v>
          </cell>
          <cell r="F475">
            <v>23.3</v>
          </cell>
          <cell r="G475">
            <v>23.10731106675501</v>
          </cell>
        </row>
        <row r="476">
          <cell r="E476">
            <v>24</v>
          </cell>
          <cell r="F476">
            <v>23.5</v>
          </cell>
          <cell r="G476">
            <v>23.170595097320081</v>
          </cell>
        </row>
        <row r="477">
          <cell r="E477">
            <v>25.2</v>
          </cell>
          <cell r="F477">
            <v>23.8</v>
          </cell>
          <cell r="G477">
            <v>23.061719670002304</v>
          </cell>
        </row>
        <row r="478">
          <cell r="E478">
            <v>27</v>
          </cell>
          <cell r="F478">
            <v>24.2</v>
          </cell>
          <cell r="G478">
            <v>22.829633194937365</v>
          </cell>
        </row>
        <row r="479">
          <cell r="E479">
            <v>28.6</v>
          </cell>
          <cell r="F479">
            <v>25</v>
          </cell>
          <cell r="G479">
            <v>23.321392650725961</v>
          </cell>
        </row>
        <row r="480">
          <cell r="E480">
            <v>30.3</v>
          </cell>
          <cell r="F480">
            <v>25.5</v>
          </cell>
          <cell r="G480">
            <v>23.323068469901976</v>
          </cell>
        </row>
        <row r="481">
          <cell r="E481">
            <v>30.2</v>
          </cell>
          <cell r="F481">
            <v>25.4</v>
          </cell>
          <cell r="G481">
            <v>23.211561155971527</v>
          </cell>
        </row>
        <row r="482">
          <cell r="E482">
            <v>28.6</v>
          </cell>
          <cell r="F482">
            <v>25.6</v>
          </cell>
          <cell r="G482">
            <v>24.235377202799327</v>
          </cell>
        </row>
        <row r="483">
          <cell r="E483">
            <v>28.6</v>
          </cell>
          <cell r="F483">
            <v>25.8</v>
          </cell>
          <cell r="G483">
            <v>24.534901994434403</v>
          </cell>
        </row>
        <row r="484">
          <cell r="E484">
            <v>28</v>
          </cell>
          <cell r="F484">
            <v>25.4</v>
          </cell>
          <cell r="G484">
            <v>24.197102507728658</v>
          </cell>
        </row>
        <row r="485">
          <cell r="E485">
            <v>27.6</v>
          </cell>
          <cell r="F485">
            <v>25.4</v>
          </cell>
          <cell r="G485">
            <v>24.370945495089579</v>
          </cell>
        </row>
        <row r="486">
          <cell r="E486">
            <v>27</v>
          </cell>
          <cell r="F486">
            <v>25</v>
          </cell>
          <cell r="G486">
            <v>24.039070257543216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27</v>
          </cell>
          <cell r="G498">
            <v>27</v>
          </cell>
        </row>
        <row r="499">
          <cell r="F499">
            <v>27</v>
          </cell>
          <cell r="G499">
            <v>27</v>
          </cell>
        </row>
        <row r="500">
          <cell r="F500">
            <v>27</v>
          </cell>
          <cell r="G500">
            <v>27</v>
          </cell>
        </row>
        <row r="501">
          <cell r="F501" t="str">
            <v>WXREV</v>
          </cell>
          <cell r="G501">
            <v>27</v>
          </cell>
        </row>
        <row r="502">
          <cell r="F502">
            <v>27</v>
          </cell>
          <cell r="G502">
            <v>27</v>
          </cell>
        </row>
        <row r="503">
          <cell r="F503">
            <v>27</v>
          </cell>
          <cell r="G503">
            <v>27</v>
          </cell>
        </row>
        <row r="504">
          <cell r="F504">
            <v>27</v>
          </cell>
          <cell r="G504">
            <v>27</v>
          </cell>
        </row>
        <row r="505">
          <cell r="F505">
            <v>27</v>
          </cell>
          <cell r="G505">
            <v>27</v>
          </cell>
        </row>
        <row r="506">
          <cell r="F506" t="str">
            <v>FEBRUARI</v>
          </cell>
          <cell r="G506">
            <v>27</v>
          </cell>
        </row>
        <row r="507">
          <cell r="F507">
            <v>27</v>
          </cell>
          <cell r="G507">
            <v>27</v>
          </cell>
        </row>
        <row r="508">
          <cell r="F508" t="str">
            <v>BB</v>
          </cell>
          <cell r="G508" t="str">
            <v>TTD</v>
          </cell>
        </row>
        <row r="509">
          <cell r="F509">
            <v>27</v>
          </cell>
          <cell r="G509">
            <v>27</v>
          </cell>
        </row>
        <row r="510">
          <cell r="E510">
            <v>23.2</v>
          </cell>
          <cell r="F510">
            <v>23</v>
          </cell>
          <cell r="G510">
            <v>22.805789529148537</v>
          </cell>
        </row>
        <row r="511">
          <cell r="E511">
            <v>23.2</v>
          </cell>
          <cell r="F511">
            <v>23.1</v>
          </cell>
          <cell r="G511">
            <v>22.952960958471188</v>
          </cell>
        </row>
        <row r="512">
          <cell r="E512">
            <v>23.4</v>
          </cell>
          <cell r="F512">
            <v>23.2</v>
          </cell>
          <cell r="G512">
            <v>23.006806764540162</v>
          </cell>
        </row>
        <row r="513">
          <cell r="E513">
            <v>23.4</v>
          </cell>
          <cell r="F513">
            <v>23.2</v>
          </cell>
          <cell r="G513">
            <v>23.006806764540162</v>
          </cell>
        </row>
        <row r="514">
          <cell r="E514">
            <v>24.4</v>
          </cell>
          <cell r="F514">
            <v>23.3</v>
          </cell>
          <cell r="G514">
            <v>22.686634774970017</v>
          </cell>
        </row>
        <row r="515">
          <cell r="E515">
            <v>25.6</v>
          </cell>
          <cell r="F515">
            <v>24</v>
          </cell>
          <cell r="G515">
            <v>23.17664094358928</v>
          </cell>
        </row>
        <row r="516">
          <cell r="E516">
            <v>26.3</v>
          </cell>
          <cell r="F516">
            <v>24.1</v>
          </cell>
          <cell r="G516">
            <v>23.003657859506184</v>
          </cell>
        </row>
        <row r="517">
          <cell r="E517">
            <v>26.9</v>
          </cell>
          <cell r="F517">
            <v>24.6</v>
          </cell>
          <cell r="G517">
            <v>23.4849281634764</v>
          </cell>
        </row>
        <row r="518">
          <cell r="E518">
            <v>27.4</v>
          </cell>
          <cell r="F518">
            <v>24.4</v>
          </cell>
          <cell r="G518">
            <v>22.950390620266091</v>
          </cell>
        </row>
        <row r="519">
          <cell r="E519">
            <v>27.1</v>
          </cell>
          <cell r="F519">
            <v>24.3</v>
          </cell>
          <cell r="G519">
            <v>22.93653381188777</v>
          </cell>
        </row>
        <row r="520">
          <cell r="E520">
            <v>26.6</v>
          </cell>
          <cell r="F520">
            <v>24.3</v>
          </cell>
          <cell r="G520">
            <v>23.168348548456951</v>
          </cell>
        </row>
        <row r="521">
          <cell r="E521">
            <v>26.2</v>
          </cell>
          <cell r="F521">
            <v>24.1</v>
          </cell>
          <cell r="G521">
            <v>23.050083090863829</v>
          </cell>
        </row>
        <row r="522">
          <cell r="E522">
            <v>25.2</v>
          </cell>
          <cell r="F522">
            <v>23.8</v>
          </cell>
          <cell r="G522">
            <v>23.061719670002304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25.2</v>
          </cell>
          <cell r="G534">
            <v>25.199996948242188</v>
          </cell>
        </row>
        <row r="535">
          <cell r="F535">
            <v>25.199996948242188</v>
          </cell>
          <cell r="G535">
            <v>25.199996948242188</v>
          </cell>
        </row>
        <row r="536">
          <cell r="F536">
            <v>25.199996948242188</v>
          </cell>
          <cell r="G536">
            <v>25.199996948242188</v>
          </cell>
        </row>
        <row r="537">
          <cell r="F537" t="str">
            <v>WXREV</v>
          </cell>
          <cell r="G537">
            <v>25.199996948242188</v>
          </cell>
        </row>
        <row r="538">
          <cell r="F538">
            <v>25.199996948242188</v>
          </cell>
          <cell r="G538">
            <v>25.199996948242188</v>
          </cell>
        </row>
        <row r="539">
          <cell r="F539">
            <v>25.199996948242188</v>
          </cell>
          <cell r="G539">
            <v>25.199996948242188</v>
          </cell>
        </row>
        <row r="540">
          <cell r="F540">
            <v>25.199996948242188</v>
          </cell>
          <cell r="G540">
            <v>25.199996948242188</v>
          </cell>
        </row>
        <row r="541">
          <cell r="F541">
            <v>25.199996948242188</v>
          </cell>
          <cell r="G541">
            <v>25.199996948242188</v>
          </cell>
        </row>
        <row r="542">
          <cell r="F542" t="str">
            <v>FEBRUARI</v>
          </cell>
          <cell r="G542">
            <v>25.199996948242188</v>
          </cell>
        </row>
        <row r="543">
          <cell r="F543">
            <v>25.199996948242188</v>
          </cell>
          <cell r="G543">
            <v>25.199996948242188</v>
          </cell>
        </row>
        <row r="544">
          <cell r="F544" t="str">
            <v>BB</v>
          </cell>
          <cell r="G544" t="str">
            <v>TTD</v>
          </cell>
        </row>
        <row r="545">
          <cell r="F545">
            <v>25.199996948242188</v>
          </cell>
          <cell r="G545">
            <v>25.199996948242188</v>
          </cell>
        </row>
        <row r="546">
          <cell r="E546">
            <v>25.2</v>
          </cell>
          <cell r="F546">
            <v>23.6</v>
          </cell>
          <cell r="G546">
            <v>22.760888764461736</v>
          </cell>
        </row>
        <row r="547">
          <cell r="E547">
            <v>26.6</v>
          </cell>
          <cell r="F547">
            <v>24.3</v>
          </cell>
          <cell r="G547">
            <v>23.168348548456951</v>
          </cell>
        </row>
        <row r="548">
          <cell r="E548">
            <v>28.2</v>
          </cell>
          <cell r="F548">
            <v>24.6</v>
          </cell>
          <cell r="G548">
            <v>22.886439940964369</v>
          </cell>
        </row>
        <row r="549">
          <cell r="E549">
            <v>29.6</v>
          </cell>
          <cell r="F549">
            <v>25.4</v>
          </cell>
          <cell r="G549">
            <v>23.485447924589423</v>
          </cell>
        </row>
        <row r="550">
          <cell r="E550">
            <v>29.8</v>
          </cell>
          <cell r="F550">
            <v>25</v>
          </cell>
          <cell r="G550">
            <v>22.764750111093644</v>
          </cell>
        </row>
        <row r="551">
          <cell r="E551">
            <v>30.2</v>
          </cell>
          <cell r="F551">
            <v>25</v>
          </cell>
          <cell r="G551">
            <v>22.575500907686056</v>
          </cell>
        </row>
        <row r="552">
          <cell r="E552">
            <v>30.3</v>
          </cell>
          <cell r="F552">
            <v>26</v>
          </cell>
          <cell r="G552">
            <v>24.100149656934345</v>
          </cell>
        </row>
        <row r="553">
          <cell r="E553">
            <v>30.3</v>
          </cell>
          <cell r="F553">
            <v>26.6</v>
          </cell>
          <cell r="G553">
            <v>25.010651451605227</v>
          </cell>
        </row>
        <row r="554">
          <cell r="E554">
            <v>28.4</v>
          </cell>
          <cell r="F554">
            <v>25.6</v>
          </cell>
          <cell r="G554">
            <v>24.32232363916911</v>
          </cell>
        </row>
        <row r="555">
          <cell r="E555">
            <v>27.3</v>
          </cell>
          <cell r="F555">
            <v>25.3</v>
          </cell>
          <cell r="G555">
            <v>24.352768739538639</v>
          </cell>
        </row>
        <row r="556">
          <cell r="E556">
            <v>25.1</v>
          </cell>
          <cell r="F556">
            <v>24</v>
          </cell>
          <cell r="G556">
            <v>23.405550429464302</v>
          </cell>
        </row>
        <row r="557">
          <cell r="E557">
            <v>24.1</v>
          </cell>
          <cell r="F557">
            <v>23.3</v>
          </cell>
          <cell r="G557">
            <v>22.827902793191438</v>
          </cell>
        </row>
        <row r="558">
          <cell r="E558">
            <v>23.9</v>
          </cell>
          <cell r="F558">
            <v>23.1</v>
          </cell>
          <cell r="G558">
            <v>22.623885870876084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23.9</v>
          </cell>
          <cell r="G570">
            <v>23.899993896484375</v>
          </cell>
        </row>
        <row r="571">
          <cell r="F571">
            <v>23.899993896484375</v>
          </cell>
          <cell r="G571">
            <v>23.899993896484375</v>
          </cell>
        </row>
        <row r="572">
          <cell r="F572">
            <v>23.899993896484375</v>
          </cell>
          <cell r="G572">
            <v>23.899993896484375</v>
          </cell>
        </row>
        <row r="573">
          <cell r="F573" t="str">
            <v>WXREV</v>
          </cell>
          <cell r="G573">
            <v>23.899993896484375</v>
          </cell>
        </row>
        <row r="574">
          <cell r="F574">
            <v>23.899993896484375</v>
          </cell>
          <cell r="G574">
            <v>23.899993896484375</v>
          </cell>
        </row>
        <row r="575">
          <cell r="F575">
            <v>23.899993896484375</v>
          </cell>
          <cell r="G575">
            <v>23.899993896484375</v>
          </cell>
        </row>
        <row r="576">
          <cell r="F576">
            <v>23.899993896484375</v>
          </cell>
          <cell r="G576">
            <v>23.899993896484375</v>
          </cell>
        </row>
        <row r="577">
          <cell r="F577">
            <v>23.899993896484375</v>
          </cell>
          <cell r="G577">
            <v>23.899993896484375</v>
          </cell>
        </row>
        <row r="578">
          <cell r="F578" t="str">
            <v>FEBRUARI</v>
          </cell>
          <cell r="G578">
            <v>23.899993896484375</v>
          </cell>
        </row>
        <row r="579">
          <cell r="F579">
            <v>23.899993896484375</v>
          </cell>
          <cell r="G579">
            <v>23.899993896484375</v>
          </cell>
        </row>
        <row r="580">
          <cell r="F580" t="str">
            <v>BB</v>
          </cell>
          <cell r="G580" t="str">
            <v>TTD</v>
          </cell>
        </row>
        <row r="581">
          <cell r="F581">
            <v>23.899993896484375</v>
          </cell>
          <cell r="G581">
            <v>23.899993896484375</v>
          </cell>
        </row>
        <row r="582">
          <cell r="E582">
            <v>24.2</v>
          </cell>
          <cell r="F582">
            <v>23.8</v>
          </cell>
          <cell r="G582">
            <v>23.519536764728979</v>
          </cell>
        </row>
        <row r="583">
          <cell r="E583">
            <v>25.3</v>
          </cell>
          <cell r="F583">
            <v>24</v>
          </cell>
          <cell r="G583">
            <v>23.314317799816159</v>
          </cell>
        </row>
        <row r="584">
          <cell r="E584">
            <v>27.1</v>
          </cell>
          <cell r="F584">
            <v>24.8</v>
          </cell>
          <cell r="G584">
            <v>23.695807327426095</v>
          </cell>
        </row>
        <row r="585">
          <cell r="E585">
            <v>28.1</v>
          </cell>
          <cell r="F585">
            <v>24.8</v>
          </cell>
          <cell r="G585">
            <v>23.242241452753913</v>
          </cell>
        </row>
        <row r="586">
          <cell r="E586">
            <v>28.9</v>
          </cell>
          <cell r="F586">
            <v>25.2</v>
          </cell>
          <cell r="G586">
            <v>23.493281902389949</v>
          </cell>
        </row>
        <row r="587">
          <cell r="E587">
            <v>31.1</v>
          </cell>
          <cell r="F587">
            <v>25.4</v>
          </cell>
          <cell r="G587">
            <v>22.793163865594536</v>
          </cell>
        </row>
        <row r="588">
          <cell r="E588">
            <v>31.4</v>
          </cell>
          <cell r="F588">
            <v>25.1</v>
          </cell>
          <cell r="G588">
            <v>22.16120399906259</v>
          </cell>
        </row>
        <row r="589">
          <cell r="E589">
            <v>32</v>
          </cell>
          <cell r="F589">
            <v>25.8</v>
          </cell>
          <cell r="G589">
            <v>23.017692396916001</v>
          </cell>
        </row>
        <row r="590">
          <cell r="E590">
            <v>31.2</v>
          </cell>
          <cell r="F590">
            <v>25.2</v>
          </cell>
          <cell r="G590">
            <v>22.421621048731168</v>
          </cell>
        </row>
        <row r="591">
          <cell r="E591">
            <v>27.8</v>
          </cell>
          <cell r="F591">
            <v>25.8</v>
          </cell>
          <cell r="G591">
            <v>24.875038398378631</v>
          </cell>
        </row>
        <row r="592">
          <cell r="E592">
            <v>25.2</v>
          </cell>
          <cell r="F592">
            <v>23</v>
          </cell>
          <cell r="G592">
            <v>21.842217111651138</v>
          </cell>
        </row>
        <row r="593">
          <cell r="E593">
            <v>24.9</v>
          </cell>
          <cell r="F593">
            <v>23.4</v>
          </cell>
          <cell r="G593">
            <v>22.600405815370323</v>
          </cell>
        </row>
        <row r="594">
          <cell r="E594">
            <v>24.4</v>
          </cell>
          <cell r="F594">
            <v>23</v>
          </cell>
          <cell r="G594">
            <v>22.233586565753708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24.4</v>
          </cell>
          <cell r="G606">
            <v>24.399993896484375</v>
          </cell>
        </row>
        <row r="607">
          <cell r="F607">
            <v>24.399993896484375</v>
          </cell>
          <cell r="G607">
            <v>24.399993896484375</v>
          </cell>
        </row>
        <row r="608">
          <cell r="F608">
            <v>24.399993896484375</v>
          </cell>
          <cell r="G608">
            <v>24.399993896484375</v>
          </cell>
        </row>
        <row r="609">
          <cell r="F609" t="str">
            <v>WXREV</v>
          </cell>
          <cell r="G609">
            <v>24.399993896484375</v>
          </cell>
        </row>
        <row r="610">
          <cell r="F610">
            <v>24.399993896484375</v>
          </cell>
          <cell r="G610">
            <v>24.399993896484375</v>
          </cell>
        </row>
        <row r="611">
          <cell r="F611">
            <v>24.399993896484375</v>
          </cell>
          <cell r="G611">
            <v>24.399993896484375</v>
          </cell>
        </row>
        <row r="612">
          <cell r="F612">
            <v>24.399993896484375</v>
          </cell>
          <cell r="G612">
            <v>24.399993896484375</v>
          </cell>
        </row>
        <row r="613">
          <cell r="F613">
            <v>24.399993896484375</v>
          </cell>
          <cell r="G613">
            <v>24.399993896484375</v>
          </cell>
        </row>
        <row r="614">
          <cell r="F614" t="str">
            <v>FEBRUARI</v>
          </cell>
          <cell r="G614">
            <v>24.399993896484375</v>
          </cell>
        </row>
        <row r="615">
          <cell r="F615">
            <v>24.399993896484375</v>
          </cell>
          <cell r="G615">
            <v>24.399993896484375</v>
          </cell>
        </row>
        <row r="616">
          <cell r="F616" t="str">
            <v>BB</v>
          </cell>
          <cell r="G616" t="str">
            <v>TTD</v>
          </cell>
        </row>
        <row r="617">
          <cell r="F617">
            <v>24.399993896484375</v>
          </cell>
          <cell r="G617">
            <v>24.399993896484375</v>
          </cell>
        </row>
        <row r="618">
          <cell r="E618">
            <v>24.6</v>
          </cell>
          <cell r="F618">
            <v>23.6</v>
          </cell>
          <cell r="G618">
            <v>23.041286800704647</v>
          </cell>
        </row>
        <row r="619">
          <cell r="E619">
            <v>25.8</v>
          </cell>
          <cell r="F619">
            <v>24.2</v>
          </cell>
          <cell r="G619">
            <v>23.384370540910407</v>
          </cell>
        </row>
        <row r="620">
          <cell r="E620">
            <v>28</v>
          </cell>
          <cell r="F620">
            <v>25</v>
          </cell>
          <cell r="G620">
            <v>23.593703811444115</v>
          </cell>
        </row>
        <row r="621">
          <cell r="E621">
            <v>28.6</v>
          </cell>
          <cell r="F621">
            <v>24.6</v>
          </cell>
          <cell r="G621">
            <v>22.698417218039328</v>
          </cell>
        </row>
        <row r="622">
          <cell r="E622">
            <v>29</v>
          </cell>
          <cell r="F622">
            <v>25.2</v>
          </cell>
          <cell r="G622">
            <v>23.447926951785295</v>
          </cell>
        </row>
        <row r="623">
          <cell r="E623">
            <v>28</v>
          </cell>
          <cell r="F623">
            <v>25</v>
          </cell>
          <cell r="G623">
            <v>23.593703811444115</v>
          </cell>
        </row>
        <row r="624">
          <cell r="E624">
            <v>26.8</v>
          </cell>
          <cell r="F624">
            <v>24.4</v>
          </cell>
          <cell r="G624">
            <v>23.228029920116789</v>
          </cell>
        </row>
        <row r="625">
          <cell r="E625">
            <v>27.3</v>
          </cell>
          <cell r="F625">
            <v>23.8</v>
          </cell>
          <cell r="G625">
            <v>22.062633819223485</v>
          </cell>
        </row>
        <row r="626">
          <cell r="E626">
            <v>27.6</v>
          </cell>
          <cell r="F626">
            <v>24.2</v>
          </cell>
          <cell r="G626">
            <v>22.546041617755499</v>
          </cell>
        </row>
        <row r="627">
          <cell r="E627">
            <v>27.2</v>
          </cell>
          <cell r="F627">
            <v>24.1</v>
          </cell>
          <cell r="G627">
            <v>22.58062006284025</v>
          </cell>
        </row>
        <row r="628">
          <cell r="E628">
            <v>27.3</v>
          </cell>
          <cell r="F628">
            <v>24.6</v>
          </cell>
          <cell r="G628">
            <v>23.30278174465375</v>
          </cell>
        </row>
        <row r="629">
          <cell r="E629">
            <v>26.3</v>
          </cell>
          <cell r="F629">
            <v>24.1</v>
          </cell>
          <cell r="G629">
            <v>23.003657859506184</v>
          </cell>
        </row>
        <row r="630">
          <cell r="E630">
            <v>25.1</v>
          </cell>
          <cell r="F630">
            <v>23.5</v>
          </cell>
          <cell r="G630">
            <v>22.656888622713407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25.1</v>
          </cell>
          <cell r="G642">
            <v>25.099990844726563</v>
          </cell>
        </row>
        <row r="643">
          <cell r="F643">
            <v>25.099990844726563</v>
          </cell>
          <cell r="G643">
            <v>25.099990844726563</v>
          </cell>
        </row>
        <row r="644">
          <cell r="F644">
            <v>25.099990844726563</v>
          </cell>
          <cell r="G644">
            <v>25.099990844726563</v>
          </cell>
        </row>
        <row r="645">
          <cell r="F645" t="str">
            <v>WXREV</v>
          </cell>
          <cell r="G645">
            <v>25.099990844726563</v>
          </cell>
        </row>
        <row r="646">
          <cell r="F646">
            <v>25.099990844726563</v>
          </cell>
          <cell r="G646">
            <v>25.099990844726563</v>
          </cell>
        </row>
        <row r="647">
          <cell r="F647">
            <v>25.099990844726563</v>
          </cell>
          <cell r="G647">
            <v>25.099990844726563</v>
          </cell>
        </row>
        <row r="648">
          <cell r="F648">
            <v>25.099990844726563</v>
          </cell>
          <cell r="G648">
            <v>25.099990844726563</v>
          </cell>
        </row>
        <row r="649">
          <cell r="F649">
            <v>25.099990844726563</v>
          </cell>
          <cell r="G649">
            <v>25.099990844726563</v>
          </cell>
        </row>
        <row r="650">
          <cell r="F650" t="str">
            <v>FEBRUARI</v>
          </cell>
          <cell r="G650">
            <v>25.099990844726563</v>
          </cell>
        </row>
        <row r="651">
          <cell r="F651">
            <v>25.099990844726563</v>
          </cell>
          <cell r="G651">
            <v>25.099990844726563</v>
          </cell>
        </row>
        <row r="652">
          <cell r="F652" t="str">
            <v>BB</v>
          </cell>
          <cell r="G652" t="str">
            <v>TTD</v>
          </cell>
        </row>
        <row r="653">
          <cell r="F653">
            <v>25.099990844726563</v>
          </cell>
          <cell r="G653">
            <v>25.099990844726563</v>
          </cell>
        </row>
        <row r="654">
          <cell r="E654">
            <v>25.4</v>
          </cell>
          <cell r="F654">
            <v>24.2</v>
          </cell>
          <cell r="G654">
            <v>23.565735043217593</v>
          </cell>
        </row>
        <row r="655">
          <cell r="E655">
            <v>26.2</v>
          </cell>
          <cell r="F655">
            <v>24.2</v>
          </cell>
          <cell r="G655">
            <v>23.201256751926248</v>
          </cell>
        </row>
        <row r="656">
          <cell r="E656">
            <v>27.2</v>
          </cell>
          <cell r="F656">
            <v>24.4</v>
          </cell>
          <cell r="G656">
            <v>23.043390041601409</v>
          </cell>
        </row>
        <row r="657">
          <cell r="E657">
            <v>28.6</v>
          </cell>
          <cell r="F657">
            <v>24</v>
          </cell>
          <cell r="G657">
            <v>21.741688210998174</v>
          </cell>
        </row>
        <row r="658">
          <cell r="E658">
            <v>29</v>
          </cell>
          <cell r="F658">
            <v>24.2</v>
          </cell>
          <cell r="G658">
            <v>21.867237103039482</v>
          </cell>
        </row>
        <row r="659">
          <cell r="E659">
            <v>30.2</v>
          </cell>
          <cell r="F659">
            <v>25.4</v>
          </cell>
          <cell r="G659">
            <v>23.211561155971527</v>
          </cell>
        </row>
        <row r="660">
          <cell r="E660">
            <v>27.6</v>
          </cell>
          <cell r="F660">
            <v>23.6</v>
          </cell>
          <cell r="G660">
            <v>21.595614336629087</v>
          </cell>
        </row>
        <row r="661">
          <cell r="E661">
            <v>28.2</v>
          </cell>
          <cell r="F661">
            <v>24</v>
          </cell>
          <cell r="G661">
            <v>21.939456220143654</v>
          </cell>
        </row>
        <row r="662">
          <cell r="E662">
            <v>28.2</v>
          </cell>
          <cell r="F662">
            <v>24.8</v>
          </cell>
          <cell r="G662">
            <v>23.196283144013933</v>
          </cell>
        </row>
        <row r="663">
          <cell r="E663">
            <v>28.2</v>
          </cell>
          <cell r="F663">
            <v>25</v>
          </cell>
          <cell r="G663">
            <v>23.503366381695525</v>
          </cell>
        </row>
        <row r="664">
          <cell r="E664">
            <v>28.2</v>
          </cell>
          <cell r="F664">
            <v>25</v>
          </cell>
          <cell r="G664">
            <v>23.503366381695525</v>
          </cell>
        </row>
        <row r="665">
          <cell r="E665">
            <v>27.2</v>
          </cell>
          <cell r="F665">
            <v>24.7</v>
          </cell>
          <cell r="G665">
            <v>23.500033572610199</v>
          </cell>
        </row>
        <row r="666">
          <cell r="E666">
            <v>26.8</v>
          </cell>
          <cell r="F666">
            <v>24.6</v>
          </cell>
          <cell r="G666">
            <v>23.530193147412959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26.8</v>
          </cell>
          <cell r="G678">
            <v>26.79998779296875</v>
          </cell>
        </row>
        <row r="679">
          <cell r="F679">
            <v>26.79998779296875</v>
          </cell>
          <cell r="G679">
            <v>26.79998779296875</v>
          </cell>
        </row>
        <row r="680">
          <cell r="F680">
            <v>26.79998779296875</v>
          </cell>
          <cell r="G680">
            <v>26.79998779296875</v>
          </cell>
        </row>
        <row r="681">
          <cell r="F681" t="str">
            <v>WXREV</v>
          </cell>
          <cell r="G681">
            <v>26.79998779296875</v>
          </cell>
        </row>
        <row r="682">
          <cell r="F682">
            <v>26.79998779296875</v>
          </cell>
          <cell r="G682">
            <v>26.79998779296875</v>
          </cell>
        </row>
        <row r="683">
          <cell r="F683">
            <v>26.79998779296875</v>
          </cell>
          <cell r="G683">
            <v>26.79998779296875</v>
          </cell>
        </row>
        <row r="684">
          <cell r="F684">
            <v>26.79998779296875</v>
          </cell>
          <cell r="G684">
            <v>26.79998779296875</v>
          </cell>
        </row>
        <row r="685">
          <cell r="F685">
            <v>26.79998779296875</v>
          </cell>
          <cell r="G685">
            <v>26.79998779296875</v>
          </cell>
        </row>
        <row r="686">
          <cell r="F686" t="str">
            <v>FEBRUARI</v>
          </cell>
          <cell r="G686">
            <v>26.79998779296875</v>
          </cell>
        </row>
        <row r="687">
          <cell r="F687">
            <v>26.79998779296875</v>
          </cell>
          <cell r="G687">
            <v>26.79998779296875</v>
          </cell>
        </row>
        <row r="688">
          <cell r="F688" t="str">
            <v>BB</v>
          </cell>
          <cell r="G688" t="str">
            <v>TTD</v>
          </cell>
        </row>
        <row r="689">
          <cell r="F689">
            <v>26.79998779296875</v>
          </cell>
          <cell r="G689">
            <v>26.79998779296875</v>
          </cell>
        </row>
        <row r="690">
          <cell r="E690">
            <v>25.1</v>
          </cell>
          <cell r="F690">
            <v>23.8</v>
          </cell>
          <cell r="G690">
            <v>23.108002021084449</v>
          </cell>
        </row>
        <row r="691">
          <cell r="E691">
            <v>25.9</v>
          </cell>
          <cell r="F691">
            <v>24.1</v>
          </cell>
          <cell r="G691">
            <v>23.188679845085296</v>
          </cell>
        </row>
        <row r="692">
          <cell r="E692">
            <v>26.7</v>
          </cell>
          <cell r="F692">
            <v>24.6</v>
          </cell>
          <cell r="G692">
            <v>23.575350595291621</v>
          </cell>
        </row>
        <row r="693">
          <cell r="E693">
            <v>27.3</v>
          </cell>
          <cell r="F693">
            <v>25</v>
          </cell>
          <cell r="G693">
            <v>23.906549780904818</v>
          </cell>
        </row>
        <row r="694">
          <cell r="E694">
            <v>28</v>
          </cell>
          <cell r="F694">
            <v>24.4</v>
          </cell>
          <cell r="G694">
            <v>22.668616177039841</v>
          </cell>
        </row>
        <row r="695">
          <cell r="E695">
            <v>28.7</v>
          </cell>
          <cell r="F695">
            <v>24.6</v>
          </cell>
          <cell r="G695">
            <v>22.651117625427016</v>
          </cell>
        </row>
        <row r="696">
          <cell r="E696">
            <v>29.8</v>
          </cell>
          <cell r="F696">
            <v>25.6</v>
          </cell>
          <cell r="G696">
            <v>23.705216804198258</v>
          </cell>
        </row>
        <row r="697">
          <cell r="E697">
            <v>29.6</v>
          </cell>
          <cell r="F697">
            <v>25.6</v>
          </cell>
          <cell r="G697">
            <v>23.79460686035754</v>
          </cell>
        </row>
        <row r="698">
          <cell r="E698">
            <v>29</v>
          </cell>
          <cell r="F698">
            <v>25.6</v>
          </cell>
          <cell r="G698">
            <v>24.060288665251548</v>
          </cell>
        </row>
        <row r="699">
          <cell r="E699">
            <v>28.4</v>
          </cell>
          <cell r="F699">
            <v>25.6</v>
          </cell>
          <cell r="G699">
            <v>24.32232363916911</v>
          </cell>
        </row>
        <row r="700">
          <cell r="E700">
            <v>28.2</v>
          </cell>
          <cell r="F700">
            <v>26</v>
          </cell>
          <cell r="G700">
            <v>25.000196763282311</v>
          </cell>
        </row>
        <row r="701">
          <cell r="E701">
            <v>28</v>
          </cell>
          <cell r="F701">
            <v>26</v>
          </cell>
          <cell r="G701">
            <v>25.083754616146514</v>
          </cell>
        </row>
        <row r="702">
          <cell r="E702">
            <v>27</v>
          </cell>
          <cell r="F702">
            <v>25</v>
          </cell>
          <cell r="G702">
            <v>24.039070257543216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27</v>
          </cell>
          <cell r="G714">
            <v>27</v>
          </cell>
        </row>
        <row r="715">
          <cell r="F715">
            <v>27</v>
          </cell>
          <cell r="G715">
            <v>27</v>
          </cell>
        </row>
        <row r="716">
          <cell r="F716">
            <v>27</v>
          </cell>
          <cell r="G716">
            <v>27</v>
          </cell>
        </row>
        <row r="717">
          <cell r="F717" t="str">
            <v>WXREV</v>
          </cell>
          <cell r="G717">
            <v>27</v>
          </cell>
        </row>
        <row r="718">
          <cell r="F718">
            <v>27</v>
          </cell>
          <cell r="G718">
            <v>27</v>
          </cell>
        </row>
        <row r="719">
          <cell r="F719">
            <v>27</v>
          </cell>
          <cell r="G719">
            <v>27</v>
          </cell>
        </row>
        <row r="720">
          <cell r="F720">
            <v>27</v>
          </cell>
          <cell r="G720">
            <v>27</v>
          </cell>
        </row>
        <row r="721">
          <cell r="F721">
            <v>27</v>
          </cell>
          <cell r="G721">
            <v>27</v>
          </cell>
        </row>
        <row r="722">
          <cell r="F722" t="str">
            <v>FEBRUARI</v>
          </cell>
          <cell r="G722">
            <v>27</v>
          </cell>
        </row>
        <row r="723">
          <cell r="F723">
            <v>27</v>
          </cell>
          <cell r="G723">
            <v>27</v>
          </cell>
        </row>
        <row r="724">
          <cell r="F724" t="str">
            <v>BB</v>
          </cell>
          <cell r="G724" t="str">
            <v>TTD</v>
          </cell>
        </row>
        <row r="725">
          <cell r="F725">
            <v>27</v>
          </cell>
          <cell r="G725">
            <v>27</v>
          </cell>
        </row>
        <row r="726">
          <cell r="E726">
            <v>25</v>
          </cell>
          <cell r="F726">
            <v>23.2</v>
          </cell>
          <cell r="G726">
            <v>22.248227889936057</v>
          </cell>
        </row>
        <row r="727">
          <cell r="E727">
            <v>26.2</v>
          </cell>
          <cell r="F727">
            <v>24</v>
          </cell>
          <cell r="G727">
            <v>22.898249002326494</v>
          </cell>
        </row>
        <row r="728">
          <cell r="E728">
            <v>28</v>
          </cell>
          <cell r="F728">
            <v>24.1</v>
          </cell>
          <cell r="G728">
            <v>22.196453224753469</v>
          </cell>
        </row>
        <row r="729">
          <cell r="E729">
            <v>28.6</v>
          </cell>
          <cell r="F729">
            <v>24.4</v>
          </cell>
          <cell r="G729">
            <v>22.382571693636379</v>
          </cell>
        </row>
        <row r="730">
          <cell r="E730">
            <v>29.6</v>
          </cell>
          <cell r="F730">
            <v>24.8</v>
          </cell>
          <cell r="G730">
            <v>22.540866348822316</v>
          </cell>
        </row>
        <row r="731">
          <cell r="E731">
            <v>29.6</v>
          </cell>
          <cell r="F731">
            <v>24.4</v>
          </cell>
          <cell r="G731">
            <v>21.895953551222608</v>
          </cell>
        </row>
        <row r="732">
          <cell r="E732">
            <v>29.7</v>
          </cell>
          <cell r="F732">
            <v>24.7</v>
          </cell>
          <cell r="G732">
            <v>22.332716175421421</v>
          </cell>
        </row>
        <row r="733">
          <cell r="E733">
            <v>29.8</v>
          </cell>
          <cell r="F733">
            <v>24.6</v>
          </cell>
          <cell r="G733">
            <v>22.122834462404985</v>
          </cell>
        </row>
        <row r="734">
          <cell r="E734">
            <v>29.6</v>
          </cell>
          <cell r="F734">
            <v>25</v>
          </cell>
          <cell r="G734">
            <v>22.858668311959782</v>
          </cell>
        </row>
        <row r="735">
          <cell r="E735">
            <v>28.8</v>
          </cell>
          <cell r="F735">
            <v>25</v>
          </cell>
          <cell r="G735">
            <v>23.229747355809128</v>
          </cell>
        </row>
        <row r="736">
          <cell r="E736">
            <v>27.6</v>
          </cell>
          <cell r="F736">
            <v>25</v>
          </cell>
          <cell r="G736">
            <v>23.773101758937997</v>
          </cell>
        </row>
        <row r="737">
          <cell r="E737">
            <v>27.4</v>
          </cell>
          <cell r="F737">
            <v>25</v>
          </cell>
          <cell r="G737">
            <v>23.862170856686003</v>
          </cell>
        </row>
        <row r="738">
          <cell r="E738">
            <v>27</v>
          </cell>
          <cell r="F738">
            <v>25</v>
          </cell>
          <cell r="G738">
            <v>24.039070257543216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27</v>
          </cell>
          <cell r="G750">
            <v>27</v>
          </cell>
        </row>
        <row r="751">
          <cell r="F751">
            <v>27</v>
          </cell>
          <cell r="G751">
            <v>27</v>
          </cell>
        </row>
        <row r="752">
          <cell r="F752">
            <v>27</v>
          </cell>
          <cell r="G752">
            <v>27</v>
          </cell>
        </row>
        <row r="753">
          <cell r="F753" t="str">
            <v>WXREV</v>
          </cell>
          <cell r="G753">
            <v>27</v>
          </cell>
        </row>
        <row r="754">
          <cell r="F754">
            <v>27</v>
          </cell>
          <cell r="G754">
            <v>27</v>
          </cell>
        </row>
        <row r="755">
          <cell r="F755">
            <v>27</v>
          </cell>
          <cell r="G755">
            <v>27</v>
          </cell>
        </row>
        <row r="756">
          <cell r="F756">
            <v>27</v>
          </cell>
          <cell r="G756">
            <v>27</v>
          </cell>
        </row>
        <row r="757">
          <cell r="F757">
            <v>27</v>
          </cell>
          <cell r="G757">
            <v>27</v>
          </cell>
        </row>
        <row r="758">
          <cell r="F758" t="str">
            <v>FEBRUARI</v>
          </cell>
          <cell r="G758">
            <v>27</v>
          </cell>
        </row>
        <row r="759">
          <cell r="F759">
            <v>27</v>
          </cell>
          <cell r="G759">
            <v>27</v>
          </cell>
        </row>
        <row r="760">
          <cell r="F760" t="str">
            <v>BB</v>
          </cell>
          <cell r="G760" t="str">
            <v>TTD</v>
          </cell>
        </row>
        <row r="761">
          <cell r="F761">
            <v>27</v>
          </cell>
          <cell r="G761">
            <v>27</v>
          </cell>
        </row>
        <row r="762">
          <cell r="E762">
            <v>24.3</v>
          </cell>
          <cell r="F762">
            <v>23.8</v>
          </cell>
          <cell r="G762">
            <v>23.474248808962582</v>
          </cell>
        </row>
        <row r="763">
          <cell r="E763">
            <v>24.6</v>
          </cell>
          <cell r="F763">
            <v>23.3</v>
          </cell>
          <cell r="G763">
            <v>22.591865424441583</v>
          </cell>
        </row>
        <row r="764">
          <cell r="E764">
            <v>23.4</v>
          </cell>
          <cell r="F764">
            <v>22.2</v>
          </cell>
          <cell r="G764">
            <v>21.504939246603684</v>
          </cell>
        </row>
        <row r="765">
          <cell r="E765">
            <v>24.2</v>
          </cell>
          <cell r="F765">
            <v>22.2</v>
          </cell>
          <cell r="G765">
            <v>21.097887675957754</v>
          </cell>
        </row>
        <row r="766">
          <cell r="E766">
            <v>25.4</v>
          </cell>
          <cell r="F766">
            <v>22.8</v>
          </cell>
          <cell r="G766">
            <v>21.429512326033791</v>
          </cell>
        </row>
        <row r="767">
          <cell r="E767">
            <v>28.3</v>
          </cell>
          <cell r="F767">
            <v>24</v>
          </cell>
          <cell r="G767">
            <v>21.890209412669034</v>
          </cell>
        </row>
        <row r="768">
          <cell r="E768">
            <v>29.3</v>
          </cell>
          <cell r="F768">
            <v>24.8</v>
          </cell>
          <cell r="G768">
            <v>22.683239041983249</v>
          </cell>
        </row>
        <row r="769">
          <cell r="E769">
            <v>30.1</v>
          </cell>
          <cell r="F769">
            <v>24.7</v>
          </cell>
          <cell r="G769">
            <v>22.139059056486804</v>
          </cell>
        </row>
        <row r="770">
          <cell r="E770">
            <v>29.7</v>
          </cell>
          <cell r="F770">
            <v>23.8</v>
          </cell>
          <cell r="G770">
            <v>20.851661076617987</v>
          </cell>
        </row>
        <row r="771">
          <cell r="E771">
            <v>29.2</v>
          </cell>
          <cell r="F771">
            <v>24.2</v>
          </cell>
          <cell r="G771">
            <v>21.768231046044811</v>
          </cell>
        </row>
        <row r="772">
          <cell r="E772">
            <v>29</v>
          </cell>
          <cell r="F772">
            <v>24</v>
          </cell>
          <cell r="G772">
            <v>21.541810194989623</v>
          </cell>
        </row>
        <row r="773">
          <cell r="E773">
            <v>27.9</v>
          </cell>
          <cell r="F773">
            <v>23.2</v>
          </cell>
          <cell r="G773">
            <v>20.789959776328534</v>
          </cell>
        </row>
        <row r="774">
          <cell r="E774">
            <v>26.7</v>
          </cell>
          <cell r="F774">
            <v>23</v>
          </cell>
          <cell r="G774">
            <v>21.085601188259545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26.7</v>
          </cell>
          <cell r="G786">
            <v>26.699996948242188</v>
          </cell>
        </row>
        <row r="787">
          <cell r="F787">
            <v>26.699996948242188</v>
          </cell>
          <cell r="G787">
            <v>26.699996948242188</v>
          </cell>
        </row>
        <row r="788">
          <cell r="F788">
            <v>26.699996948242188</v>
          </cell>
          <cell r="G788">
            <v>26.699996948242188</v>
          </cell>
        </row>
        <row r="789">
          <cell r="F789" t="str">
            <v>WXREV</v>
          </cell>
          <cell r="G789">
            <v>26.699996948242188</v>
          </cell>
        </row>
        <row r="790">
          <cell r="F790">
            <v>26.699996948242188</v>
          </cell>
          <cell r="G790">
            <v>26.699996948242188</v>
          </cell>
        </row>
        <row r="791">
          <cell r="F791">
            <v>26.699996948242188</v>
          </cell>
          <cell r="G791">
            <v>26.699996948242188</v>
          </cell>
        </row>
        <row r="792">
          <cell r="F792">
            <v>26.699996948242188</v>
          </cell>
          <cell r="G792">
            <v>26.699996948242188</v>
          </cell>
        </row>
        <row r="793">
          <cell r="F793">
            <v>26.699996948242188</v>
          </cell>
          <cell r="G793">
            <v>26.699996948242188</v>
          </cell>
        </row>
        <row r="794">
          <cell r="F794" t="str">
            <v>FEBRUARI</v>
          </cell>
          <cell r="G794">
            <v>26.699996948242188</v>
          </cell>
        </row>
        <row r="795">
          <cell r="F795">
            <v>26.699996948242188</v>
          </cell>
          <cell r="G795">
            <v>26.699996948242188</v>
          </cell>
        </row>
        <row r="796">
          <cell r="F796" t="str">
            <v>BB</v>
          </cell>
          <cell r="G796" t="str">
            <v>TTD</v>
          </cell>
        </row>
        <row r="797">
          <cell r="F797">
            <v>26.699996948242188</v>
          </cell>
          <cell r="G797">
            <v>26.699996948242188</v>
          </cell>
        </row>
        <row r="798">
          <cell r="E798">
            <v>23.9</v>
          </cell>
          <cell r="F798">
            <v>22.4</v>
          </cell>
          <cell r="G798">
            <v>21.561428519089496</v>
          </cell>
        </row>
        <row r="799">
          <cell r="E799">
            <v>25.4</v>
          </cell>
          <cell r="F799">
            <v>23</v>
          </cell>
          <cell r="G799">
            <v>21.743085824045714</v>
          </cell>
        </row>
        <row r="800">
          <cell r="E800">
            <v>28.2</v>
          </cell>
          <cell r="F800">
            <v>24.8</v>
          </cell>
          <cell r="G800">
            <v>23.196283144013933</v>
          </cell>
        </row>
        <row r="801">
          <cell r="E801">
            <v>29.6</v>
          </cell>
          <cell r="F801">
            <v>24.8</v>
          </cell>
          <cell r="G801">
            <v>22.540866348822316</v>
          </cell>
        </row>
        <row r="802">
          <cell r="E802">
            <v>30.2</v>
          </cell>
          <cell r="F802">
            <v>24.8</v>
          </cell>
          <cell r="G802">
            <v>22.252853752447525</v>
          </cell>
        </row>
        <row r="803">
          <cell r="E803">
            <v>31</v>
          </cell>
          <cell r="F803">
            <v>25.2</v>
          </cell>
          <cell r="G803">
            <v>22.517259298639797</v>
          </cell>
        </row>
        <row r="804">
          <cell r="E804">
            <v>30.8</v>
          </cell>
          <cell r="F804">
            <v>25.2</v>
          </cell>
          <cell r="G804">
            <v>22.612414864747695</v>
          </cell>
        </row>
        <row r="805">
          <cell r="E805">
            <v>30</v>
          </cell>
          <cell r="F805">
            <v>24.8</v>
          </cell>
          <cell r="G805">
            <v>22.34934818078785</v>
          </cell>
        </row>
        <row r="806">
          <cell r="E806">
            <v>29.6</v>
          </cell>
          <cell r="F806">
            <v>24.8</v>
          </cell>
          <cell r="G806">
            <v>22.540866348822316</v>
          </cell>
        </row>
        <row r="807">
          <cell r="E807">
            <v>29.2</v>
          </cell>
          <cell r="F807">
            <v>24.6</v>
          </cell>
          <cell r="G807">
            <v>22.412824160138996</v>
          </cell>
        </row>
        <row r="808">
          <cell r="E808">
            <v>28.8</v>
          </cell>
          <cell r="F808">
            <v>25.2</v>
          </cell>
          <cell r="G808">
            <v>23.538528861704741</v>
          </cell>
        </row>
        <row r="809">
          <cell r="E809">
            <v>27.6</v>
          </cell>
          <cell r="F809">
            <v>24.4</v>
          </cell>
          <cell r="G809">
            <v>22.856931791434171</v>
          </cell>
        </row>
        <row r="810">
          <cell r="E810">
            <v>26.8</v>
          </cell>
          <cell r="F810">
            <v>24.2</v>
          </cell>
          <cell r="G810">
            <v>22.923225481997395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26.8</v>
          </cell>
          <cell r="G822">
            <v>26.79998779296875</v>
          </cell>
        </row>
        <row r="823">
          <cell r="F823">
            <v>26.79998779296875</v>
          </cell>
          <cell r="G823">
            <v>26.79998779296875</v>
          </cell>
        </row>
        <row r="824">
          <cell r="F824">
            <v>26.79998779296875</v>
          </cell>
          <cell r="G824">
            <v>26.79998779296875</v>
          </cell>
        </row>
        <row r="825">
          <cell r="F825" t="str">
            <v>WXREV</v>
          </cell>
          <cell r="G825">
            <v>26.79998779296875</v>
          </cell>
        </row>
        <row r="826">
          <cell r="F826">
            <v>26.79998779296875</v>
          </cell>
          <cell r="G826">
            <v>26.79998779296875</v>
          </cell>
        </row>
        <row r="827">
          <cell r="F827">
            <v>26.79998779296875</v>
          </cell>
          <cell r="G827">
            <v>26.79998779296875</v>
          </cell>
        </row>
        <row r="828">
          <cell r="F828">
            <v>26.79998779296875</v>
          </cell>
          <cell r="G828">
            <v>26.79998779296875</v>
          </cell>
        </row>
        <row r="829">
          <cell r="F829">
            <v>26.79998779296875</v>
          </cell>
          <cell r="G829">
            <v>26.79998779296875</v>
          </cell>
        </row>
        <row r="830">
          <cell r="F830" t="str">
            <v>FEBRUARI</v>
          </cell>
          <cell r="G830">
            <v>26.79998779296875</v>
          </cell>
        </row>
        <row r="831">
          <cell r="F831">
            <v>26.79998779296875</v>
          </cell>
          <cell r="G831">
            <v>26.79998779296875</v>
          </cell>
        </row>
        <row r="832">
          <cell r="F832" t="str">
            <v>BB</v>
          </cell>
          <cell r="G832" t="str">
            <v>TTD</v>
          </cell>
        </row>
        <row r="833">
          <cell r="F833">
            <v>26.79998779296875</v>
          </cell>
          <cell r="G833">
            <v>26.79998779296875</v>
          </cell>
        </row>
        <row r="834">
          <cell r="E834">
            <v>26.6</v>
          </cell>
          <cell r="F834">
            <v>22.6</v>
          </cell>
          <cell r="G834">
            <v>20.485635396168096</v>
          </cell>
        </row>
        <row r="835">
          <cell r="E835">
            <v>27.2</v>
          </cell>
          <cell r="F835">
            <v>23</v>
          </cell>
          <cell r="G835">
            <v>20.826420938155657</v>
          </cell>
        </row>
        <row r="836">
          <cell r="E836">
            <v>28.4</v>
          </cell>
          <cell r="F836">
            <v>23.3</v>
          </cell>
          <cell r="G836">
            <v>20.693902593719162</v>
          </cell>
        </row>
        <row r="837">
          <cell r="E837">
            <v>29</v>
          </cell>
          <cell r="F837">
            <v>23.6</v>
          </cell>
          <cell r="G837">
            <v>20.880823045165641</v>
          </cell>
        </row>
        <row r="838">
          <cell r="E838">
            <v>28.4</v>
          </cell>
          <cell r="F838">
            <v>23.8</v>
          </cell>
          <cell r="G838">
            <v>21.517322869634658</v>
          </cell>
        </row>
        <row r="839">
          <cell r="E839">
            <v>29.4</v>
          </cell>
          <cell r="F839">
            <v>24</v>
          </cell>
          <cell r="G839">
            <v>21.339773119354938</v>
          </cell>
        </row>
        <row r="840">
          <cell r="E840">
            <v>30</v>
          </cell>
          <cell r="F840">
            <v>24.6</v>
          </cell>
          <cell r="G840">
            <v>22.025168782248613</v>
          </cell>
        </row>
        <row r="841">
          <cell r="E841">
            <v>29.8</v>
          </cell>
          <cell r="F841">
            <v>24.8</v>
          </cell>
          <cell r="G841">
            <v>22.445350590029136</v>
          </cell>
        </row>
        <row r="842">
          <cell r="E842">
            <v>29.8</v>
          </cell>
          <cell r="F842">
            <v>25.1</v>
          </cell>
          <cell r="G842">
            <v>22.923312230764488</v>
          </cell>
        </row>
        <row r="843">
          <cell r="E843">
            <v>30</v>
          </cell>
          <cell r="F843">
            <v>24.8</v>
          </cell>
          <cell r="G843">
            <v>22.34934818078785</v>
          </cell>
        </row>
        <row r="844">
          <cell r="E844">
            <v>29.2</v>
          </cell>
          <cell r="F844">
            <v>24</v>
          </cell>
          <cell r="G844">
            <v>21.44106467360707</v>
          </cell>
        </row>
        <row r="845">
          <cell r="E845">
            <v>27.6</v>
          </cell>
          <cell r="F845">
            <v>23.9</v>
          </cell>
          <cell r="G845">
            <v>22.074246678118175</v>
          </cell>
        </row>
        <row r="846">
          <cell r="E846">
            <v>26.4</v>
          </cell>
          <cell r="F846">
            <v>23.8</v>
          </cell>
          <cell r="G846">
            <v>22.497311086300893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26.4</v>
          </cell>
          <cell r="G858">
            <v>26.399993896484375</v>
          </cell>
        </row>
        <row r="859">
          <cell r="F859">
            <v>26.399993896484375</v>
          </cell>
          <cell r="G859">
            <v>26.399993896484375</v>
          </cell>
        </row>
        <row r="860">
          <cell r="F860">
            <v>26.399993896484375</v>
          </cell>
          <cell r="G860">
            <v>26.399993896484375</v>
          </cell>
        </row>
        <row r="861">
          <cell r="F861" t="str">
            <v>WXREV</v>
          </cell>
          <cell r="G861">
            <v>26.399993896484375</v>
          </cell>
        </row>
        <row r="862">
          <cell r="F862">
            <v>26.399993896484375</v>
          </cell>
          <cell r="G862">
            <v>26.399993896484375</v>
          </cell>
        </row>
        <row r="863">
          <cell r="F863">
            <v>26.399993896484375</v>
          </cell>
          <cell r="G863">
            <v>26.399993896484375</v>
          </cell>
        </row>
        <row r="864">
          <cell r="F864">
            <v>26.399993896484375</v>
          </cell>
          <cell r="G864">
            <v>26.399993896484375</v>
          </cell>
        </row>
        <row r="865">
          <cell r="F865">
            <v>26.399993896484375</v>
          </cell>
          <cell r="G865">
            <v>26.399993896484375</v>
          </cell>
        </row>
        <row r="866">
          <cell r="F866" t="str">
            <v>FEBRUARI</v>
          </cell>
          <cell r="G866">
            <v>26.399993896484375</v>
          </cell>
        </row>
        <row r="867">
          <cell r="F867">
            <v>26.399993896484375</v>
          </cell>
          <cell r="G867">
            <v>26.399993896484375</v>
          </cell>
        </row>
        <row r="868">
          <cell r="F868" t="str">
            <v>BB</v>
          </cell>
          <cell r="G868" t="str">
            <v>TTD</v>
          </cell>
        </row>
        <row r="869">
          <cell r="F869">
            <v>26.399993896484375</v>
          </cell>
          <cell r="G869">
            <v>26.399993896484375</v>
          </cell>
        </row>
        <row r="870">
          <cell r="E870">
            <v>25.3</v>
          </cell>
          <cell r="F870">
            <v>22.2</v>
          </cell>
          <cell r="G870">
            <v>20.523258132748641</v>
          </cell>
        </row>
        <row r="871">
          <cell r="E871">
            <v>26.6</v>
          </cell>
          <cell r="F871">
            <v>22.6</v>
          </cell>
          <cell r="G871">
            <v>20.485635396168096</v>
          </cell>
        </row>
        <row r="872">
          <cell r="E872">
            <v>28.4</v>
          </cell>
          <cell r="F872">
            <v>23</v>
          </cell>
          <cell r="G872">
            <v>20.189223465573374</v>
          </cell>
        </row>
        <row r="873">
          <cell r="E873">
            <v>29.2</v>
          </cell>
          <cell r="F873">
            <v>23.2</v>
          </cell>
          <cell r="G873">
            <v>20.097265135038942</v>
          </cell>
        </row>
        <row r="874">
          <cell r="E874">
            <v>30</v>
          </cell>
          <cell r="F874">
            <v>23.8</v>
          </cell>
          <cell r="G874">
            <v>20.694608390520273</v>
          </cell>
        </row>
        <row r="875">
          <cell r="E875">
            <v>29.4</v>
          </cell>
          <cell r="F875">
            <v>24.2</v>
          </cell>
          <cell r="G875">
            <v>21.668699112332721</v>
          </cell>
        </row>
        <row r="876">
          <cell r="E876">
            <v>28</v>
          </cell>
          <cell r="F876">
            <v>24.2</v>
          </cell>
          <cell r="G876">
            <v>22.354583733692817</v>
          </cell>
        </row>
        <row r="877">
          <cell r="E877">
            <v>27.8</v>
          </cell>
          <cell r="F877">
            <v>25</v>
          </cell>
          <cell r="G877">
            <v>23.683614162726549</v>
          </cell>
        </row>
        <row r="878">
          <cell r="E878">
            <v>28.6</v>
          </cell>
          <cell r="F878">
            <v>25</v>
          </cell>
          <cell r="G878">
            <v>23.321392650725961</v>
          </cell>
        </row>
        <row r="879">
          <cell r="E879">
            <v>27.4</v>
          </cell>
          <cell r="F879">
            <v>24.4</v>
          </cell>
          <cell r="G879">
            <v>22.950390620266091</v>
          </cell>
        </row>
        <row r="880">
          <cell r="E880">
            <v>26.8</v>
          </cell>
          <cell r="F880">
            <v>24.6</v>
          </cell>
          <cell r="G880">
            <v>23.530193147412959</v>
          </cell>
        </row>
        <row r="881">
          <cell r="E881">
            <v>26.8</v>
          </cell>
          <cell r="F881">
            <v>24.4</v>
          </cell>
          <cell r="G881">
            <v>23.228029920116789</v>
          </cell>
        </row>
        <row r="882">
          <cell r="E882">
            <v>25.8</v>
          </cell>
          <cell r="F882">
            <v>24.2</v>
          </cell>
          <cell r="G882">
            <v>23.384370540910407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25.8</v>
          </cell>
          <cell r="G894">
            <v>25.79998779296875</v>
          </cell>
        </row>
        <row r="895">
          <cell r="F895">
            <v>25.79998779296875</v>
          </cell>
          <cell r="G895">
            <v>25.79998779296875</v>
          </cell>
        </row>
        <row r="896">
          <cell r="F896">
            <v>25.79998779296875</v>
          </cell>
          <cell r="G896">
            <v>25.79998779296875</v>
          </cell>
        </row>
        <row r="897">
          <cell r="F897" t="str">
            <v>WXREV</v>
          </cell>
          <cell r="G897">
            <v>25.79998779296875</v>
          </cell>
        </row>
        <row r="898">
          <cell r="F898">
            <v>25.79998779296875</v>
          </cell>
          <cell r="G898">
            <v>25.79998779296875</v>
          </cell>
        </row>
        <row r="899">
          <cell r="F899">
            <v>25.79998779296875</v>
          </cell>
          <cell r="G899">
            <v>25.79998779296875</v>
          </cell>
        </row>
        <row r="900">
          <cell r="F900">
            <v>25.79998779296875</v>
          </cell>
          <cell r="G900">
            <v>25.79998779296875</v>
          </cell>
        </row>
        <row r="901">
          <cell r="F901">
            <v>25.79998779296875</v>
          </cell>
          <cell r="G901">
            <v>25.79998779296875</v>
          </cell>
        </row>
        <row r="902">
          <cell r="F902" t="str">
            <v>FEBRUARI</v>
          </cell>
          <cell r="G902">
            <v>25.79998779296875</v>
          </cell>
        </row>
        <row r="903">
          <cell r="F903">
            <v>25.79998779296875</v>
          </cell>
          <cell r="G903">
            <v>25.79998779296875</v>
          </cell>
        </row>
        <row r="904">
          <cell r="F904" t="str">
            <v>BB</v>
          </cell>
          <cell r="G904" t="str">
            <v>TTD</v>
          </cell>
        </row>
        <row r="905">
          <cell r="F905">
            <v>25.79998779296875</v>
          </cell>
          <cell r="G905">
            <v>25.79998779296875</v>
          </cell>
        </row>
        <row r="906">
          <cell r="E906">
            <v>24.6</v>
          </cell>
          <cell r="F906">
            <v>22.8</v>
          </cell>
          <cell r="G906">
            <v>21.829495781399554</v>
          </cell>
        </row>
        <row r="907">
          <cell r="E907">
            <v>26.7</v>
          </cell>
          <cell r="F907">
            <v>23</v>
          </cell>
          <cell r="G907">
            <v>21.085601188259545</v>
          </cell>
        </row>
        <row r="908">
          <cell r="E908">
            <v>28.5</v>
          </cell>
          <cell r="F908">
            <v>23.4</v>
          </cell>
          <cell r="G908">
            <v>20.808139383747161</v>
          </cell>
        </row>
        <row r="909">
          <cell r="E909">
            <v>29.6</v>
          </cell>
          <cell r="F909">
            <v>24.2</v>
          </cell>
          <cell r="G909">
            <v>21.568635253270578</v>
          </cell>
        </row>
        <row r="910">
          <cell r="E910">
            <v>30.4</v>
          </cell>
          <cell r="F910">
            <v>23.9</v>
          </cell>
          <cell r="G910">
            <v>20.654482565786164</v>
          </cell>
        </row>
        <row r="911">
          <cell r="E911">
            <v>31.1</v>
          </cell>
          <cell r="F911">
            <v>25</v>
          </cell>
          <cell r="G911">
            <v>22.142612870489575</v>
          </cell>
        </row>
        <row r="912">
          <cell r="E912">
            <v>31.3</v>
          </cell>
          <cell r="F912">
            <v>25.1</v>
          </cell>
          <cell r="G912">
            <v>22.209749633065176</v>
          </cell>
        </row>
        <row r="913">
          <cell r="E913">
            <v>30.6</v>
          </cell>
          <cell r="F913">
            <v>25</v>
          </cell>
          <cell r="G913">
            <v>22.384333702710158</v>
          </cell>
        </row>
        <row r="914">
          <cell r="E914">
            <v>30</v>
          </cell>
          <cell r="F914">
            <v>25</v>
          </cell>
          <cell r="G914">
            <v>22.670362668359488</v>
          </cell>
        </row>
        <row r="915">
          <cell r="E915">
            <v>26.4</v>
          </cell>
          <cell r="F915">
            <v>24</v>
          </cell>
          <cell r="G915">
            <v>22.804533908537021</v>
          </cell>
        </row>
        <row r="916">
          <cell r="E916">
            <v>25.4</v>
          </cell>
          <cell r="F916">
            <v>23.6</v>
          </cell>
          <cell r="G916">
            <v>22.666490581585112</v>
          </cell>
        </row>
        <row r="917">
          <cell r="E917">
            <v>24.4</v>
          </cell>
          <cell r="F917">
            <v>23</v>
          </cell>
          <cell r="G917">
            <v>22.233586565753708</v>
          </cell>
        </row>
        <row r="918">
          <cell r="E918">
            <v>23.8</v>
          </cell>
          <cell r="F918">
            <v>23.4</v>
          </cell>
          <cell r="G918">
            <v>23.115625074420976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23.8</v>
          </cell>
          <cell r="G930">
            <v>23.79998779296875</v>
          </cell>
        </row>
        <row r="931">
          <cell r="F931">
            <v>23.79998779296875</v>
          </cell>
          <cell r="G931">
            <v>23.79998779296875</v>
          </cell>
        </row>
        <row r="932">
          <cell r="F932">
            <v>23.79998779296875</v>
          </cell>
          <cell r="G932">
            <v>23.79998779296875</v>
          </cell>
        </row>
        <row r="933">
          <cell r="F933" t="str">
            <v>WXREV</v>
          </cell>
          <cell r="G933">
            <v>23.79998779296875</v>
          </cell>
        </row>
        <row r="934">
          <cell r="F934">
            <v>23.79998779296875</v>
          </cell>
          <cell r="G934">
            <v>23.79998779296875</v>
          </cell>
        </row>
        <row r="935">
          <cell r="F935">
            <v>23.79998779296875</v>
          </cell>
          <cell r="G935">
            <v>23.79998779296875</v>
          </cell>
        </row>
        <row r="936">
          <cell r="F936">
            <v>23.79998779296875</v>
          </cell>
          <cell r="G936">
            <v>23.79998779296875</v>
          </cell>
        </row>
        <row r="937">
          <cell r="F937">
            <v>23.79998779296875</v>
          </cell>
          <cell r="G937">
            <v>23.79998779296875</v>
          </cell>
        </row>
        <row r="938">
          <cell r="F938" t="str">
            <v>FEBRUARI</v>
          </cell>
          <cell r="G938">
            <v>23.79998779296875</v>
          </cell>
        </row>
        <row r="939">
          <cell r="F939">
            <v>23.79998779296875</v>
          </cell>
          <cell r="G939">
            <v>23.79998779296875</v>
          </cell>
        </row>
        <row r="940">
          <cell r="F940" t="str">
            <v>BB</v>
          </cell>
          <cell r="G940" t="str">
            <v>TTD</v>
          </cell>
        </row>
        <row r="941">
          <cell r="F941">
            <v>23.79998779296875</v>
          </cell>
          <cell r="G941">
            <v>23.79998779296875</v>
          </cell>
        </row>
        <row r="942">
          <cell r="E942">
            <v>24.1</v>
          </cell>
          <cell r="F942">
            <v>22.3</v>
          </cell>
          <cell r="G942">
            <v>21.305398672948787</v>
          </cell>
        </row>
        <row r="943">
          <cell r="E943">
            <v>25.5</v>
          </cell>
          <cell r="F943">
            <v>23.8</v>
          </cell>
          <cell r="G943">
            <v>22.922189807747518</v>
          </cell>
        </row>
        <row r="944">
          <cell r="E944">
            <v>26.5</v>
          </cell>
          <cell r="F944">
            <v>24.7</v>
          </cell>
          <cell r="G944">
            <v>23.814403752179942</v>
          </cell>
        </row>
        <row r="945">
          <cell r="E945">
            <v>29</v>
          </cell>
          <cell r="F945">
            <v>24.9</v>
          </cell>
          <cell r="G945">
            <v>22.981462246956188</v>
          </cell>
        </row>
        <row r="946">
          <cell r="E946">
            <v>30</v>
          </cell>
          <cell r="F946">
            <v>24.8</v>
          </cell>
          <cell r="G946">
            <v>22.34934818078785</v>
          </cell>
        </row>
        <row r="947">
          <cell r="E947">
            <v>30.4</v>
          </cell>
          <cell r="F947">
            <v>24.5</v>
          </cell>
          <cell r="G947">
            <v>21.663260375206157</v>
          </cell>
        </row>
        <row r="948">
          <cell r="E948">
            <v>31</v>
          </cell>
          <cell r="F948">
            <v>24</v>
          </cell>
          <cell r="G948">
            <v>20.508989309109545</v>
          </cell>
        </row>
        <row r="949">
          <cell r="E949">
            <v>30.8</v>
          </cell>
          <cell r="F949">
            <v>25.6</v>
          </cell>
          <cell r="G949">
            <v>23.251853221643302</v>
          </cell>
        </row>
        <row r="950">
          <cell r="E950">
            <v>29</v>
          </cell>
          <cell r="F950">
            <v>25.4</v>
          </cell>
          <cell r="G950">
            <v>23.755443039226666</v>
          </cell>
        </row>
        <row r="951">
          <cell r="E951">
            <v>28.4</v>
          </cell>
          <cell r="F951">
            <v>25.4</v>
          </cell>
          <cell r="G951">
            <v>24.021663637150674</v>
          </cell>
        </row>
        <row r="952">
          <cell r="E952">
            <v>27.2</v>
          </cell>
          <cell r="F952">
            <v>25</v>
          </cell>
          <cell r="G952">
            <v>23.950825647173037</v>
          </cell>
        </row>
        <row r="953">
          <cell r="E953">
            <v>27</v>
          </cell>
          <cell r="F953">
            <v>25</v>
          </cell>
          <cell r="G953">
            <v>24.039070257543216</v>
          </cell>
        </row>
        <row r="954">
          <cell r="E954">
            <v>26.4</v>
          </cell>
          <cell r="F954">
            <v>24.6</v>
          </cell>
          <cell r="G954">
            <v>23.710183186275557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26.4</v>
          </cell>
          <cell r="G966">
            <v>26.399993896484375</v>
          </cell>
        </row>
        <row r="967">
          <cell r="F967">
            <v>26.399993896484375</v>
          </cell>
          <cell r="G967">
            <v>26.399993896484375</v>
          </cell>
        </row>
        <row r="968">
          <cell r="F968">
            <v>26.399993896484375</v>
          </cell>
          <cell r="G968">
            <v>26.399993896484375</v>
          </cell>
        </row>
        <row r="969">
          <cell r="F969" t="str">
            <v>WXREV</v>
          </cell>
          <cell r="G969">
            <v>26.399993896484375</v>
          </cell>
        </row>
        <row r="970">
          <cell r="F970">
            <v>26.399993896484375</v>
          </cell>
          <cell r="G970">
            <v>26.399993896484375</v>
          </cell>
        </row>
        <row r="971">
          <cell r="F971">
            <v>26.399993896484375</v>
          </cell>
          <cell r="G971">
            <v>26.399993896484375</v>
          </cell>
        </row>
        <row r="972">
          <cell r="F972">
            <v>26.399993896484375</v>
          </cell>
          <cell r="G972">
            <v>26.399993896484375</v>
          </cell>
        </row>
        <row r="973">
          <cell r="F973">
            <v>26.399993896484375</v>
          </cell>
          <cell r="G973">
            <v>26.399993896484375</v>
          </cell>
        </row>
        <row r="974">
          <cell r="F974" t="str">
            <v>FEBRUARI</v>
          </cell>
          <cell r="G974">
            <v>26.399993896484375</v>
          </cell>
        </row>
        <row r="975">
          <cell r="F975">
            <v>26.399993896484375</v>
          </cell>
          <cell r="G975">
            <v>26.399993896484375</v>
          </cell>
        </row>
        <row r="976">
          <cell r="F976" t="str">
            <v>BB</v>
          </cell>
          <cell r="G976" t="str">
            <v>TTD</v>
          </cell>
        </row>
        <row r="977">
          <cell r="F977">
            <v>26.399993896484375</v>
          </cell>
          <cell r="G977">
            <v>26.399993896484375</v>
          </cell>
        </row>
        <row r="978">
          <cell r="E978">
            <v>25.2</v>
          </cell>
          <cell r="F978">
            <v>23.8</v>
          </cell>
          <cell r="G978">
            <v>23.061719670002304</v>
          </cell>
        </row>
        <row r="979">
          <cell r="E979">
            <v>26.4</v>
          </cell>
          <cell r="F979">
            <v>24.2</v>
          </cell>
          <cell r="G979">
            <v>23.109032442757304</v>
          </cell>
        </row>
        <row r="980">
          <cell r="E980">
            <v>28</v>
          </cell>
          <cell r="F980">
            <v>24.6</v>
          </cell>
          <cell r="G980">
            <v>22.979754663101517</v>
          </cell>
        </row>
        <row r="981">
          <cell r="E981">
            <v>29.2</v>
          </cell>
          <cell r="F981">
            <v>25.2</v>
          </cell>
          <cell r="G981">
            <v>23.356890846549941</v>
          </cell>
        </row>
        <row r="982">
          <cell r="E982">
            <v>30</v>
          </cell>
          <cell r="F982">
            <v>25.8</v>
          </cell>
          <cell r="G982">
            <v>23.924726871474732</v>
          </cell>
        </row>
        <row r="983">
          <cell r="E983">
            <v>29.2</v>
          </cell>
          <cell r="F983">
            <v>25</v>
          </cell>
          <cell r="G983">
            <v>23.045116879889999</v>
          </cell>
        </row>
        <row r="984">
          <cell r="E984">
            <v>29.6</v>
          </cell>
          <cell r="F984">
            <v>25.1</v>
          </cell>
          <cell r="G984">
            <v>23.016448789361732</v>
          </cell>
        </row>
        <row r="985">
          <cell r="E985">
            <v>29.3</v>
          </cell>
          <cell r="F985">
            <v>25.2</v>
          </cell>
          <cell r="G985">
            <v>23.311208565766815</v>
          </cell>
        </row>
        <row r="986">
          <cell r="E986">
            <v>29</v>
          </cell>
          <cell r="F986">
            <v>24.1</v>
          </cell>
          <cell r="G986">
            <v>21.704934170691413</v>
          </cell>
        </row>
        <row r="987">
          <cell r="E987">
            <v>27.7</v>
          </cell>
          <cell r="F987">
            <v>24.2</v>
          </cell>
          <cell r="G987">
            <v>22.498359192841523</v>
          </cell>
        </row>
        <row r="988">
          <cell r="E988">
            <v>27.5</v>
          </cell>
          <cell r="F988">
            <v>24.8</v>
          </cell>
          <cell r="G988">
            <v>23.51567808679572</v>
          </cell>
        </row>
        <row r="989">
          <cell r="E989">
            <v>26.8</v>
          </cell>
          <cell r="F989">
            <v>24.2</v>
          </cell>
          <cell r="G989">
            <v>22.923225481997395</v>
          </cell>
        </row>
        <row r="990">
          <cell r="E990">
            <v>26.3</v>
          </cell>
          <cell r="F990">
            <v>24</v>
          </cell>
          <cell r="G990">
            <v>22.851449529512763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26.3</v>
          </cell>
          <cell r="G1002">
            <v>26.29998779296875</v>
          </cell>
        </row>
        <row r="1003">
          <cell r="F1003">
            <v>26.29998779296875</v>
          </cell>
          <cell r="G1003">
            <v>26.29998779296875</v>
          </cell>
        </row>
        <row r="1004">
          <cell r="F1004">
            <v>26.29998779296875</v>
          </cell>
          <cell r="G1004">
            <v>26.29998779296875</v>
          </cell>
        </row>
        <row r="1005">
          <cell r="F1005" t="str">
            <v>WXREV</v>
          </cell>
          <cell r="G1005">
            <v>26.29998779296875</v>
          </cell>
        </row>
        <row r="1006">
          <cell r="F1006">
            <v>26.29998779296875</v>
          </cell>
          <cell r="G1006">
            <v>26.29998779296875</v>
          </cell>
        </row>
        <row r="1007">
          <cell r="F1007">
            <v>26.29998779296875</v>
          </cell>
          <cell r="G1007">
            <v>26.29998779296875</v>
          </cell>
        </row>
        <row r="1008">
          <cell r="F1008">
            <v>26.29998779296875</v>
          </cell>
          <cell r="G1008">
            <v>26.29998779296875</v>
          </cell>
        </row>
        <row r="1009">
          <cell r="F1009">
            <v>26.29998779296875</v>
          </cell>
          <cell r="G1009">
            <v>26.29998779296875</v>
          </cell>
        </row>
        <row r="1010">
          <cell r="F1010" t="str">
            <v>FEBRUARI</v>
          </cell>
          <cell r="G1010">
            <v>26.29998779296875</v>
          </cell>
        </row>
        <row r="1011">
          <cell r="F1011">
            <v>26.29998779296875</v>
          </cell>
          <cell r="G1011">
            <v>26.29998779296875</v>
          </cell>
        </row>
        <row r="1012">
          <cell r="F1012" t="str">
            <v>BB</v>
          </cell>
          <cell r="G1012" t="str">
            <v>TTD</v>
          </cell>
        </row>
        <row r="1013">
          <cell r="F1013">
            <v>26.29998779296875</v>
          </cell>
          <cell r="G1013">
            <v>26.29998779296875</v>
          </cell>
        </row>
        <row r="1014">
          <cell r="F1014">
            <v>22.4</v>
          </cell>
          <cell r="G1014">
            <v>21.206827006453103</v>
          </cell>
        </row>
        <row r="1015">
          <cell r="F1015">
            <v>21.206817626953125</v>
          </cell>
          <cell r="G1015">
            <v>-0.10045269760431656</v>
          </cell>
        </row>
        <row r="1016">
          <cell r="F1016">
            <v>-0.10045266151428223</v>
          </cell>
          <cell r="G1016">
            <v>-0.10045269760431656</v>
          </cell>
        </row>
        <row r="1017">
          <cell r="F1017">
            <v>-0.10045266151428223</v>
          </cell>
          <cell r="G1017">
            <v>-0.10045269760431656</v>
          </cell>
        </row>
        <row r="1018">
          <cell r="F1018">
            <v>-0.10045266151428223</v>
          </cell>
          <cell r="G1018">
            <v>-0.10045269760431656</v>
          </cell>
        </row>
        <row r="1019">
          <cell r="F1019">
            <v>-0.10045266151428223</v>
          </cell>
          <cell r="G1019">
            <v>-0.10045269760431656</v>
          </cell>
        </row>
        <row r="1020">
          <cell r="F1020">
            <v>-0.10045266151428223</v>
          </cell>
          <cell r="G1020">
            <v>-0.10045269760431656</v>
          </cell>
        </row>
        <row r="1021">
          <cell r="F1021">
            <v>-0.10045266151428223</v>
          </cell>
          <cell r="G1021">
            <v>-0.10045269760431656</v>
          </cell>
        </row>
        <row r="1022">
          <cell r="F1022">
            <v>-0.10045266151428223</v>
          </cell>
          <cell r="G1022">
            <v>-0.10045269760431656</v>
          </cell>
        </row>
        <row r="1023">
          <cell r="F1023">
            <v>-0.10045266151428223</v>
          </cell>
          <cell r="G1023">
            <v>-0.10045269760431656</v>
          </cell>
        </row>
        <row r="1024">
          <cell r="F1024">
            <v>-0.10045266151428223</v>
          </cell>
          <cell r="G1024">
            <v>-0.10045269760431656</v>
          </cell>
        </row>
        <row r="1025">
          <cell r="F1025">
            <v>-0.10045266151428223</v>
          </cell>
          <cell r="G1025">
            <v>-0.10045269760431656</v>
          </cell>
        </row>
        <row r="1026">
          <cell r="F1026">
            <v>-0.10045266151428223</v>
          </cell>
          <cell r="G1026">
            <v>-0.10045269760431656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0</v>
          </cell>
          <cell r="G1038">
            <v>0</v>
          </cell>
        </row>
        <row r="1039">
          <cell r="F1039">
            <v>0</v>
          </cell>
          <cell r="G1039">
            <v>0</v>
          </cell>
        </row>
        <row r="1040">
          <cell r="F1040">
            <v>0</v>
          </cell>
          <cell r="G1040">
            <v>0</v>
          </cell>
        </row>
        <row r="1041">
          <cell r="F1041" t="str">
            <v>WXREV</v>
          </cell>
          <cell r="G1041">
            <v>0</v>
          </cell>
        </row>
        <row r="1042">
          <cell r="F1042">
            <v>0</v>
          </cell>
          <cell r="G1042">
            <v>0</v>
          </cell>
        </row>
        <row r="1043">
          <cell r="F1043">
            <v>0</v>
          </cell>
          <cell r="G1043">
            <v>0</v>
          </cell>
        </row>
        <row r="1044">
          <cell r="F1044">
            <v>0</v>
          </cell>
          <cell r="G1044">
            <v>0</v>
          </cell>
        </row>
        <row r="1045">
          <cell r="F1045">
            <v>0</v>
          </cell>
          <cell r="G1045">
            <v>0</v>
          </cell>
        </row>
        <row r="1046">
          <cell r="F1046" t="str">
            <v>FEBRUARI</v>
          </cell>
          <cell r="G1046">
            <v>0</v>
          </cell>
        </row>
        <row r="1047">
          <cell r="F1047">
            <v>0</v>
          </cell>
          <cell r="G1047">
            <v>0</v>
          </cell>
        </row>
        <row r="1048">
          <cell r="F1048" t="str">
            <v>BB</v>
          </cell>
          <cell r="G1048" t="str">
            <v>TTD</v>
          </cell>
        </row>
        <row r="1049">
          <cell r="F1049">
            <v>0</v>
          </cell>
          <cell r="G1049">
            <v>0</v>
          </cell>
        </row>
        <row r="1050">
          <cell r="F1050">
            <v>0</v>
          </cell>
          <cell r="G1050">
            <v>-0.10045269760431656</v>
          </cell>
        </row>
        <row r="1051">
          <cell r="F1051">
            <v>-0.10045266151428223</v>
          </cell>
          <cell r="G1051">
            <v>-0.10045269760431656</v>
          </cell>
        </row>
        <row r="1052">
          <cell r="F1052">
            <v>-0.10045266151428223</v>
          </cell>
          <cell r="G1052">
            <v>-0.10045269760431656</v>
          </cell>
        </row>
        <row r="1053">
          <cell r="F1053">
            <v>-0.10045266151428223</v>
          </cell>
          <cell r="G1053">
            <v>-0.10045269760431656</v>
          </cell>
        </row>
        <row r="1054">
          <cell r="F1054">
            <v>-0.10045266151428223</v>
          </cell>
          <cell r="G1054">
            <v>-0.10045269760431656</v>
          </cell>
        </row>
        <row r="1055">
          <cell r="F1055">
            <v>-0.10045266151428223</v>
          </cell>
          <cell r="G1055">
            <v>-0.10045269760431656</v>
          </cell>
        </row>
        <row r="1056">
          <cell r="F1056">
            <v>-0.10045266151428223</v>
          </cell>
          <cell r="G1056">
            <v>-0.10045269760431656</v>
          </cell>
        </row>
        <row r="1057">
          <cell r="F1057">
            <v>-0.10045266151428223</v>
          </cell>
          <cell r="G1057">
            <v>-0.10045269760431656</v>
          </cell>
        </row>
        <row r="1058">
          <cell r="F1058">
            <v>-0.10045266151428223</v>
          </cell>
          <cell r="G1058">
            <v>-0.10045269760431656</v>
          </cell>
        </row>
        <row r="1059">
          <cell r="F1059">
            <v>-0.10045266151428223</v>
          </cell>
          <cell r="G1059">
            <v>-0.10045269760431656</v>
          </cell>
        </row>
        <row r="1060">
          <cell r="F1060">
            <v>-0.10045266151428223</v>
          </cell>
          <cell r="G1060">
            <v>-0.10045269760431656</v>
          </cell>
        </row>
        <row r="1061">
          <cell r="F1061">
            <v>-0.10045266151428223</v>
          </cell>
          <cell r="G1061">
            <v>-0.10045269760431656</v>
          </cell>
        </row>
        <row r="1062">
          <cell r="F1062">
            <v>-0.10045266151428223</v>
          </cell>
          <cell r="G1062">
            <v>-0.10045269760431656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0</v>
          </cell>
          <cell r="G1074">
            <v>0</v>
          </cell>
        </row>
        <row r="1075">
          <cell r="F1075">
            <v>0</v>
          </cell>
          <cell r="G1075">
            <v>0</v>
          </cell>
        </row>
        <row r="1076">
          <cell r="F1076">
            <v>0</v>
          </cell>
          <cell r="G1076">
            <v>0</v>
          </cell>
        </row>
        <row r="1077">
          <cell r="F1077" t="str">
            <v>WXREV</v>
          </cell>
          <cell r="G1077">
            <v>0</v>
          </cell>
        </row>
        <row r="1078">
          <cell r="F1078">
            <v>0</v>
          </cell>
          <cell r="G1078">
            <v>0</v>
          </cell>
        </row>
        <row r="1079">
          <cell r="F1079">
            <v>0</v>
          </cell>
          <cell r="G1079">
            <v>0</v>
          </cell>
        </row>
        <row r="1080">
          <cell r="F1080">
            <v>0</v>
          </cell>
          <cell r="G1080">
            <v>0</v>
          </cell>
        </row>
        <row r="1081">
          <cell r="F1081">
            <v>0</v>
          </cell>
          <cell r="G1081">
            <v>0</v>
          </cell>
        </row>
        <row r="1082">
          <cell r="F1082" t="str">
            <v>FEBRUARI</v>
          </cell>
          <cell r="G1082">
            <v>0</v>
          </cell>
        </row>
        <row r="1083">
          <cell r="F1083">
            <v>0</v>
          </cell>
          <cell r="G1083">
            <v>0</v>
          </cell>
        </row>
        <row r="1084">
          <cell r="F1084" t="str">
            <v>BB</v>
          </cell>
          <cell r="G1084" t="str">
            <v>TTD</v>
          </cell>
        </row>
        <row r="1085">
          <cell r="F1085">
            <v>0</v>
          </cell>
          <cell r="G1085">
            <v>0</v>
          </cell>
        </row>
        <row r="1086">
          <cell r="F1086">
            <v>0</v>
          </cell>
          <cell r="G1086">
            <v>-0.10045269760431656</v>
          </cell>
        </row>
        <row r="1087">
          <cell r="F1087">
            <v>-0.10045266151428223</v>
          </cell>
          <cell r="G1087">
            <v>-0.10045269760431656</v>
          </cell>
        </row>
        <row r="1088">
          <cell r="F1088">
            <v>-0.10045266151428223</v>
          </cell>
          <cell r="G1088">
            <v>-0.10045269760431656</v>
          </cell>
        </row>
        <row r="1089">
          <cell r="F1089">
            <v>-0.10045266151428223</v>
          </cell>
          <cell r="G1089">
            <v>-0.10045269760431656</v>
          </cell>
        </row>
        <row r="1090">
          <cell r="F1090">
            <v>-0.10045266151428223</v>
          </cell>
          <cell r="G1090">
            <v>-0.10045269760431656</v>
          </cell>
        </row>
        <row r="1091">
          <cell r="F1091">
            <v>-0.10045266151428223</v>
          </cell>
          <cell r="G1091">
            <v>-0.10045269760431656</v>
          </cell>
        </row>
        <row r="1092">
          <cell r="F1092">
            <v>-0.10045266151428223</v>
          </cell>
          <cell r="G1092">
            <v>-0.10045269760431656</v>
          </cell>
        </row>
        <row r="1093">
          <cell r="F1093">
            <v>-0.10045266151428223</v>
          </cell>
          <cell r="G1093">
            <v>-0.10045269760431656</v>
          </cell>
        </row>
        <row r="1094">
          <cell r="F1094">
            <v>-0.10045266151428223</v>
          </cell>
          <cell r="G1094">
            <v>-0.10045269760431656</v>
          </cell>
        </row>
        <row r="1095">
          <cell r="F1095">
            <v>-0.10045266151428223</v>
          </cell>
          <cell r="G1095">
            <v>-0.10045269760431656</v>
          </cell>
        </row>
        <row r="1096">
          <cell r="F1096">
            <v>-0.10045266151428223</v>
          </cell>
          <cell r="G1096">
            <v>-0.10045269760431656</v>
          </cell>
        </row>
        <row r="1097">
          <cell r="F1097">
            <v>-0.10045266151428223</v>
          </cell>
          <cell r="G1097">
            <v>-0.10045269760431656</v>
          </cell>
        </row>
        <row r="1098">
          <cell r="F1098">
            <v>-0.10045266151428223</v>
          </cell>
          <cell r="G1098">
            <v>-0.10045269760431656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  <row r="1121">
          <cell r="R1121" t="str">
            <v xml:space="preserve">TIM PEMBUAT LAPORAN </v>
          </cell>
        </row>
        <row r="1136">
          <cell r="C1136" t="str">
            <v>STASIUN KLIMATOLOGI KL. IV SLEMAN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M43" t="str">
            <v>Mengetahui,</v>
          </cell>
        </row>
      </sheetData>
      <sheetData sheetId="10"/>
      <sheetData sheetId="11"/>
      <sheetData sheetId="12"/>
      <sheetData sheetId="13">
        <row r="11">
          <cell r="Y11" t="str">
            <v>Februari 2022</v>
          </cell>
        </row>
      </sheetData>
      <sheetData sheetId="14"/>
      <sheetData sheetId="15"/>
      <sheetData sheetId="16"/>
      <sheetData sheetId="17"/>
      <sheetData sheetId="18"/>
      <sheetData sheetId="19">
        <row r="3">
          <cell r="C3" t="str">
            <v>Februari 2022</v>
          </cell>
        </row>
      </sheetData>
      <sheetData sheetId="20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4">
          <cell r="C44" t="str">
            <v>Sleman Yogyakarta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1">
        <row r="1">
          <cell r="F1" t="str">
            <v>STASIUN KLIMATOLOGI KL. IV SLEMAN</v>
          </cell>
        </row>
      </sheetData>
      <sheetData sheetId="22">
        <row r="1">
          <cell r="H1" t="str">
            <v>STASIUN KLIMATOLOGI KL. IV SLEMAN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MARET</v>
          </cell>
          <cell r="G2">
            <v>0</v>
          </cell>
        </row>
        <row r="3">
          <cell r="F3">
            <v>0</v>
          </cell>
          <cell r="G3">
            <v>0</v>
          </cell>
        </row>
        <row r="4">
          <cell r="F4" t="str">
            <v>BB</v>
          </cell>
          <cell r="G4" t="str">
            <v>TTD</v>
          </cell>
        </row>
        <row r="5">
          <cell r="F5">
            <v>0</v>
          </cell>
          <cell r="G5">
            <v>0</v>
          </cell>
        </row>
        <row r="6">
          <cell r="E6">
            <v>24.6</v>
          </cell>
          <cell r="F6">
            <v>22.4</v>
          </cell>
          <cell r="G6">
            <v>21.206827006453103</v>
          </cell>
        </row>
        <row r="7">
          <cell r="E7">
            <v>26.9</v>
          </cell>
          <cell r="F7">
            <v>23.7</v>
          </cell>
          <cell r="G7">
            <v>22.100410941838401</v>
          </cell>
        </row>
        <row r="8">
          <cell r="E8">
            <v>28</v>
          </cell>
          <cell r="F8">
            <v>24</v>
          </cell>
          <cell r="G8">
            <v>22.037563837182521</v>
          </cell>
        </row>
        <row r="9">
          <cell r="E9">
            <v>30.2</v>
          </cell>
          <cell r="F9">
            <v>24.3</v>
          </cell>
          <cell r="G9">
            <v>21.431936245680912</v>
          </cell>
        </row>
        <row r="10">
          <cell r="E10">
            <v>30.8</v>
          </cell>
          <cell r="F10">
            <v>24.3</v>
          </cell>
          <cell r="G10">
            <v>21.12624143647675</v>
          </cell>
        </row>
        <row r="11">
          <cell r="E11">
            <v>31.1</v>
          </cell>
          <cell r="F11">
            <v>24.8</v>
          </cell>
          <cell r="G11">
            <v>21.812391472228335</v>
          </cell>
        </row>
        <row r="12">
          <cell r="E12">
            <v>30.7</v>
          </cell>
          <cell r="F12">
            <v>25.2</v>
          </cell>
          <cell r="G12">
            <v>22.659813274024209</v>
          </cell>
        </row>
        <row r="13">
          <cell r="E13">
            <v>30.2</v>
          </cell>
          <cell r="F13">
            <v>24.6</v>
          </cell>
          <cell r="G13">
            <v>21.926992488235253</v>
          </cell>
        </row>
        <row r="14">
          <cell r="E14">
            <v>29.2</v>
          </cell>
          <cell r="F14">
            <v>24.5</v>
          </cell>
          <cell r="G14">
            <v>22.25286027093837</v>
          </cell>
        </row>
        <row r="15">
          <cell r="E15">
            <v>28</v>
          </cell>
          <cell r="F15">
            <v>25</v>
          </cell>
          <cell r="G15">
            <v>23.593703811444115</v>
          </cell>
        </row>
        <row r="16">
          <cell r="E16">
            <v>27.8</v>
          </cell>
          <cell r="F16">
            <v>24.5</v>
          </cell>
          <cell r="G16">
            <v>22.918160749608798</v>
          </cell>
        </row>
        <row r="17">
          <cell r="E17">
            <v>27.4</v>
          </cell>
          <cell r="F17">
            <v>24.6</v>
          </cell>
          <cell r="G17">
            <v>23.256970699803183</v>
          </cell>
        </row>
        <row r="18">
          <cell r="E18">
            <v>26.8</v>
          </cell>
          <cell r="F18">
            <v>24.4</v>
          </cell>
          <cell r="G18">
            <v>23.228029920116789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26.8</v>
          </cell>
          <cell r="G30">
            <v>26.79998779296875</v>
          </cell>
        </row>
        <row r="33">
          <cell r="F33" t="str">
            <v>WXREV</v>
          </cell>
        </row>
        <row r="34">
          <cell r="F34">
            <v>26.79998779296875</v>
          </cell>
          <cell r="G34">
            <v>26.79998779296875</v>
          </cell>
        </row>
        <row r="35">
          <cell r="F35">
            <v>26.79998779296875</v>
          </cell>
          <cell r="G35">
            <v>26.79998779296875</v>
          </cell>
        </row>
        <row r="36">
          <cell r="F36">
            <v>26.79998779296875</v>
          </cell>
          <cell r="G36">
            <v>26.79998779296875</v>
          </cell>
        </row>
        <row r="37">
          <cell r="F37">
            <v>26.79998779296875</v>
          </cell>
          <cell r="G37">
            <v>26.79998779296875</v>
          </cell>
        </row>
        <row r="38">
          <cell r="F38" t="str">
            <v>MARET</v>
          </cell>
          <cell r="G38">
            <v>26.79998779296875</v>
          </cell>
        </row>
        <row r="39">
          <cell r="F39">
            <v>26.79998779296875</v>
          </cell>
          <cell r="G39">
            <v>26.79998779296875</v>
          </cell>
        </row>
        <row r="40">
          <cell r="F40" t="str">
            <v>BB</v>
          </cell>
          <cell r="G40" t="str">
            <v>TTD</v>
          </cell>
        </row>
        <row r="41">
          <cell r="F41">
            <v>26.79998779296875</v>
          </cell>
          <cell r="G41">
            <v>26.79998779296875</v>
          </cell>
        </row>
        <row r="42">
          <cell r="E42">
            <v>25</v>
          </cell>
          <cell r="F42">
            <v>23.2</v>
          </cell>
          <cell r="G42">
            <v>22.248227889936057</v>
          </cell>
        </row>
        <row r="43">
          <cell r="E43">
            <v>26.4</v>
          </cell>
          <cell r="F43">
            <v>23.8</v>
          </cell>
          <cell r="G43">
            <v>22.497311086300893</v>
          </cell>
        </row>
        <row r="44">
          <cell r="E44">
            <v>28.4</v>
          </cell>
          <cell r="F44">
            <v>24.2</v>
          </cell>
          <cell r="G44">
            <v>22.161158941710486</v>
          </cell>
        </row>
        <row r="45">
          <cell r="E45">
            <v>28.8</v>
          </cell>
          <cell r="F45">
            <v>24.4</v>
          </cell>
          <cell r="G45">
            <v>22.286250338619315</v>
          </cell>
        </row>
        <row r="46">
          <cell r="E46">
            <v>28.6</v>
          </cell>
          <cell r="F46">
            <v>24.8</v>
          </cell>
          <cell r="G46">
            <v>23.011327145203094</v>
          </cell>
        </row>
        <row r="47">
          <cell r="E47">
            <v>28.4</v>
          </cell>
          <cell r="F47">
            <v>25.2</v>
          </cell>
          <cell r="G47">
            <v>23.718447763009451</v>
          </cell>
        </row>
        <row r="48">
          <cell r="E48">
            <v>27.3</v>
          </cell>
          <cell r="F48">
            <v>24.7</v>
          </cell>
          <cell r="G48">
            <v>23.454696295979133</v>
          </cell>
        </row>
        <row r="49">
          <cell r="E49">
            <v>25.6</v>
          </cell>
          <cell r="F49">
            <v>24.4</v>
          </cell>
          <cell r="G49">
            <v>23.771410936659056</v>
          </cell>
        </row>
        <row r="50">
          <cell r="E50">
            <v>24.6</v>
          </cell>
          <cell r="F50">
            <v>24</v>
          </cell>
          <cell r="G50">
            <v>23.631733166285724</v>
          </cell>
        </row>
        <row r="51">
          <cell r="E51">
            <v>26</v>
          </cell>
          <cell r="F51">
            <v>24.6</v>
          </cell>
          <cell r="G51">
            <v>23.88848726151063</v>
          </cell>
        </row>
        <row r="52">
          <cell r="E52">
            <v>25.5</v>
          </cell>
          <cell r="F52">
            <v>24.4</v>
          </cell>
          <cell r="G52">
            <v>23.815999648741762</v>
          </cell>
        </row>
        <row r="53">
          <cell r="E53">
            <v>24.4</v>
          </cell>
          <cell r="F53">
            <v>23.8</v>
          </cell>
          <cell r="G53">
            <v>23.42885263958334</v>
          </cell>
        </row>
        <row r="54">
          <cell r="E54">
            <v>23.8</v>
          </cell>
          <cell r="F54">
            <v>23.5</v>
          </cell>
          <cell r="G54">
            <v>23.262516829141774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23.8</v>
          </cell>
          <cell r="G66">
            <v>23.79998779296875</v>
          </cell>
        </row>
        <row r="67">
          <cell r="F67">
            <v>23.79998779296875</v>
          </cell>
          <cell r="G67">
            <v>23.79998779296875</v>
          </cell>
        </row>
        <row r="68">
          <cell r="F68">
            <v>23.79998779296875</v>
          </cell>
          <cell r="G68">
            <v>23.79998779296875</v>
          </cell>
        </row>
        <row r="69">
          <cell r="F69" t="str">
            <v>WXREV</v>
          </cell>
          <cell r="G69">
            <v>23.79998779296875</v>
          </cell>
        </row>
        <row r="70">
          <cell r="F70" t="str">
            <v>Catatan: hujan lebat disertai angin kencang jam 14.15 WIB mencapai 25 kt</v>
          </cell>
          <cell r="G70">
            <v>23.79998779296875</v>
          </cell>
        </row>
        <row r="71">
          <cell r="F71">
            <v>23.79998779296875</v>
          </cell>
          <cell r="G71">
            <v>23.79998779296875</v>
          </cell>
        </row>
        <row r="72">
          <cell r="F72">
            <v>23.79998779296875</v>
          </cell>
          <cell r="G72">
            <v>23.79998779296875</v>
          </cell>
        </row>
        <row r="73">
          <cell r="F73">
            <v>23.79998779296875</v>
          </cell>
          <cell r="G73">
            <v>23.79998779296875</v>
          </cell>
        </row>
        <row r="74">
          <cell r="F74" t="str">
            <v>MARET</v>
          </cell>
          <cell r="G74">
            <v>23.79998779296875</v>
          </cell>
        </row>
        <row r="75">
          <cell r="F75">
            <v>23.79998779296875</v>
          </cell>
          <cell r="G75">
            <v>23.79998779296875</v>
          </cell>
        </row>
        <row r="76">
          <cell r="F76" t="str">
            <v>BB</v>
          </cell>
          <cell r="G76" t="str">
            <v>TTD</v>
          </cell>
        </row>
        <row r="77">
          <cell r="F77">
            <v>23.79998779296875</v>
          </cell>
          <cell r="G77">
            <v>23.79998779296875</v>
          </cell>
        </row>
        <row r="78">
          <cell r="E78">
            <v>24.5</v>
          </cell>
          <cell r="F78">
            <v>22.5</v>
          </cell>
          <cell r="G78">
            <v>21.414249443445261</v>
          </cell>
        </row>
        <row r="79">
          <cell r="E79">
            <v>26.6</v>
          </cell>
          <cell r="F79">
            <v>23.2</v>
          </cell>
          <cell r="G79">
            <v>21.457765521889179</v>
          </cell>
        </row>
        <row r="80">
          <cell r="E80">
            <v>28.1</v>
          </cell>
          <cell r="F80">
            <v>23.6</v>
          </cell>
          <cell r="G80">
            <v>21.343462834053522</v>
          </cell>
        </row>
        <row r="81">
          <cell r="E81">
            <v>28.6</v>
          </cell>
          <cell r="F81">
            <v>24.2</v>
          </cell>
          <cell r="G81">
            <v>22.063695259551533</v>
          </cell>
        </row>
        <row r="82">
          <cell r="E82">
            <v>29.2</v>
          </cell>
          <cell r="F82">
            <v>25</v>
          </cell>
          <cell r="G82">
            <v>23.045116879889999</v>
          </cell>
        </row>
        <row r="83">
          <cell r="E83">
            <v>29.2</v>
          </cell>
          <cell r="F83">
            <v>25.6</v>
          </cell>
          <cell r="G83">
            <v>23.972138646793855</v>
          </cell>
        </row>
        <row r="84">
          <cell r="E84">
            <v>28.8</v>
          </cell>
          <cell r="F84">
            <v>25.4</v>
          </cell>
          <cell r="G84">
            <v>23.844597001278153</v>
          </cell>
        </row>
        <row r="85">
          <cell r="E85">
            <v>29</v>
          </cell>
          <cell r="F85">
            <v>25.5</v>
          </cell>
          <cell r="G85">
            <v>23.908194584341274</v>
          </cell>
        </row>
        <row r="86">
          <cell r="E86">
            <v>28.1</v>
          </cell>
          <cell r="F86">
            <v>25.1</v>
          </cell>
          <cell r="G86">
            <v>23.700761209849404</v>
          </cell>
        </row>
        <row r="87">
          <cell r="E87">
            <v>27.4</v>
          </cell>
          <cell r="F87">
            <v>24.7</v>
          </cell>
          <cell r="G87">
            <v>23.409250558761531</v>
          </cell>
        </row>
        <row r="88">
          <cell r="E88">
            <v>26.7</v>
          </cell>
          <cell r="F88">
            <v>24.6</v>
          </cell>
          <cell r="G88">
            <v>23.575350595291621</v>
          </cell>
        </row>
        <row r="89">
          <cell r="E89">
            <v>25.8</v>
          </cell>
          <cell r="F89">
            <v>24.6</v>
          </cell>
          <cell r="G89">
            <v>23.977017614815619</v>
          </cell>
        </row>
        <row r="90">
          <cell r="E90">
            <v>25.1</v>
          </cell>
          <cell r="F90">
            <v>24.4</v>
          </cell>
          <cell r="G90">
            <v>23.993318566443666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25.1</v>
          </cell>
          <cell r="G102">
            <v>25.099990844726563</v>
          </cell>
        </row>
        <row r="103">
          <cell r="F103">
            <v>25.099990844726563</v>
          </cell>
          <cell r="G103">
            <v>25.099990844726563</v>
          </cell>
        </row>
        <row r="104">
          <cell r="F104">
            <v>25.099990844726563</v>
          </cell>
          <cell r="G104">
            <v>25.099990844726563</v>
          </cell>
        </row>
        <row r="105">
          <cell r="F105" t="str">
            <v>WXREV</v>
          </cell>
          <cell r="G105">
            <v>25.099990844726563</v>
          </cell>
        </row>
        <row r="106">
          <cell r="F106">
            <v>25.099990844726563</v>
          </cell>
          <cell r="G106">
            <v>25.099990844726563</v>
          </cell>
        </row>
        <row r="107">
          <cell r="F107">
            <v>25.099990844726563</v>
          </cell>
          <cell r="G107">
            <v>25.099990844726563</v>
          </cell>
        </row>
        <row r="108">
          <cell r="F108">
            <v>25.099990844726563</v>
          </cell>
          <cell r="G108">
            <v>25.099990844726563</v>
          </cell>
        </row>
        <row r="109">
          <cell r="F109">
            <v>25.099990844726563</v>
          </cell>
          <cell r="G109">
            <v>25.099990844726563</v>
          </cell>
        </row>
        <row r="110">
          <cell r="F110" t="str">
            <v>MARET</v>
          </cell>
          <cell r="G110">
            <v>25.099990844726563</v>
          </cell>
        </row>
        <row r="111">
          <cell r="F111">
            <v>25.099990844726563</v>
          </cell>
          <cell r="G111">
            <v>25.099990844726563</v>
          </cell>
        </row>
        <row r="112">
          <cell r="F112" t="str">
            <v>BB</v>
          </cell>
          <cell r="G112" t="str">
            <v>TTD</v>
          </cell>
        </row>
        <row r="113">
          <cell r="F113">
            <v>25.099990844726563</v>
          </cell>
          <cell r="G113">
            <v>25.099990844726563</v>
          </cell>
        </row>
        <row r="114">
          <cell r="E114">
            <v>24.6</v>
          </cell>
          <cell r="F114">
            <v>23.3</v>
          </cell>
          <cell r="G114">
            <v>22.591865424441583</v>
          </cell>
        </row>
        <row r="115">
          <cell r="E115">
            <v>26.4</v>
          </cell>
          <cell r="F115">
            <v>24</v>
          </cell>
          <cell r="G115">
            <v>22.804533908537021</v>
          </cell>
        </row>
        <row r="116">
          <cell r="E116">
            <v>28</v>
          </cell>
          <cell r="F116">
            <v>24.5</v>
          </cell>
          <cell r="G116">
            <v>22.824541481553876</v>
          </cell>
        </row>
        <row r="117">
          <cell r="E117">
            <v>28.9</v>
          </cell>
          <cell r="F117">
            <v>24.8</v>
          </cell>
          <cell r="G117">
            <v>22.871414569474581</v>
          </cell>
        </row>
        <row r="118">
          <cell r="E118">
            <v>28.7</v>
          </cell>
          <cell r="F118">
            <v>24.7</v>
          </cell>
          <cell r="G118">
            <v>22.808324970948835</v>
          </cell>
        </row>
        <row r="119">
          <cell r="E119">
            <v>30.1</v>
          </cell>
          <cell r="F119">
            <v>25.6</v>
          </cell>
          <cell r="G119">
            <v>23.570339610883245</v>
          </cell>
        </row>
        <row r="120">
          <cell r="E120">
            <v>30.1</v>
          </cell>
          <cell r="F120">
            <v>25.2</v>
          </cell>
          <cell r="G120">
            <v>22.941732713579075</v>
          </cell>
        </row>
        <row r="121">
          <cell r="E121">
            <v>29.6</v>
          </cell>
          <cell r="F121">
            <v>25.4</v>
          </cell>
          <cell r="G121">
            <v>23.485447924589423</v>
          </cell>
        </row>
        <row r="122">
          <cell r="E122">
            <v>29</v>
          </cell>
          <cell r="F122">
            <v>25.2</v>
          </cell>
          <cell r="G122">
            <v>23.447926951785295</v>
          </cell>
        </row>
        <row r="123">
          <cell r="E123">
            <v>27.4</v>
          </cell>
          <cell r="F123">
            <v>25</v>
          </cell>
          <cell r="G123">
            <v>23.862170856686003</v>
          </cell>
        </row>
        <row r="124">
          <cell r="E124">
            <v>26.8</v>
          </cell>
          <cell r="F124">
            <v>25</v>
          </cell>
          <cell r="G124">
            <v>24.126908752194279</v>
          </cell>
        </row>
        <row r="125">
          <cell r="E125">
            <v>26.6</v>
          </cell>
          <cell r="F125">
            <v>24.8</v>
          </cell>
          <cell r="G125">
            <v>23.918598073842094</v>
          </cell>
        </row>
        <row r="126">
          <cell r="E126">
            <v>26.2</v>
          </cell>
          <cell r="F126">
            <v>24.6</v>
          </cell>
          <cell r="G126">
            <v>23.799543842618871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26.2</v>
          </cell>
          <cell r="G138">
            <v>26.199996948242188</v>
          </cell>
        </row>
        <row r="139">
          <cell r="F139">
            <v>26.199996948242188</v>
          </cell>
          <cell r="G139">
            <v>26.199996948242188</v>
          </cell>
        </row>
        <row r="140">
          <cell r="F140">
            <v>26.199996948242188</v>
          </cell>
          <cell r="G140">
            <v>26.199996948242188</v>
          </cell>
        </row>
        <row r="141">
          <cell r="F141" t="str">
            <v>WXREV</v>
          </cell>
          <cell r="G141">
            <v>26.199996948242188</v>
          </cell>
        </row>
        <row r="142">
          <cell r="F142">
            <v>26.199996948242188</v>
          </cell>
          <cell r="G142">
            <v>26.199996948242188</v>
          </cell>
        </row>
        <row r="143">
          <cell r="F143">
            <v>26.199996948242188</v>
          </cell>
          <cell r="G143">
            <v>26.199996948242188</v>
          </cell>
        </row>
        <row r="144">
          <cell r="F144">
            <v>26.199996948242188</v>
          </cell>
          <cell r="G144">
            <v>26.199996948242188</v>
          </cell>
        </row>
        <row r="145">
          <cell r="F145">
            <v>26.199996948242188</v>
          </cell>
          <cell r="G145">
            <v>26.199996948242188</v>
          </cell>
        </row>
        <row r="146">
          <cell r="F146" t="str">
            <v>MARET</v>
          </cell>
          <cell r="G146">
            <v>26.199996948242188</v>
          </cell>
        </row>
        <row r="147">
          <cell r="F147">
            <v>26.199996948242188</v>
          </cell>
          <cell r="G147">
            <v>26.199996948242188</v>
          </cell>
        </row>
        <row r="148">
          <cell r="F148" t="str">
            <v>BB</v>
          </cell>
          <cell r="G148" t="str">
            <v>TTD</v>
          </cell>
        </row>
        <row r="149">
          <cell r="F149">
            <v>26.199996948242188</v>
          </cell>
          <cell r="G149">
            <v>26.199996948242188</v>
          </cell>
        </row>
        <row r="150">
          <cell r="E150">
            <v>24.4</v>
          </cell>
          <cell r="F150">
            <v>23.6</v>
          </cell>
          <cell r="G150">
            <v>23.133837025841927</v>
          </cell>
        </row>
        <row r="151">
          <cell r="E151">
            <v>26.2</v>
          </cell>
          <cell r="F151">
            <v>24.2</v>
          </cell>
          <cell r="G151">
            <v>23.201256751926248</v>
          </cell>
        </row>
        <row r="152">
          <cell r="E152">
            <v>28</v>
          </cell>
          <cell r="F152">
            <v>24.4</v>
          </cell>
          <cell r="G152">
            <v>22.668616177039841</v>
          </cell>
        </row>
        <row r="153">
          <cell r="E153">
            <v>28.6</v>
          </cell>
          <cell r="F153">
            <v>25.1</v>
          </cell>
          <cell r="G153">
            <v>23.475386165272468</v>
          </cell>
        </row>
        <row r="154">
          <cell r="E154">
            <v>29.6</v>
          </cell>
          <cell r="F154">
            <v>25.6</v>
          </cell>
          <cell r="G154">
            <v>23.79460686035754</v>
          </cell>
        </row>
        <row r="155">
          <cell r="E155">
            <v>28.8</v>
          </cell>
          <cell r="F155">
            <v>25.3</v>
          </cell>
          <cell r="G155">
            <v>23.691896911833854</v>
          </cell>
        </row>
        <row r="156">
          <cell r="E156">
            <v>28.2</v>
          </cell>
          <cell r="F156">
            <v>24.6</v>
          </cell>
          <cell r="G156">
            <v>22.886439940964369</v>
          </cell>
        </row>
        <row r="157">
          <cell r="E157">
            <v>28.8</v>
          </cell>
          <cell r="F157">
            <v>25.2</v>
          </cell>
          <cell r="G157">
            <v>23.538528861704741</v>
          </cell>
        </row>
        <row r="158">
          <cell r="E158">
            <v>28.4</v>
          </cell>
          <cell r="F158">
            <v>25</v>
          </cell>
          <cell r="G158">
            <v>23.412597481878489</v>
          </cell>
        </row>
        <row r="159">
          <cell r="E159">
            <v>28</v>
          </cell>
          <cell r="F159">
            <v>25</v>
          </cell>
          <cell r="G159">
            <v>23.593703811444115</v>
          </cell>
        </row>
        <row r="160">
          <cell r="E160">
            <v>27</v>
          </cell>
          <cell r="F160">
            <v>24.6</v>
          </cell>
          <cell r="G160">
            <v>23.439555090650348</v>
          </cell>
        </row>
        <row r="161">
          <cell r="E161">
            <v>26.6</v>
          </cell>
          <cell r="F161">
            <v>24.4</v>
          </cell>
          <cell r="G161">
            <v>23.319679814146195</v>
          </cell>
        </row>
        <row r="162">
          <cell r="E162">
            <v>26.2</v>
          </cell>
          <cell r="F162">
            <v>24</v>
          </cell>
          <cell r="G162">
            <v>22.898249002326494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26.2</v>
          </cell>
          <cell r="G174">
            <v>26.199996948242188</v>
          </cell>
        </row>
        <row r="175">
          <cell r="F175">
            <v>26.199996948242188</v>
          </cell>
          <cell r="G175">
            <v>26.199996948242188</v>
          </cell>
        </row>
        <row r="176">
          <cell r="F176">
            <v>26.199996948242188</v>
          </cell>
          <cell r="G176">
            <v>26.199996948242188</v>
          </cell>
        </row>
        <row r="177">
          <cell r="F177" t="str">
            <v>WXREV</v>
          </cell>
          <cell r="G177">
            <v>26.199996948242188</v>
          </cell>
        </row>
        <row r="178">
          <cell r="F178">
            <v>26.199996948242188</v>
          </cell>
          <cell r="G178">
            <v>26.199996948242188</v>
          </cell>
        </row>
        <row r="179">
          <cell r="F179">
            <v>26.199996948242188</v>
          </cell>
          <cell r="G179">
            <v>26.199996948242188</v>
          </cell>
        </row>
        <row r="180">
          <cell r="F180">
            <v>26.199996948242188</v>
          </cell>
          <cell r="G180">
            <v>26.199996948242188</v>
          </cell>
        </row>
        <row r="181">
          <cell r="F181">
            <v>26.199996948242188</v>
          </cell>
          <cell r="G181">
            <v>26.199996948242188</v>
          </cell>
        </row>
        <row r="182">
          <cell r="F182" t="str">
            <v>MARET</v>
          </cell>
          <cell r="G182">
            <v>26.199996948242188</v>
          </cell>
        </row>
        <row r="183">
          <cell r="F183">
            <v>26.199996948242188</v>
          </cell>
          <cell r="G183">
            <v>26.199996948242188</v>
          </cell>
        </row>
        <row r="184">
          <cell r="F184" t="str">
            <v>BB</v>
          </cell>
          <cell r="G184" t="str">
            <v>TTD</v>
          </cell>
        </row>
        <row r="185">
          <cell r="F185">
            <v>26.199996948242188</v>
          </cell>
          <cell r="G185">
            <v>26.199996948242188</v>
          </cell>
        </row>
        <row r="186">
          <cell r="E186">
            <v>23.5</v>
          </cell>
          <cell r="F186">
            <v>22.6</v>
          </cell>
          <cell r="G186">
            <v>22.06483851697341</v>
          </cell>
        </row>
        <row r="187">
          <cell r="E187">
            <v>25</v>
          </cell>
          <cell r="F187">
            <v>23.4</v>
          </cell>
          <cell r="G187">
            <v>22.552863273036831</v>
          </cell>
        </row>
        <row r="188">
          <cell r="E188">
            <v>27</v>
          </cell>
          <cell r="F188">
            <v>23.7</v>
          </cell>
          <cell r="G188">
            <v>22.051586021703706</v>
          </cell>
        </row>
        <row r="189">
          <cell r="E189">
            <v>28.2</v>
          </cell>
          <cell r="F189">
            <v>24</v>
          </cell>
          <cell r="G189">
            <v>21.939456220143654</v>
          </cell>
        </row>
        <row r="190">
          <cell r="E190">
            <v>28.8</v>
          </cell>
          <cell r="F190">
            <v>24.2</v>
          </cell>
          <cell r="G190">
            <v>21.965723227091431</v>
          </cell>
        </row>
        <row r="191">
          <cell r="E191">
            <v>29.2</v>
          </cell>
          <cell r="F191">
            <v>24.5</v>
          </cell>
          <cell r="G191">
            <v>22.25286027093837</v>
          </cell>
        </row>
        <row r="192">
          <cell r="E192">
            <v>30</v>
          </cell>
          <cell r="F192">
            <v>25.4</v>
          </cell>
          <cell r="G192">
            <v>23.303296611588866</v>
          </cell>
        </row>
        <row r="193">
          <cell r="E193">
            <v>30.6</v>
          </cell>
          <cell r="F193">
            <v>25.5</v>
          </cell>
          <cell r="G193">
            <v>23.18544147210784</v>
          </cell>
        </row>
        <row r="194">
          <cell r="E194">
            <v>30</v>
          </cell>
          <cell r="F194">
            <v>25.1</v>
          </cell>
          <cell r="G194">
            <v>22.829714824028944</v>
          </cell>
        </row>
        <row r="195">
          <cell r="E195">
            <v>29.2</v>
          </cell>
          <cell r="F195">
            <v>24.7</v>
          </cell>
          <cell r="G195">
            <v>22.572019626566767</v>
          </cell>
        </row>
        <row r="196">
          <cell r="E196">
            <v>28.4</v>
          </cell>
          <cell r="F196">
            <v>24.5</v>
          </cell>
          <cell r="G196">
            <v>22.635899802692006</v>
          </cell>
        </row>
        <row r="197">
          <cell r="E197">
            <v>27.2</v>
          </cell>
          <cell r="F197">
            <v>24.3</v>
          </cell>
          <cell r="G197">
            <v>22.889828189285673</v>
          </cell>
        </row>
        <row r="198">
          <cell r="E198">
            <v>26.3</v>
          </cell>
          <cell r="F198">
            <v>24.2</v>
          </cell>
          <cell r="G198">
            <v>23.155200700166329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26.3</v>
          </cell>
          <cell r="G210">
            <v>26.29998779296875</v>
          </cell>
        </row>
        <row r="211">
          <cell r="F211">
            <v>26.29998779296875</v>
          </cell>
          <cell r="G211">
            <v>26.29998779296875</v>
          </cell>
        </row>
        <row r="212">
          <cell r="F212">
            <v>26.29998779296875</v>
          </cell>
          <cell r="G212">
            <v>26.29998779296875</v>
          </cell>
        </row>
        <row r="213">
          <cell r="F213" t="str">
            <v>WXREV</v>
          </cell>
          <cell r="G213">
            <v>26.29998779296875</v>
          </cell>
        </row>
        <row r="214">
          <cell r="F214">
            <v>26.29998779296875</v>
          </cell>
          <cell r="G214">
            <v>26.29998779296875</v>
          </cell>
        </row>
        <row r="215">
          <cell r="F215">
            <v>26.29998779296875</v>
          </cell>
          <cell r="G215">
            <v>26.29998779296875</v>
          </cell>
        </row>
        <row r="216">
          <cell r="F216">
            <v>26.29998779296875</v>
          </cell>
          <cell r="G216">
            <v>26.29998779296875</v>
          </cell>
        </row>
        <row r="217">
          <cell r="F217">
            <v>26.29998779296875</v>
          </cell>
          <cell r="G217">
            <v>26.29998779296875</v>
          </cell>
        </row>
        <row r="218">
          <cell r="F218" t="str">
            <v>MARET</v>
          </cell>
          <cell r="G218">
            <v>26.29998779296875</v>
          </cell>
        </row>
        <row r="219">
          <cell r="F219">
            <v>26.29998779296875</v>
          </cell>
          <cell r="G219">
            <v>26.29998779296875</v>
          </cell>
        </row>
        <row r="220">
          <cell r="F220" t="str">
            <v>BB</v>
          </cell>
          <cell r="G220" t="str">
            <v>TTD</v>
          </cell>
        </row>
        <row r="221">
          <cell r="F221">
            <v>26.29998779296875</v>
          </cell>
          <cell r="G221">
            <v>26.29998779296875</v>
          </cell>
        </row>
        <row r="222">
          <cell r="E222">
            <v>24.6</v>
          </cell>
          <cell r="F222">
            <v>23.8</v>
          </cell>
          <cell r="G222">
            <v>23.337733422817518</v>
          </cell>
        </row>
        <row r="223">
          <cell r="E223">
            <v>25.9</v>
          </cell>
          <cell r="F223">
            <v>24</v>
          </cell>
          <cell r="G223">
            <v>23.037956678897412</v>
          </cell>
        </row>
        <row r="224">
          <cell r="E224">
            <v>26.7</v>
          </cell>
          <cell r="F224">
            <v>23.9</v>
          </cell>
          <cell r="G224">
            <v>22.508661564398647</v>
          </cell>
        </row>
        <row r="225">
          <cell r="E225">
            <v>27.7</v>
          </cell>
          <cell r="F225">
            <v>24.4</v>
          </cell>
          <cell r="G225">
            <v>22.810028566949143</v>
          </cell>
        </row>
        <row r="226">
          <cell r="E226">
            <v>28.9</v>
          </cell>
          <cell r="F226">
            <v>24.6</v>
          </cell>
          <cell r="G226">
            <v>22.556161289601096</v>
          </cell>
        </row>
        <row r="227">
          <cell r="E227">
            <v>29.3</v>
          </cell>
          <cell r="F227">
            <v>25.1</v>
          </cell>
          <cell r="G227">
            <v>23.15530014080689</v>
          </cell>
        </row>
        <row r="228">
          <cell r="E228">
            <v>29.1</v>
          </cell>
          <cell r="F228">
            <v>24.7</v>
          </cell>
          <cell r="G228">
            <v>22.619517945782292</v>
          </cell>
        </row>
        <row r="229">
          <cell r="E229">
            <v>29.4</v>
          </cell>
          <cell r="F229">
            <v>25.2</v>
          </cell>
          <cell r="G229">
            <v>23.265416041293889</v>
          </cell>
        </row>
        <row r="230">
          <cell r="E230">
            <v>29.1</v>
          </cell>
          <cell r="F230">
            <v>25.1</v>
          </cell>
          <cell r="G230">
            <v>23.247305659103215</v>
          </cell>
        </row>
        <row r="231">
          <cell r="E231">
            <v>27.6</v>
          </cell>
          <cell r="F231">
            <v>23.7</v>
          </cell>
          <cell r="G231">
            <v>21.755938799836887</v>
          </cell>
        </row>
        <row r="232">
          <cell r="E232">
            <v>27.4</v>
          </cell>
          <cell r="F232">
            <v>24</v>
          </cell>
          <cell r="G232">
            <v>22.328850061942795</v>
          </cell>
        </row>
        <row r="233">
          <cell r="E233">
            <v>26.2</v>
          </cell>
          <cell r="F233">
            <v>24.4</v>
          </cell>
          <cell r="G233">
            <v>23.501662544126386</v>
          </cell>
        </row>
        <row r="234">
          <cell r="E234">
            <v>25.8</v>
          </cell>
          <cell r="F234">
            <v>24.6</v>
          </cell>
          <cell r="G234">
            <v>23.977017614815619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25.8</v>
          </cell>
          <cell r="G246">
            <v>25.79998779296875</v>
          </cell>
        </row>
        <row r="247">
          <cell r="F247">
            <v>25.79998779296875</v>
          </cell>
          <cell r="G247">
            <v>25.79998779296875</v>
          </cell>
        </row>
        <row r="248">
          <cell r="F248">
            <v>25.79998779296875</v>
          </cell>
          <cell r="G248">
            <v>25.79998779296875</v>
          </cell>
        </row>
        <row r="249">
          <cell r="F249" t="str">
            <v>WXREV</v>
          </cell>
          <cell r="G249">
            <v>25.79998779296875</v>
          </cell>
        </row>
        <row r="250">
          <cell r="F250">
            <v>25.79998779296875</v>
          </cell>
          <cell r="G250">
            <v>25.79998779296875</v>
          </cell>
        </row>
        <row r="251">
          <cell r="F251">
            <v>25.79998779296875</v>
          </cell>
          <cell r="G251">
            <v>25.79998779296875</v>
          </cell>
        </row>
        <row r="252">
          <cell r="F252">
            <v>25.79998779296875</v>
          </cell>
          <cell r="G252">
            <v>25.79998779296875</v>
          </cell>
        </row>
        <row r="253">
          <cell r="F253">
            <v>25.79998779296875</v>
          </cell>
          <cell r="G253">
            <v>25.79998779296875</v>
          </cell>
        </row>
        <row r="254">
          <cell r="F254" t="str">
            <v>MARET</v>
          </cell>
          <cell r="G254">
            <v>25.79998779296875</v>
          </cell>
        </row>
        <row r="255">
          <cell r="F255">
            <v>25.79998779296875</v>
          </cell>
          <cell r="G255">
            <v>25.79998779296875</v>
          </cell>
        </row>
        <row r="256">
          <cell r="F256" t="str">
            <v>BB</v>
          </cell>
          <cell r="G256" t="str">
            <v>TTD</v>
          </cell>
        </row>
        <row r="257">
          <cell r="F257">
            <v>25.79998779296875</v>
          </cell>
          <cell r="G257">
            <v>25.79998779296875</v>
          </cell>
        </row>
        <row r="258">
          <cell r="E258">
            <v>24.6</v>
          </cell>
          <cell r="F258">
            <v>23.2</v>
          </cell>
          <cell r="G258">
            <v>22.440752283690482</v>
          </cell>
        </row>
        <row r="259">
          <cell r="E259">
            <v>26</v>
          </cell>
          <cell r="F259">
            <v>24.4</v>
          </cell>
          <cell r="G259">
            <v>23.592004375769026</v>
          </cell>
        </row>
        <row r="260">
          <cell r="E260">
            <v>27.6</v>
          </cell>
          <cell r="F260">
            <v>24.7</v>
          </cell>
          <cell r="G260">
            <v>23.318031457511136</v>
          </cell>
        </row>
        <row r="261">
          <cell r="E261">
            <v>28.6</v>
          </cell>
          <cell r="F261">
            <v>25.1</v>
          </cell>
          <cell r="G261">
            <v>23.475386165272468</v>
          </cell>
        </row>
        <row r="262">
          <cell r="E262">
            <v>28.6</v>
          </cell>
          <cell r="F262">
            <v>25</v>
          </cell>
          <cell r="G262">
            <v>23.321392650725961</v>
          </cell>
        </row>
        <row r="263">
          <cell r="E263">
            <v>29.4</v>
          </cell>
          <cell r="F263">
            <v>25.2</v>
          </cell>
          <cell r="G263">
            <v>23.265416041293889</v>
          </cell>
        </row>
        <row r="264">
          <cell r="E264">
            <v>30</v>
          </cell>
          <cell r="F264">
            <v>25.6</v>
          </cell>
          <cell r="G264">
            <v>23.615405006377451</v>
          </cell>
        </row>
        <row r="265">
          <cell r="E265">
            <v>30.5</v>
          </cell>
          <cell r="F265">
            <v>25.8</v>
          </cell>
          <cell r="G265">
            <v>23.701992691525966</v>
          </cell>
        </row>
        <row r="266">
          <cell r="E266">
            <v>30.1</v>
          </cell>
          <cell r="F266">
            <v>25.5</v>
          </cell>
          <cell r="G266">
            <v>23.414268349656943</v>
          </cell>
        </row>
        <row r="267">
          <cell r="E267">
            <v>28.8</v>
          </cell>
          <cell r="F267">
            <v>25</v>
          </cell>
          <cell r="G267">
            <v>23.229747355809128</v>
          </cell>
        </row>
        <row r="268">
          <cell r="E268">
            <v>28.6</v>
          </cell>
          <cell r="F268">
            <v>25</v>
          </cell>
          <cell r="G268">
            <v>23.321392650725961</v>
          </cell>
        </row>
        <row r="269">
          <cell r="E269">
            <v>26.6</v>
          </cell>
          <cell r="F269">
            <v>24.8</v>
          </cell>
          <cell r="G269">
            <v>23.918598073842094</v>
          </cell>
        </row>
        <row r="270">
          <cell r="E270">
            <v>26.2</v>
          </cell>
          <cell r="F270">
            <v>24.8</v>
          </cell>
          <cell r="G270">
            <v>24.09497496904363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26.2</v>
          </cell>
          <cell r="G282">
            <v>26.199996948242188</v>
          </cell>
        </row>
        <row r="283">
          <cell r="F283">
            <v>26.199996948242188</v>
          </cell>
          <cell r="G283">
            <v>26.199996948242188</v>
          </cell>
        </row>
        <row r="284">
          <cell r="F284">
            <v>26.199996948242188</v>
          </cell>
          <cell r="G284">
            <v>26.199996948242188</v>
          </cell>
        </row>
        <row r="285">
          <cell r="F285" t="str">
            <v>WXREV</v>
          </cell>
          <cell r="G285">
            <v>26.199996948242188</v>
          </cell>
        </row>
        <row r="286">
          <cell r="F286">
            <v>26.199996948242188</v>
          </cell>
          <cell r="G286">
            <v>26.199996948242188</v>
          </cell>
        </row>
        <row r="287">
          <cell r="F287">
            <v>26.199996948242188</v>
          </cell>
          <cell r="G287">
            <v>26.199996948242188</v>
          </cell>
        </row>
        <row r="288">
          <cell r="F288">
            <v>26.199996948242188</v>
          </cell>
          <cell r="G288">
            <v>26.199996948242188</v>
          </cell>
        </row>
        <row r="289">
          <cell r="F289">
            <v>26.199996948242188</v>
          </cell>
          <cell r="G289">
            <v>26.199996948242188</v>
          </cell>
        </row>
        <row r="290">
          <cell r="F290" t="str">
            <v>MARET</v>
          </cell>
          <cell r="G290">
            <v>26.199996948242188</v>
          </cell>
        </row>
        <row r="291">
          <cell r="F291">
            <v>26.199996948242188</v>
          </cell>
          <cell r="G291">
            <v>26.199996948242188</v>
          </cell>
        </row>
        <row r="292">
          <cell r="F292" t="str">
            <v>BB</v>
          </cell>
          <cell r="G292" t="str">
            <v>TTD</v>
          </cell>
        </row>
        <row r="293">
          <cell r="F293">
            <v>26.199996948242188</v>
          </cell>
          <cell r="G293">
            <v>26.199996948242188</v>
          </cell>
        </row>
        <row r="294">
          <cell r="E294">
            <v>24.7</v>
          </cell>
          <cell r="F294">
            <v>24.2</v>
          </cell>
          <cell r="G294">
            <v>23.879020111077203</v>
          </cell>
        </row>
        <row r="295">
          <cell r="E295">
            <v>25.4</v>
          </cell>
          <cell r="F295">
            <v>24.8</v>
          </cell>
          <cell r="G295">
            <v>24.442917369804558</v>
          </cell>
        </row>
        <row r="296">
          <cell r="E296">
            <v>25.8</v>
          </cell>
          <cell r="F296">
            <v>24.6</v>
          </cell>
          <cell r="G296">
            <v>23.977017614815619</v>
          </cell>
        </row>
        <row r="297">
          <cell r="E297">
            <v>27.3</v>
          </cell>
          <cell r="F297">
            <v>24.4</v>
          </cell>
          <cell r="G297">
            <v>22.99694745290844</v>
          </cell>
        </row>
        <row r="298">
          <cell r="E298">
            <v>28.6</v>
          </cell>
          <cell r="F298">
            <v>25.4</v>
          </cell>
          <cell r="G298">
            <v>23.933335820614669</v>
          </cell>
        </row>
        <row r="299">
          <cell r="E299">
            <v>29</v>
          </cell>
          <cell r="F299">
            <v>25.8</v>
          </cell>
          <cell r="G299">
            <v>24.362543776675032</v>
          </cell>
        </row>
        <row r="300">
          <cell r="E300">
            <v>29.4</v>
          </cell>
          <cell r="F300">
            <v>25.7</v>
          </cell>
          <cell r="G300">
            <v>24.036427554228787</v>
          </cell>
        </row>
        <row r="301">
          <cell r="E301">
            <v>30</v>
          </cell>
          <cell r="F301">
            <v>26.4</v>
          </cell>
          <cell r="G301">
            <v>24.836802408045006</v>
          </cell>
        </row>
        <row r="302">
          <cell r="E302">
            <v>28.9</v>
          </cell>
          <cell r="F302">
            <v>25.5</v>
          </cell>
          <cell r="G302">
            <v>23.9524681757811</v>
          </cell>
        </row>
        <row r="303">
          <cell r="E303">
            <v>27.8</v>
          </cell>
          <cell r="F303">
            <v>25.4</v>
          </cell>
          <cell r="G303">
            <v>24.284221531671822</v>
          </cell>
        </row>
        <row r="304">
          <cell r="E304">
            <v>27.2</v>
          </cell>
          <cell r="F304">
            <v>24.5</v>
          </cell>
          <cell r="G304">
            <v>23.196271327670441</v>
          </cell>
        </row>
        <row r="305">
          <cell r="E305">
            <v>26.8</v>
          </cell>
          <cell r="F305">
            <v>25</v>
          </cell>
          <cell r="G305">
            <v>24.126908752194279</v>
          </cell>
        </row>
        <row r="306">
          <cell r="E306">
            <v>25.7</v>
          </cell>
          <cell r="F306">
            <v>24.5</v>
          </cell>
          <cell r="G306">
            <v>23.874222865361531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25.7</v>
          </cell>
          <cell r="G318">
            <v>25.699996948242188</v>
          </cell>
        </row>
        <row r="319">
          <cell r="F319">
            <v>25.699996948242188</v>
          </cell>
          <cell r="G319">
            <v>25.699996948242188</v>
          </cell>
        </row>
        <row r="320">
          <cell r="F320">
            <v>25.699996948242188</v>
          </cell>
          <cell r="G320">
            <v>25.699996948242188</v>
          </cell>
        </row>
        <row r="321">
          <cell r="F321" t="str">
            <v>WXREV</v>
          </cell>
          <cell r="G321">
            <v>25.699996948242188</v>
          </cell>
        </row>
        <row r="322">
          <cell r="F322">
            <v>25.699996948242188</v>
          </cell>
          <cell r="G322">
            <v>25.699996948242188</v>
          </cell>
        </row>
        <row r="323">
          <cell r="F323">
            <v>25.699996948242188</v>
          </cell>
          <cell r="G323">
            <v>25.699996948242188</v>
          </cell>
        </row>
        <row r="324">
          <cell r="F324">
            <v>25.699996948242188</v>
          </cell>
          <cell r="G324">
            <v>25.699996948242188</v>
          </cell>
        </row>
        <row r="325">
          <cell r="F325">
            <v>25.699996948242188</v>
          </cell>
          <cell r="G325">
            <v>25.699996948242188</v>
          </cell>
        </row>
        <row r="326">
          <cell r="F326" t="str">
            <v>MARET</v>
          </cell>
          <cell r="G326">
            <v>25.699996948242188</v>
          </cell>
        </row>
        <row r="327">
          <cell r="F327">
            <v>25.699996948242188</v>
          </cell>
          <cell r="G327">
            <v>25.699996948242188</v>
          </cell>
        </row>
        <row r="328">
          <cell r="F328" t="str">
            <v>BB</v>
          </cell>
          <cell r="G328" t="str">
            <v>TTD</v>
          </cell>
        </row>
        <row r="329">
          <cell r="F329">
            <v>25.699996948242188</v>
          </cell>
          <cell r="G329">
            <v>25.699996948242188</v>
          </cell>
        </row>
        <row r="330">
          <cell r="E330">
            <v>23.7</v>
          </cell>
          <cell r="F330">
            <v>23.6</v>
          </cell>
          <cell r="G330">
            <v>23.454250399915086</v>
          </cell>
        </row>
        <row r="331">
          <cell r="E331">
            <v>24.2</v>
          </cell>
          <cell r="F331">
            <v>23.8</v>
          </cell>
          <cell r="G331">
            <v>23.519536764728979</v>
          </cell>
        </row>
        <row r="332">
          <cell r="E332">
            <v>25.9</v>
          </cell>
          <cell r="F332">
            <v>24.7</v>
          </cell>
          <cell r="G332">
            <v>24.079795308325551</v>
          </cell>
        </row>
        <row r="333">
          <cell r="E333">
            <v>27.7</v>
          </cell>
          <cell r="F333">
            <v>24.6</v>
          </cell>
          <cell r="G333">
            <v>23.118869724019063</v>
          </cell>
        </row>
        <row r="334">
          <cell r="E334">
            <v>28.4</v>
          </cell>
          <cell r="F334">
            <v>25.2</v>
          </cell>
          <cell r="G334">
            <v>23.718447763009451</v>
          </cell>
        </row>
        <row r="335">
          <cell r="E335">
            <v>28.4</v>
          </cell>
          <cell r="F335">
            <v>26</v>
          </cell>
          <cell r="G335">
            <v>24.91627434761546</v>
          </cell>
        </row>
        <row r="336">
          <cell r="E336">
            <v>28.8</v>
          </cell>
          <cell r="F336">
            <v>25.7</v>
          </cell>
          <cell r="G336">
            <v>24.298789541961639</v>
          </cell>
        </row>
        <row r="337">
          <cell r="E337">
            <v>29.6</v>
          </cell>
          <cell r="F337">
            <v>25.6</v>
          </cell>
          <cell r="G337">
            <v>23.79460686035754</v>
          </cell>
        </row>
        <row r="338">
          <cell r="E338">
            <v>29</v>
          </cell>
          <cell r="F338">
            <v>25.4</v>
          </cell>
          <cell r="G338">
            <v>23.755443039226666</v>
          </cell>
        </row>
        <row r="339">
          <cell r="E339">
            <v>28.4</v>
          </cell>
          <cell r="F339">
            <v>25.2</v>
          </cell>
          <cell r="G339">
            <v>23.718447763009451</v>
          </cell>
        </row>
        <row r="340">
          <cell r="E340">
            <v>27.2</v>
          </cell>
          <cell r="F340">
            <v>24.8</v>
          </cell>
          <cell r="G340">
            <v>23.650934676208223</v>
          </cell>
        </row>
        <row r="341">
          <cell r="E341">
            <v>26.8</v>
          </cell>
          <cell r="F341">
            <v>24.6</v>
          </cell>
          <cell r="G341">
            <v>23.530193147412959</v>
          </cell>
        </row>
        <row r="342">
          <cell r="E342">
            <v>25.4</v>
          </cell>
          <cell r="F342">
            <v>24.4</v>
          </cell>
          <cell r="G342">
            <v>23.860484247779919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25.4</v>
          </cell>
          <cell r="G354">
            <v>25.399993896484375</v>
          </cell>
        </row>
        <row r="355">
          <cell r="F355">
            <v>25.399993896484375</v>
          </cell>
          <cell r="G355">
            <v>25.399993896484375</v>
          </cell>
        </row>
        <row r="356">
          <cell r="F356">
            <v>25.399993896484375</v>
          </cell>
          <cell r="G356">
            <v>25.399993896484375</v>
          </cell>
        </row>
        <row r="357">
          <cell r="F357" t="str">
            <v>WXREV</v>
          </cell>
          <cell r="G357">
            <v>25.399993896484375</v>
          </cell>
        </row>
        <row r="358">
          <cell r="F358">
            <v>25.399993896484375</v>
          </cell>
          <cell r="G358">
            <v>25.399993896484375</v>
          </cell>
        </row>
        <row r="359">
          <cell r="F359">
            <v>25.399993896484375</v>
          </cell>
          <cell r="G359">
            <v>25.399993896484375</v>
          </cell>
        </row>
        <row r="360">
          <cell r="F360">
            <v>25.399993896484375</v>
          </cell>
          <cell r="G360">
            <v>25.399993896484375</v>
          </cell>
        </row>
        <row r="361">
          <cell r="F361">
            <v>25.399993896484375</v>
          </cell>
          <cell r="G361">
            <v>25.399993896484375</v>
          </cell>
        </row>
        <row r="362">
          <cell r="F362" t="str">
            <v>MARET</v>
          </cell>
          <cell r="G362">
            <v>25.399993896484375</v>
          </cell>
        </row>
        <row r="363">
          <cell r="F363">
            <v>25.399993896484375</v>
          </cell>
          <cell r="G363">
            <v>25.399993896484375</v>
          </cell>
        </row>
        <row r="364">
          <cell r="F364" t="str">
            <v>BB</v>
          </cell>
          <cell r="G364" t="str">
            <v>TTD</v>
          </cell>
        </row>
        <row r="365">
          <cell r="F365">
            <v>25.399993896484375</v>
          </cell>
          <cell r="G365">
            <v>25.399993896484375</v>
          </cell>
        </row>
        <row r="366">
          <cell r="E366">
            <v>23.8</v>
          </cell>
          <cell r="F366">
            <v>23.1</v>
          </cell>
          <cell r="G366">
            <v>22.671249090819082</v>
          </cell>
        </row>
        <row r="367">
          <cell r="E367">
            <v>24.6</v>
          </cell>
          <cell r="F367">
            <v>23.6</v>
          </cell>
          <cell r="G367">
            <v>23.041286800704647</v>
          </cell>
        </row>
        <row r="368">
          <cell r="E368">
            <v>26.8</v>
          </cell>
          <cell r="F368">
            <v>24.6</v>
          </cell>
          <cell r="G368">
            <v>23.530193147412959</v>
          </cell>
        </row>
        <row r="369">
          <cell r="E369">
            <v>28</v>
          </cell>
          <cell r="F369">
            <v>25</v>
          </cell>
          <cell r="G369">
            <v>23.593703811444115</v>
          </cell>
        </row>
        <row r="370">
          <cell r="E370">
            <v>29</v>
          </cell>
          <cell r="F370">
            <v>25.3</v>
          </cell>
          <cell r="G370">
            <v>23.60202393285725</v>
          </cell>
        </row>
        <row r="371">
          <cell r="E371">
            <v>29.7</v>
          </cell>
          <cell r="F371">
            <v>25.5</v>
          </cell>
          <cell r="G371">
            <v>23.595364975971581</v>
          </cell>
        </row>
        <row r="372">
          <cell r="E372">
            <v>30</v>
          </cell>
          <cell r="F372">
            <v>25.2</v>
          </cell>
          <cell r="G372">
            <v>22.988313287442271</v>
          </cell>
        </row>
        <row r="373">
          <cell r="E373">
            <v>30.2</v>
          </cell>
          <cell r="F373">
            <v>25</v>
          </cell>
          <cell r="G373">
            <v>22.575500907686056</v>
          </cell>
        </row>
        <row r="374">
          <cell r="E374">
            <v>27.8</v>
          </cell>
          <cell r="F374">
            <v>24.8</v>
          </cell>
          <cell r="G374">
            <v>23.379452040413032</v>
          </cell>
        </row>
        <row r="375">
          <cell r="E375">
            <v>26.8</v>
          </cell>
          <cell r="F375">
            <v>24.6</v>
          </cell>
          <cell r="G375">
            <v>23.530193147412959</v>
          </cell>
        </row>
        <row r="376">
          <cell r="E376">
            <v>24.4</v>
          </cell>
          <cell r="F376">
            <v>23.4</v>
          </cell>
          <cell r="G376">
            <v>22.836338621391949</v>
          </cell>
        </row>
        <row r="377">
          <cell r="E377">
            <v>24.4</v>
          </cell>
          <cell r="F377">
            <v>23.4</v>
          </cell>
          <cell r="G377">
            <v>22.836338621391949</v>
          </cell>
        </row>
        <row r="378">
          <cell r="E378">
            <v>24.4</v>
          </cell>
          <cell r="F378">
            <v>23.4</v>
          </cell>
          <cell r="G378">
            <v>22.836338621391949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24.4</v>
          </cell>
          <cell r="G390">
            <v>24.399993896484375</v>
          </cell>
        </row>
        <row r="391">
          <cell r="F391">
            <v>24.399993896484375</v>
          </cell>
          <cell r="G391">
            <v>24.399993896484375</v>
          </cell>
        </row>
        <row r="392">
          <cell r="F392">
            <v>24.399993896484375</v>
          </cell>
          <cell r="G392">
            <v>24.399993896484375</v>
          </cell>
        </row>
        <row r="393">
          <cell r="F393" t="str">
            <v>WXREV</v>
          </cell>
          <cell r="G393">
            <v>24.399993896484375</v>
          </cell>
        </row>
        <row r="394">
          <cell r="F394">
            <v>24.399993896484375</v>
          </cell>
          <cell r="G394">
            <v>24.399993896484375</v>
          </cell>
        </row>
        <row r="395">
          <cell r="F395">
            <v>24.399993896484375</v>
          </cell>
          <cell r="G395">
            <v>24.399993896484375</v>
          </cell>
        </row>
        <row r="396">
          <cell r="F396">
            <v>24.399993896484375</v>
          </cell>
          <cell r="G396">
            <v>24.399993896484375</v>
          </cell>
        </row>
        <row r="397">
          <cell r="F397">
            <v>24.399993896484375</v>
          </cell>
          <cell r="G397">
            <v>24.399993896484375</v>
          </cell>
        </row>
        <row r="398">
          <cell r="F398" t="str">
            <v>MARET</v>
          </cell>
          <cell r="G398">
            <v>24.399993896484375</v>
          </cell>
        </row>
        <row r="399">
          <cell r="F399">
            <v>24.399993896484375</v>
          </cell>
          <cell r="G399">
            <v>24.399993896484375</v>
          </cell>
        </row>
        <row r="400">
          <cell r="F400" t="str">
            <v>BB</v>
          </cell>
          <cell r="G400" t="str">
            <v>TTD</v>
          </cell>
        </row>
        <row r="401">
          <cell r="F401">
            <v>24.399993896484375</v>
          </cell>
          <cell r="G401">
            <v>24.399993896484375</v>
          </cell>
        </row>
        <row r="402">
          <cell r="E402">
            <v>24.6</v>
          </cell>
          <cell r="F402">
            <v>23.3</v>
          </cell>
          <cell r="G402">
            <v>22.591865424441583</v>
          </cell>
        </row>
        <row r="403">
          <cell r="E403">
            <v>25.8</v>
          </cell>
          <cell r="F403">
            <v>23.8</v>
          </cell>
          <cell r="G403">
            <v>22.781622980972795</v>
          </cell>
        </row>
        <row r="404">
          <cell r="E404">
            <v>27.6</v>
          </cell>
          <cell r="F404">
            <v>25.2</v>
          </cell>
          <cell r="G404">
            <v>24.073265773758312</v>
          </cell>
        </row>
        <row r="405">
          <cell r="E405">
            <v>28.7</v>
          </cell>
          <cell r="F405">
            <v>25.2</v>
          </cell>
          <cell r="G405">
            <v>23.583668381801939</v>
          </cell>
        </row>
        <row r="406">
          <cell r="E406">
            <v>29.6</v>
          </cell>
          <cell r="F406">
            <v>25.3</v>
          </cell>
          <cell r="G406">
            <v>23.329827270776018</v>
          </cell>
        </row>
        <row r="407">
          <cell r="E407">
            <v>29.8</v>
          </cell>
          <cell r="F407">
            <v>25.8</v>
          </cell>
          <cell r="G407">
            <v>24.013096932917858</v>
          </cell>
        </row>
        <row r="408">
          <cell r="E408">
            <v>29.8</v>
          </cell>
          <cell r="F408">
            <v>25.6</v>
          </cell>
          <cell r="G408">
            <v>23.705216804198258</v>
          </cell>
        </row>
        <row r="409">
          <cell r="E409">
            <v>29.3</v>
          </cell>
          <cell r="F409">
            <v>25.6</v>
          </cell>
          <cell r="G409">
            <v>23.927910438437131</v>
          </cell>
        </row>
        <row r="410">
          <cell r="E410">
            <v>28.2</v>
          </cell>
          <cell r="F410">
            <v>24.8</v>
          </cell>
          <cell r="G410">
            <v>23.196283144013933</v>
          </cell>
        </row>
        <row r="411">
          <cell r="E411">
            <v>25.1</v>
          </cell>
          <cell r="F411">
            <v>24.3</v>
          </cell>
          <cell r="G411">
            <v>23.847270187412668</v>
          </cell>
        </row>
        <row r="412">
          <cell r="E412">
            <v>24.1</v>
          </cell>
          <cell r="F412">
            <v>23.8</v>
          </cell>
          <cell r="G412">
            <v>23.564717060684618</v>
          </cell>
        </row>
        <row r="413">
          <cell r="E413">
            <v>24.2</v>
          </cell>
          <cell r="F413">
            <v>23.9</v>
          </cell>
          <cell r="G413">
            <v>23.665442008743565</v>
          </cell>
        </row>
        <row r="414">
          <cell r="E414">
            <v>24.3</v>
          </cell>
          <cell r="F414">
            <v>23.9</v>
          </cell>
          <cell r="G414">
            <v>23.620500363098326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24.1</v>
          </cell>
          <cell r="G426">
            <v>24.099990844726563</v>
          </cell>
        </row>
        <row r="427">
          <cell r="F427">
            <v>24.099990844726563</v>
          </cell>
          <cell r="G427">
            <v>24.099990844726563</v>
          </cell>
        </row>
        <row r="428">
          <cell r="F428">
            <v>24.099990844726563</v>
          </cell>
          <cell r="G428">
            <v>24.099990844726563</v>
          </cell>
        </row>
        <row r="429">
          <cell r="F429" t="str">
            <v>WXREV</v>
          </cell>
          <cell r="G429">
            <v>24.099990844726563</v>
          </cell>
        </row>
        <row r="430">
          <cell r="F430">
            <v>24.099990844726563</v>
          </cell>
          <cell r="G430">
            <v>24.099990844726563</v>
          </cell>
        </row>
        <row r="431">
          <cell r="F431">
            <v>24.099990844726563</v>
          </cell>
          <cell r="G431">
            <v>24.099990844726563</v>
          </cell>
        </row>
        <row r="432">
          <cell r="F432">
            <v>24.099990844726563</v>
          </cell>
          <cell r="G432">
            <v>24.099990844726563</v>
          </cell>
        </row>
        <row r="433">
          <cell r="F433">
            <v>24.099990844726563</v>
          </cell>
          <cell r="G433">
            <v>24.099990844726563</v>
          </cell>
        </row>
        <row r="434">
          <cell r="F434" t="str">
            <v>MARET</v>
          </cell>
          <cell r="G434">
            <v>24.099990844726563</v>
          </cell>
        </row>
        <row r="435">
          <cell r="F435">
            <v>24.099990844726563</v>
          </cell>
          <cell r="G435">
            <v>24.099990844726563</v>
          </cell>
        </row>
        <row r="436">
          <cell r="F436" t="str">
            <v>BB</v>
          </cell>
          <cell r="G436" t="str">
            <v>TTD</v>
          </cell>
        </row>
        <row r="437">
          <cell r="F437">
            <v>24.099990844726563</v>
          </cell>
          <cell r="G437">
            <v>24.099990844726563</v>
          </cell>
        </row>
        <row r="438">
          <cell r="E438">
            <v>24.5</v>
          </cell>
          <cell r="F438">
            <v>23.6</v>
          </cell>
          <cell r="G438">
            <v>23.087618446210271</v>
          </cell>
        </row>
        <row r="439">
          <cell r="E439">
            <v>25.8</v>
          </cell>
          <cell r="F439">
            <v>24.1</v>
          </cell>
          <cell r="G439">
            <v>23.234654421351522</v>
          </cell>
        </row>
        <row r="440">
          <cell r="E440">
            <v>28.5</v>
          </cell>
          <cell r="F440">
            <v>25.8</v>
          </cell>
          <cell r="G440">
            <v>24.577750330162949</v>
          </cell>
        </row>
        <row r="441">
          <cell r="E441">
            <v>29.7</v>
          </cell>
          <cell r="F441">
            <v>26</v>
          </cell>
          <cell r="G441">
            <v>24.361649825750867</v>
          </cell>
        </row>
        <row r="442">
          <cell r="E442">
            <v>30.7</v>
          </cell>
          <cell r="F442">
            <v>25.6</v>
          </cell>
          <cell r="G442">
            <v>23.297679692494892</v>
          </cell>
        </row>
        <row r="443">
          <cell r="E443">
            <v>31.4</v>
          </cell>
          <cell r="F443">
            <v>26.4</v>
          </cell>
          <cell r="G443">
            <v>24.236301083473421</v>
          </cell>
        </row>
        <row r="444">
          <cell r="E444">
            <v>31.9</v>
          </cell>
          <cell r="F444">
            <v>26.1</v>
          </cell>
          <cell r="G444">
            <v>23.543968486931728</v>
          </cell>
        </row>
        <row r="445">
          <cell r="E445">
            <v>32.200000000000003</v>
          </cell>
          <cell r="F445">
            <v>26.2</v>
          </cell>
          <cell r="G445">
            <v>23.567529900946834</v>
          </cell>
        </row>
        <row r="446">
          <cell r="E446">
            <v>31.6</v>
          </cell>
          <cell r="F446">
            <v>26.1</v>
          </cell>
          <cell r="G446">
            <v>23.67903675334853</v>
          </cell>
        </row>
        <row r="447">
          <cell r="E447">
            <v>27.2</v>
          </cell>
          <cell r="F447">
            <v>23.9</v>
          </cell>
          <cell r="G447">
            <v>22.268559142983406</v>
          </cell>
        </row>
        <row r="448">
          <cell r="E448">
            <v>26</v>
          </cell>
          <cell r="F448">
            <v>23.7</v>
          </cell>
          <cell r="G448">
            <v>22.534223773870774</v>
          </cell>
        </row>
        <row r="449">
          <cell r="E449">
            <v>25.2</v>
          </cell>
          <cell r="F449">
            <v>24.4</v>
          </cell>
          <cell r="G449">
            <v>23.949143190637258</v>
          </cell>
        </row>
        <row r="450">
          <cell r="E450">
            <v>24.9</v>
          </cell>
          <cell r="F450">
            <v>24.2</v>
          </cell>
          <cell r="G450">
            <v>23.790034841842033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24.9</v>
          </cell>
          <cell r="G462">
            <v>24.899993896484375</v>
          </cell>
        </row>
        <row r="463">
          <cell r="F463">
            <v>24.899993896484375</v>
          </cell>
          <cell r="G463">
            <v>24.899993896484375</v>
          </cell>
        </row>
        <row r="464">
          <cell r="F464">
            <v>24.899993896484375</v>
          </cell>
          <cell r="G464">
            <v>24.899993896484375</v>
          </cell>
        </row>
        <row r="465">
          <cell r="F465" t="str">
            <v>WXREV</v>
          </cell>
          <cell r="G465">
            <v>24.899993896484375</v>
          </cell>
        </row>
        <row r="466">
          <cell r="F466">
            <v>24.899993896484375</v>
          </cell>
          <cell r="G466">
            <v>24.899993896484375</v>
          </cell>
        </row>
        <row r="467">
          <cell r="F467">
            <v>24.899993896484375</v>
          </cell>
          <cell r="G467">
            <v>24.899993896484375</v>
          </cell>
        </row>
        <row r="468">
          <cell r="F468">
            <v>24.899993896484375</v>
          </cell>
          <cell r="G468">
            <v>24.899993896484375</v>
          </cell>
        </row>
        <row r="469">
          <cell r="F469">
            <v>24.899993896484375</v>
          </cell>
          <cell r="G469">
            <v>24.899993896484375</v>
          </cell>
        </row>
        <row r="470">
          <cell r="F470" t="str">
            <v>MARET</v>
          </cell>
          <cell r="G470">
            <v>24.899993896484375</v>
          </cell>
        </row>
        <row r="471">
          <cell r="F471">
            <v>24.899993896484375</v>
          </cell>
          <cell r="G471">
            <v>24.899993896484375</v>
          </cell>
        </row>
        <row r="472">
          <cell r="F472" t="str">
            <v>BB</v>
          </cell>
          <cell r="G472" t="str">
            <v>TTD</v>
          </cell>
        </row>
        <row r="473">
          <cell r="F473">
            <v>24.899993896484375</v>
          </cell>
          <cell r="G473">
            <v>24.899993896484375</v>
          </cell>
        </row>
        <row r="474">
          <cell r="E474">
            <v>24.9</v>
          </cell>
          <cell r="F474">
            <v>24.1</v>
          </cell>
          <cell r="G474">
            <v>23.643490076594119</v>
          </cell>
        </row>
        <row r="475">
          <cell r="E475">
            <v>26.3</v>
          </cell>
          <cell r="F475">
            <v>25</v>
          </cell>
          <cell r="G475">
            <v>24.344754353874922</v>
          </cell>
        </row>
        <row r="476">
          <cell r="E476">
            <v>28.6</v>
          </cell>
          <cell r="F476">
            <v>25.6</v>
          </cell>
          <cell r="G476">
            <v>24.235377202799327</v>
          </cell>
        </row>
        <row r="477">
          <cell r="E477">
            <v>29.9</v>
          </cell>
          <cell r="F477">
            <v>25.7</v>
          </cell>
          <cell r="G477">
            <v>23.815003930608807</v>
          </cell>
        </row>
        <row r="478">
          <cell r="E478">
            <v>30.5</v>
          </cell>
          <cell r="F478">
            <v>25.8</v>
          </cell>
          <cell r="G478">
            <v>23.701992691525966</v>
          </cell>
        </row>
        <row r="479">
          <cell r="E479">
            <v>30.7</v>
          </cell>
          <cell r="F479">
            <v>25.8</v>
          </cell>
          <cell r="G479">
            <v>23.612164397600498</v>
          </cell>
        </row>
        <row r="480">
          <cell r="E480">
            <v>31.1</v>
          </cell>
          <cell r="F480">
            <v>25.9</v>
          </cell>
          <cell r="G480">
            <v>23.588880760079434</v>
          </cell>
        </row>
        <row r="481">
          <cell r="E481">
            <v>30.4</v>
          </cell>
          <cell r="F481">
            <v>25.8</v>
          </cell>
          <cell r="G481">
            <v>23.746748358606883</v>
          </cell>
        </row>
        <row r="482">
          <cell r="E482">
            <v>29.6</v>
          </cell>
          <cell r="F482">
            <v>25.4</v>
          </cell>
          <cell r="G482">
            <v>23.485447924589423</v>
          </cell>
        </row>
        <row r="483">
          <cell r="E483">
            <v>27.2</v>
          </cell>
          <cell r="F483">
            <v>24.8</v>
          </cell>
          <cell r="G483">
            <v>23.650934676208223</v>
          </cell>
        </row>
        <row r="484">
          <cell r="E484">
            <v>26</v>
          </cell>
          <cell r="F484">
            <v>24.6</v>
          </cell>
          <cell r="G484">
            <v>23.88848726151063</v>
          </cell>
        </row>
        <row r="485">
          <cell r="E485">
            <v>25.3</v>
          </cell>
          <cell r="F485">
            <v>24.2</v>
          </cell>
          <cell r="G485">
            <v>23.610807037277734</v>
          </cell>
        </row>
        <row r="486">
          <cell r="E486">
            <v>25</v>
          </cell>
          <cell r="F486">
            <v>24</v>
          </cell>
          <cell r="G486">
            <v>23.451002870250118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25</v>
          </cell>
          <cell r="G498">
            <v>25</v>
          </cell>
        </row>
        <row r="499">
          <cell r="F499">
            <v>25</v>
          </cell>
          <cell r="G499">
            <v>25</v>
          </cell>
        </row>
        <row r="500">
          <cell r="F500">
            <v>25</v>
          </cell>
          <cell r="G500">
            <v>25</v>
          </cell>
        </row>
        <row r="501">
          <cell r="F501" t="str">
            <v>WXREV</v>
          </cell>
          <cell r="G501">
            <v>25</v>
          </cell>
        </row>
        <row r="502">
          <cell r="F502">
            <v>25</v>
          </cell>
          <cell r="G502">
            <v>25</v>
          </cell>
        </row>
        <row r="503">
          <cell r="F503">
            <v>25</v>
          </cell>
          <cell r="G503">
            <v>25</v>
          </cell>
        </row>
        <row r="504">
          <cell r="F504">
            <v>25</v>
          </cell>
          <cell r="G504">
            <v>25</v>
          </cell>
        </row>
        <row r="505">
          <cell r="F505">
            <v>25</v>
          </cell>
          <cell r="G505">
            <v>25</v>
          </cell>
        </row>
        <row r="506">
          <cell r="F506" t="str">
            <v>MARET</v>
          </cell>
          <cell r="G506">
            <v>25</v>
          </cell>
        </row>
        <row r="507">
          <cell r="F507">
            <v>25</v>
          </cell>
          <cell r="G507">
            <v>25</v>
          </cell>
        </row>
        <row r="508">
          <cell r="F508" t="str">
            <v>BB</v>
          </cell>
          <cell r="G508" t="str">
            <v>TTD</v>
          </cell>
        </row>
        <row r="509">
          <cell r="F509">
            <v>25</v>
          </cell>
          <cell r="G509">
            <v>25</v>
          </cell>
        </row>
        <row r="510">
          <cell r="E510">
            <v>24.2</v>
          </cell>
          <cell r="F510">
            <v>24</v>
          </cell>
          <cell r="G510">
            <v>23.810762540290746</v>
          </cell>
        </row>
        <row r="511">
          <cell r="E511">
            <v>24.4</v>
          </cell>
          <cell r="F511">
            <v>24</v>
          </cell>
          <cell r="G511">
            <v>23.721458312857198</v>
          </cell>
        </row>
        <row r="512">
          <cell r="E512">
            <v>24.4</v>
          </cell>
          <cell r="F512">
            <v>23.8</v>
          </cell>
          <cell r="G512">
            <v>23.42885263958334</v>
          </cell>
        </row>
        <row r="513">
          <cell r="E513">
            <v>23.8</v>
          </cell>
          <cell r="F513">
            <v>23.6</v>
          </cell>
          <cell r="G513">
            <v>23.408806959403272</v>
          </cell>
        </row>
        <row r="514">
          <cell r="E514">
            <v>24.8</v>
          </cell>
          <cell r="F514">
            <v>23.9</v>
          </cell>
          <cell r="G514">
            <v>23.394184634767267</v>
          </cell>
        </row>
        <row r="515">
          <cell r="E515">
            <v>26.4</v>
          </cell>
          <cell r="F515">
            <v>24</v>
          </cell>
          <cell r="G515">
            <v>22.804533908537021</v>
          </cell>
        </row>
        <row r="516">
          <cell r="E516">
            <v>26.6</v>
          </cell>
          <cell r="F516">
            <v>24</v>
          </cell>
          <cell r="G516">
            <v>22.710351727825326</v>
          </cell>
        </row>
        <row r="517">
          <cell r="E517">
            <v>26.6</v>
          </cell>
          <cell r="F517">
            <v>23.7</v>
          </cell>
          <cell r="G517">
            <v>22.246129222167593</v>
          </cell>
        </row>
        <row r="518">
          <cell r="E518">
            <v>26.8</v>
          </cell>
          <cell r="F518">
            <v>24</v>
          </cell>
          <cell r="G518">
            <v>22.615697420007322</v>
          </cell>
        </row>
        <row r="519">
          <cell r="E519">
            <v>26.9</v>
          </cell>
          <cell r="F519">
            <v>23.8</v>
          </cell>
          <cell r="G519">
            <v>22.257064518435996</v>
          </cell>
        </row>
        <row r="520">
          <cell r="E520">
            <v>26.4</v>
          </cell>
          <cell r="F520">
            <v>24.6</v>
          </cell>
          <cell r="G520">
            <v>23.710183186275557</v>
          </cell>
        </row>
        <row r="521">
          <cell r="E521">
            <v>25.4</v>
          </cell>
          <cell r="F521">
            <v>24.2</v>
          </cell>
          <cell r="G521">
            <v>23.565735043217593</v>
          </cell>
        </row>
        <row r="522">
          <cell r="E522">
            <v>25</v>
          </cell>
          <cell r="F522">
            <v>24</v>
          </cell>
          <cell r="G522">
            <v>23.451002870250118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25</v>
          </cell>
          <cell r="G534">
            <v>25</v>
          </cell>
        </row>
        <row r="535">
          <cell r="F535">
            <v>25</v>
          </cell>
          <cell r="G535">
            <v>25</v>
          </cell>
        </row>
        <row r="536">
          <cell r="F536">
            <v>25</v>
          </cell>
          <cell r="G536">
            <v>25</v>
          </cell>
        </row>
        <row r="537">
          <cell r="F537" t="str">
            <v>WXREV</v>
          </cell>
          <cell r="G537">
            <v>25</v>
          </cell>
        </row>
        <row r="538">
          <cell r="F538">
            <v>25</v>
          </cell>
          <cell r="G538">
            <v>25</v>
          </cell>
        </row>
        <row r="539">
          <cell r="F539">
            <v>25</v>
          </cell>
          <cell r="G539">
            <v>25</v>
          </cell>
        </row>
        <row r="540">
          <cell r="F540">
            <v>25</v>
          </cell>
          <cell r="G540">
            <v>25</v>
          </cell>
        </row>
        <row r="541">
          <cell r="F541">
            <v>25</v>
          </cell>
          <cell r="G541">
            <v>25</v>
          </cell>
        </row>
        <row r="542">
          <cell r="F542" t="str">
            <v>MARET</v>
          </cell>
          <cell r="G542">
            <v>25</v>
          </cell>
        </row>
        <row r="543">
          <cell r="F543">
            <v>25</v>
          </cell>
          <cell r="G543">
            <v>25</v>
          </cell>
        </row>
        <row r="544">
          <cell r="F544" t="str">
            <v>BB</v>
          </cell>
          <cell r="G544" t="str">
            <v>TTD</v>
          </cell>
        </row>
        <row r="545">
          <cell r="F545">
            <v>25</v>
          </cell>
          <cell r="G545">
            <v>25</v>
          </cell>
        </row>
        <row r="546">
          <cell r="E546">
            <v>23.7</v>
          </cell>
          <cell r="F546">
            <v>23</v>
          </cell>
          <cell r="G546">
            <v>22.56947837237583</v>
          </cell>
        </row>
        <row r="547">
          <cell r="E547">
            <v>25.8</v>
          </cell>
          <cell r="F547">
            <v>23.8</v>
          </cell>
          <cell r="G547">
            <v>22.781622980972795</v>
          </cell>
        </row>
        <row r="548">
          <cell r="E548">
            <v>27.5</v>
          </cell>
          <cell r="F548">
            <v>24.5</v>
          </cell>
          <cell r="G548">
            <v>23.057726613627626</v>
          </cell>
        </row>
        <row r="549">
          <cell r="E549">
            <v>28.7</v>
          </cell>
          <cell r="F549">
            <v>25</v>
          </cell>
          <cell r="G549">
            <v>23.275625347336408</v>
          </cell>
        </row>
        <row r="550">
          <cell r="E550">
            <v>29.5</v>
          </cell>
          <cell r="F550">
            <v>25.4</v>
          </cell>
          <cell r="G550">
            <v>23.530714132417096</v>
          </cell>
        </row>
        <row r="551">
          <cell r="E551">
            <v>30.5</v>
          </cell>
          <cell r="F551">
            <v>25.8</v>
          </cell>
          <cell r="G551">
            <v>23.701992691525966</v>
          </cell>
        </row>
        <row r="552">
          <cell r="E552">
            <v>30.4</v>
          </cell>
          <cell r="F552">
            <v>26.3</v>
          </cell>
          <cell r="G552">
            <v>24.515386240018543</v>
          </cell>
        </row>
        <row r="553">
          <cell r="E553">
            <v>29.6</v>
          </cell>
          <cell r="F553">
            <v>26.2</v>
          </cell>
          <cell r="G553">
            <v>24.706168921549796</v>
          </cell>
        </row>
        <row r="554">
          <cell r="E554">
            <v>29.4</v>
          </cell>
          <cell r="F554">
            <v>26.1</v>
          </cell>
          <cell r="G554">
            <v>24.641351628929243</v>
          </cell>
        </row>
        <row r="555">
          <cell r="E555">
            <v>23.4</v>
          </cell>
          <cell r="F555">
            <v>22.8</v>
          </cell>
          <cell r="G555">
            <v>22.413918494565792</v>
          </cell>
        </row>
        <row r="556">
          <cell r="E556">
            <v>23.6</v>
          </cell>
          <cell r="F556">
            <v>22.8</v>
          </cell>
          <cell r="G556">
            <v>22.317767571519479</v>
          </cell>
        </row>
        <row r="557">
          <cell r="E557">
            <v>23.6</v>
          </cell>
          <cell r="F557">
            <v>22.8</v>
          </cell>
          <cell r="G557">
            <v>22.317767571519479</v>
          </cell>
        </row>
        <row r="558">
          <cell r="E558">
            <v>23.6</v>
          </cell>
          <cell r="F558">
            <v>22.8</v>
          </cell>
          <cell r="G558">
            <v>22.317767571519479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23.4</v>
          </cell>
          <cell r="G570">
            <v>23.399993896484375</v>
          </cell>
        </row>
        <row r="571">
          <cell r="F571">
            <v>23.399993896484375</v>
          </cell>
          <cell r="G571">
            <v>23.399993896484375</v>
          </cell>
        </row>
        <row r="572">
          <cell r="F572">
            <v>23.399993896484375</v>
          </cell>
          <cell r="G572">
            <v>23.399993896484375</v>
          </cell>
        </row>
        <row r="573">
          <cell r="F573" t="str">
            <v>WXREV</v>
          </cell>
          <cell r="G573">
            <v>23.399993896484375</v>
          </cell>
        </row>
        <row r="574">
          <cell r="F574">
            <v>23.399993896484375</v>
          </cell>
          <cell r="G574">
            <v>23.399993896484375</v>
          </cell>
        </row>
        <row r="575">
          <cell r="F575">
            <v>23.399993896484375</v>
          </cell>
          <cell r="G575">
            <v>23.399993896484375</v>
          </cell>
        </row>
        <row r="576">
          <cell r="F576">
            <v>23.399993896484375</v>
          </cell>
          <cell r="G576">
            <v>23.399993896484375</v>
          </cell>
        </row>
        <row r="577">
          <cell r="F577">
            <v>23.399993896484375</v>
          </cell>
          <cell r="G577">
            <v>23.399993896484375</v>
          </cell>
        </row>
        <row r="578">
          <cell r="F578" t="str">
            <v>MARET</v>
          </cell>
          <cell r="G578">
            <v>23.399993896484375</v>
          </cell>
        </row>
        <row r="579">
          <cell r="F579">
            <v>23.399993896484375</v>
          </cell>
          <cell r="G579">
            <v>23.399993896484375</v>
          </cell>
        </row>
        <row r="580">
          <cell r="F580" t="str">
            <v>BB</v>
          </cell>
          <cell r="G580" t="str">
            <v>TTD</v>
          </cell>
        </row>
        <row r="581">
          <cell r="F581">
            <v>23.399993896484375</v>
          </cell>
          <cell r="G581">
            <v>23.399993896484375</v>
          </cell>
        </row>
        <row r="582">
          <cell r="E582">
            <v>24</v>
          </cell>
          <cell r="F582">
            <v>23</v>
          </cell>
          <cell r="G582">
            <v>22.426257580226199</v>
          </cell>
        </row>
        <row r="583">
          <cell r="E583">
            <v>26</v>
          </cell>
          <cell r="F583">
            <v>23.9</v>
          </cell>
          <cell r="G583">
            <v>22.839750014846285</v>
          </cell>
        </row>
        <row r="584">
          <cell r="E584">
            <v>28</v>
          </cell>
          <cell r="F584">
            <v>25.1</v>
          </cell>
          <cell r="G584">
            <v>23.745517608194067</v>
          </cell>
        </row>
        <row r="585">
          <cell r="E585">
            <v>29.3</v>
          </cell>
          <cell r="F585">
            <v>25.3</v>
          </cell>
          <cell r="G585">
            <v>23.466413061032977</v>
          </cell>
        </row>
        <row r="586">
          <cell r="E586">
            <v>30</v>
          </cell>
          <cell r="F586">
            <v>25.8</v>
          </cell>
          <cell r="G586">
            <v>23.924726871474732</v>
          </cell>
        </row>
        <row r="587">
          <cell r="E587">
            <v>30.3</v>
          </cell>
          <cell r="F587">
            <v>26.3</v>
          </cell>
          <cell r="G587">
            <v>24.558279729496785</v>
          </cell>
        </row>
        <row r="588">
          <cell r="E588">
            <v>30.5</v>
          </cell>
          <cell r="F588">
            <v>26.9</v>
          </cell>
          <cell r="G588">
            <v>25.375561272846806</v>
          </cell>
        </row>
        <row r="589">
          <cell r="E589">
            <v>32</v>
          </cell>
          <cell r="F589">
            <v>26.8</v>
          </cell>
          <cell r="G589">
            <v>24.595592251657958</v>
          </cell>
        </row>
        <row r="590">
          <cell r="E590">
            <v>31.9</v>
          </cell>
          <cell r="F590">
            <v>27.4</v>
          </cell>
          <cell r="G590">
            <v>25.550262329032996</v>
          </cell>
        </row>
        <row r="591">
          <cell r="E591">
            <v>31.2</v>
          </cell>
          <cell r="F591">
            <v>27.4</v>
          </cell>
          <cell r="G591">
            <v>25.833058292922001</v>
          </cell>
        </row>
        <row r="592">
          <cell r="E592">
            <v>30</v>
          </cell>
          <cell r="F592">
            <v>26.8</v>
          </cell>
          <cell r="G592">
            <v>25.432381669400549</v>
          </cell>
        </row>
        <row r="593">
          <cell r="E593">
            <v>28.6</v>
          </cell>
          <cell r="F593">
            <v>26.2</v>
          </cell>
          <cell r="G593">
            <v>25.126693789475187</v>
          </cell>
        </row>
        <row r="594">
          <cell r="E594">
            <v>27.4</v>
          </cell>
          <cell r="F594">
            <v>25.8</v>
          </cell>
          <cell r="G594">
            <v>25.042874125091561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27.4</v>
          </cell>
          <cell r="G606">
            <v>27.399993896484375</v>
          </cell>
        </row>
        <row r="607">
          <cell r="F607">
            <v>27.399993896484375</v>
          </cell>
          <cell r="G607">
            <v>27.399993896484375</v>
          </cell>
        </row>
        <row r="608">
          <cell r="F608">
            <v>27.399993896484375</v>
          </cell>
          <cell r="G608">
            <v>27.399993896484375</v>
          </cell>
        </row>
        <row r="609">
          <cell r="F609" t="str">
            <v>WXREV</v>
          </cell>
          <cell r="G609">
            <v>27.399993896484375</v>
          </cell>
        </row>
        <row r="610">
          <cell r="F610">
            <v>27.399993896484375</v>
          </cell>
          <cell r="G610">
            <v>27.399993896484375</v>
          </cell>
        </row>
        <row r="611">
          <cell r="F611">
            <v>27.399993896484375</v>
          </cell>
          <cell r="G611">
            <v>27.399993896484375</v>
          </cell>
        </row>
        <row r="612">
          <cell r="F612">
            <v>27.399993896484375</v>
          </cell>
          <cell r="G612">
            <v>27.399993896484375</v>
          </cell>
        </row>
        <row r="613">
          <cell r="F613">
            <v>27.399993896484375</v>
          </cell>
          <cell r="G613">
            <v>27.399993896484375</v>
          </cell>
        </row>
        <row r="614">
          <cell r="F614" t="str">
            <v>MARET</v>
          </cell>
          <cell r="G614">
            <v>27.399993896484375</v>
          </cell>
        </row>
        <row r="615">
          <cell r="F615">
            <v>27.399993896484375</v>
          </cell>
          <cell r="G615">
            <v>27.399993896484375</v>
          </cell>
        </row>
        <row r="616">
          <cell r="F616" t="str">
            <v>BB</v>
          </cell>
          <cell r="G616" t="str">
            <v>TTD</v>
          </cell>
        </row>
        <row r="617">
          <cell r="F617">
            <v>27.399993896484375</v>
          </cell>
          <cell r="G617">
            <v>27.399993896484375</v>
          </cell>
        </row>
        <row r="618">
          <cell r="E618">
            <v>26.2</v>
          </cell>
          <cell r="F618">
            <v>24.7</v>
          </cell>
          <cell r="G618">
            <v>23.947561150294405</v>
          </cell>
        </row>
        <row r="619">
          <cell r="E619">
            <v>27.8</v>
          </cell>
          <cell r="F619">
            <v>25</v>
          </cell>
          <cell r="G619">
            <v>23.683614162726549</v>
          </cell>
        </row>
        <row r="620">
          <cell r="E620">
            <v>29</v>
          </cell>
          <cell r="F620">
            <v>25.3</v>
          </cell>
          <cell r="G620">
            <v>23.60202393285725</v>
          </cell>
        </row>
        <row r="621">
          <cell r="E621">
            <v>30</v>
          </cell>
          <cell r="F621">
            <v>26</v>
          </cell>
          <cell r="G621">
            <v>24.231346865433</v>
          </cell>
        </row>
        <row r="622">
          <cell r="E622">
            <v>30.1</v>
          </cell>
          <cell r="F622">
            <v>26.6</v>
          </cell>
          <cell r="G622">
            <v>25.094167733701742</v>
          </cell>
        </row>
        <row r="623">
          <cell r="E623">
            <v>30.2</v>
          </cell>
          <cell r="F623">
            <v>26.8</v>
          </cell>
          <cell r="G623">
            <v>25.350320273695747</v>
          </cell>
        </row>
        <row r="624">
          <cell r="E624">
            <v>28.2</v>
          </cell>
          <cell r="F624">
            <v>26.5</v>
          </cell>
          <cell r="G624">
            <v>25.726432888475905</v>
          </cell>
        </row>
        <row r="625">
          <cell r="E625">
            <v>28.6</v>
          </cell>
          <cell r="F625">
            <v>26.6</v>
          </cell>
          <cell r="G625">
            <v>25.709266684195939</v>
          </cell>
        </row>
        <row r="626">
          <cell r="E626">
            <v>25.3</v>
          </cell>
          <cell r="F626">
            <v>24.2</v>
          </cell>
          <cell r="G626">
            <v>23.610807037277734</v>
          </cell>
        </row>
        <row r="627">
          <cell r="E627">
            <v>25.5</v>
          </cell>
          <cell r="F627">
            <v>24.2</v>
          </cell>
          <cell r="G627">
            <v>23.520555948119188</v>
          </cell>
        </row>
        <row r="628">
          <cell r="E628">
            <v>26.2</v>
          </cell>
          <cell r="F628">
            <v>25</v>
          </cell>
          <cell r="G628">
            <v>24.388027271235554</v>
          </cell>
        </row>
        <row r="629">
          <cell r="E629">
            <v>26.2</v>
          </cell>
          <cell r="F629">
            <v>25</v>
          </cell>
          <cell r="G629">
            <v>24.388027271235554</v>
          </cell>
        </row>
        <row r="630">
          <cell r="E630">
            <v>26.3</v>
          </cell>
          <cell r="F630">
            <v>25.3</v>
          </cell>
          <cell r="G630">
            <v>24.780993312524082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25.3</v>
          </cell>
          <cell r="G642">
            <v>25.29998779296875</v>
          </cell>
        </row>
        <row r="643">
          <cell r="F643">
            <v>25.29998779296875</v>
          </cell>
          <cell r="G643">
            <v>25.29998779296875</v>
          </cell>
        </row>
        <row r="644">
          <cell r="F644">
            <v>25.29998779296875</v>
          </cell>
          <cell r="G644">
            <v>25.29998779296875</v>
          </cell>
        </row>
        <row r="645">
          <cell r="F645" t="str">
            <v>WXREV</v>
          </cell>
          <cell r="G645">
            <v>25.29998779296875</v>
          </cell>
        </row>
        <row r="646">
          <cell r="F646">
            <v>25.29998779296875</v>
          </cell>
          <cell r="G646">
            <v>25.29998779296875</v>
          </cell>
        </row>
        <row r="647">
          <cell r="F647">
            <v>25.29998779296875</v>
          </cell>
          <cell r="G647">
            <v>25.29998779296875</v>
          </cell>
        </row>
        <row r="648">
          <cell r="F648">
            <v>25.29998779296875</v>
          </cell>
          <cell r="G648">
            <v>25.29998779296875</v>
          </cell>
        </row>
        <row r="649">
          <cell r="F649">
            <v>25.29998779296875</v>
          </cell>
          <cell r="G649">
            <v>25.29998779296875</v>
          </cell>
        </row>
        <row r="650">
          <cell r="F650" t="str">
            <v>MARET</v>
          </cell>
          <cell r="G650">
            <v>25.29998779296875</v>
          </cell>
        </row>
        <row r="651">
          <cell r="F651">
            <v>25.29998779296875</v>
          </cell>
          <cell r="G651">
            <v>25.29998779296875</v>
          </cell>
        </row>
        <row r="652">
          <cell r="F652" t="str">
            <v>BB</v>
          </cell>
          <cell r="G652" t="str">
            <v>TTD</v>
          </cell>
        </row>
        <row r="653">
          <cell r="F653">
            <v>25.29998779296875</v>
          </cell>
          <cell r="G653">
            <v>25.29998779296875</v>
          </cell>
        </row>
        <row r="654">
          <cell r="E654">
            <v>25.4</v>
          </cell>
          <cell r="F654">
            <v>24.4</v>
          </cell>
          <cell r="G654">
            <v>23.860484247779919</v>
          </cell>
        </row>
        <row r="655">
          <cell r="E655">
            <v>26.6</v>
          </cell>
          <cell r="F655">
            <v>25.4</v>
          </cell>
          <cell r="G655">
            <v>24.798771745606889</v>
          </cell>
        </row>
        <row r="656">
          <cell r="E656">
            <v>28.6</v>
          </cell>
          <cell r="F656">
            <v>25.6</v>
          </cell>
          <cell r="G656">
            <v>24.235377202799327</v>
          </cell>
        </row>
        <row r="657">
          <cell r="E657">
            <v>29.2</v>
          </cell>
          <cell r="F657">
            <v>26.6</v>
          </cell>
          <cell r="G657">
            <v>25.465574323631699</v>
          </cell>
        </row>
        <row r="658">
          <cell r="E658">
            <v>29.6</v>
          </cell>
          <cell r="F658">
            <v>26</v>
          </cell>
          <cell r="G658">
            <v>24.404887683239696</v>
          </cell>
        </row>
        <row r="659">
          <cell r="E659">
            <v>29.8</v>
          </cell>
          <cell r="F659">
            <v>25.8</v>
          </cell>
          <cell r="G659">
            <v>24.013096932917858</v>
          </cell>
        </row>
        <row r="660">
          <cell r="E660">
            <v>29.6</v>
          </cell>
          <cell r="F660">
            <v>25.6</v>
          </cell>
          <cell r="G660">
            <v>23.79460686035754</v>
          </cell>
        </row>
        <row r="661">
          <cell r="E661">
            <v>30.1</v>
          </cell>
          <cell r="F661">
            <v>26.1</v>
          </cell>
          <cell r="G661">
            <v>24.340382960192674</v>
          </cell>
        </row>
        <row r="662">
          <cell r="E662">
            <v>29.5</v>
          </cell>
          <cell r="F662">
            <v>25.7</v>
          </cell>
          <cell r="G662">
            <v>23.992347993601047</v>
          </cell>
        </row>
        <row r="663">
          <cell r="E663">
            <v>28.8</v>
          </cell>
          <cell r="F663">
            <v>25.3</v>
          </cell>
          <cell r="G663">
            <v>23.691896911833854</v>
          </cell>
        </row>
        <row r="664">
          <cell r="E664">
            <v>28.1</v>
          </cell>
          <cell r="F664">
            <v>25</v>
          </cell>
          <cell r="G664">
            <v>23.548588754237745</v>
          </cell>
        </row>
        <row r="665">
          <cell r="E665">
            <v>27.2</v>
          </cell>
          <cell r="F665">
            <v>24.7</v>
          </cell>
          <cell r="G665">
            <v>23.500033572610199</v>
          </cell>
        </row>
        <row r="666">
          <cell r="E666">
            <v>26.5</v>
          </cell>
          <cell r="F666">
            <v>24.6</v>
          </cell>
          <cell r="G666">
            <v>23.665345072616162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26.5</v>
          </cell>
          <cell r="G678">
            <v>26.5</v>
          </cell>
        </row>
        <row r="679">
          <cell r="F679">
            <v>26.5</v>
          </cell>
          <cell r="G679">
            <v>26.5</v>
          </cell>
        </row>
        <row r="680">
          <cell r="F680">
            <v>26.5</v>
          </cell>
          <cell r="G680">
            <v>26.5</v>
          </cell>
        </row>
        <row r="681">
          <cell r="F681" t="str">
            <v>WXREV</v>
          </cell>
          <cell r="G681">
            <v>26.5</v>
          </cell>
        </row>
        <row r="682">
          <cell r="F682">
            <v>26.5</v>
          </cell>
          <cell r="G682">
            <v>26.5</v>
          </cell>
        </row>
        <row r="683">
          <cell r="F683">
            <v>26.5</v>
          </cell>
          <cell r="G683">
            <v>26.5</v>
          </cell>
        </row>
        <row r="684">
          <cell r="F684">
            <v>26.5</v>
          </cell>
          <cell r="G684">
            <v>26.5</v>
          </cell>
        </row>
        <row r="685">
          <cell r="F685">
            <v>26.5</v>
          </cell>
          <cell r="G685">
            <v>26.5</v>
          </cell>
        </row>
        <row r="686">
          <cell r="F686" t="str">
            <v>MARET</v>
          </cell>
          <cell r="G686">
            <v>26.5</v>
          </cell>
        </row>
        <row r="687">
          <cell r="F687">
            <v>26.5</v>
          </cell>
          <cell r="G687">
            <v>26.5</v>
          </cell>
        </row>
        <row r="688">
          <cell r="F688" t="str">
            <v>BB</v>
          </cell>
          <cell r="G688" t="str">
            <v>TTD</v>
          </cell>
        </row>
        <row r="689">
          <cell r="F689">
            <v>26.5</v>
          </cell>
          <cell r="G689">
            <v>26.5</v>
          </cell>
        </row>
        <row r="690">
          <cell r="E690">
            <v>24.8</v>
          </cell>
          <cell r="F690">
            <v>23</v>
          </cell>
          <cell r="G690">
            <v>22.038921395720571</v>
          </cell>
        </row>
        <row r="691">
          <cell r="E691">
            <v>26.6</v>
          </cell>
          <cell r="F691">
            <v>23.8</v>
          </cell>
          <cell r="G691">
            <v>22.401579926224102</v>
          </cell>
        </row>
        <row r="692">
          <cell r="E692">
            <v>27.9</v>
          </cell>
          <cell r="F692">
            <v>24.2</v>
          </cell>
          <cell r="G692">
            <v>22.402630915606249</v>
          </cell>
        </row>
        <row r="693">
          <cell r="E693">
            <v>29</v>
          </cell>
          <cell r="F693">
            <v>25</v>
          </cell>
          <cell r="G693">
            <v>23.13765699199967</v>
          </cell>
        </row>
        <row r="694">
          <cell r="E694">
            <v>29.9</v>
          </cell>
          <cell r="F694">
            <v>25.4</v>
          </cell>
          <cell r="G694">
            <v>23.348998535378588</v>
          </cell>
        </row>
        <row r="695">
          <cell r="E695">
            <v>30.4</v>
          </cell>
          <cell r="F695">
            <v>25.3</v>
          </cell>
          <cell r="G695">
            <v>22.960715346435535</v>
          </cell>
        </row>
        <row r="696">
          <cell r="E696">
            <v>31.2</v>
          </cell>
          <cell r="F696">
            <v>25.8</v>
          </cell>
          <cell r="G696">
            <v>23.385719390969253</v>
          </cell>
        </row>
        <row r="697">
          <cell r="E697">
            <v>30</v>
          </cell>
          <cell r="F697">
            <v>25.2</v>
          </cell>
          <cell r="G697">
            <v>22.988313287442271</v>
          </cell>
        </row>
        <row r="698">
          <cell r="E698">
            <v>29</v>
          </cell>
          <cell r="F698">
            <v>25</v>
          </cell>
          <cell r="G698">
            <v>23.13765699199967</v>
          </cell>
        </row>
        <row r="699">
          <cell r="E699">
            <v>28.4</v>
          </cell>
          <cell r="F699">
            <v>24.6</v>
          </cell>
          <cell r="G699">
            <v>22.792662448856582</v>
          </cell>
        </row>
        <row r="700">
          <cell r="E700">
            <v>27.8</v>
          </cell>
          <cell r="F700">
            <v>24.2</v>
          </cell>
          <cell r="G700">
            <v>22.450555846127838</v>
          </cell>
        </row>
        <row r="701">
          <cell r="E701">
            <v>27</v>
          </cell>
          <cell r="F701">
            <v>24</v>
          </cell>
          <cell r="G701">
            <v>22.520565860984291</v>
          </cell>
        </row>
        <row r="702">
          <cell r="E702">
            <v>26.4</v>
          </cell>
          <cell r="F702">
            <v>23.8</v>
          </cell>
          <cell r="G702">
            <v>22.497311086300893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26.4</v>
          </cell>
          <cell r="G714">
            <v>26.399993896484375</v>
          </cell>
        </row>
        <row r="715">
          <cell r="F715">
            <v>26.399993896484375</v>
          </cell>
          <cell r="G715">
            <v>26.399993896484375</v>
          </cell>
        </row>
        <row r="716">
          <cell r="F716">
            <v>26.399993896484375</v>
          </cell>
          <cell r="G716">
            <v>26.399993896484375</v>
          </cell>
        </row>
        <row r="717">
          <cell r="F717" t="str">
            <v>WXREV</v>
          </cell>
          <cell r="G717">
            <v>26.399993896484375</v>
          </cell>
        </row>
        <row r="718">
          <cell r="F718">
            <v>26.399993896484375</v>
          </cell>
          <cell r="G718">
            <v>26.399993896484375</v>
          </cell>
        </row>
        <row r="719">
          <cell r="F719">
            <v>26.399993896484375</v>
          </cell>
          <cell r="G719">
            <v>26.399993896484375</v>
          </cell>
        </row>
        <row r="720">
          <cell r="F720">
            <v>26.399993896484375</v>
          </cell>
          <cell r="G720">
            <v>26.399993896484375</v>
          </cell>
        </row>
        <row r="721">
          <cell r="F721">
            <v>26.399993896484375</v>
          </cell>
          <cell r="G721">
            <v>26.399993896484375</v>
          </cell>
        </row>
        <row r="722">
          <cell r="F722" t="str">
            <v>MARET</v>
          </cell>
          <cell r="G722">
            <v>26.399993896484375</v>
          </cell>
        </row>
        <row r="723">
          <cell r="F723">
            <v>26.399993896484375</v>
          </cell>
          <cell r="G723">
            <v>26.399993896484375</v>
          </cell>
        </row>
        <row r="724">
          <cell r="F724" t="str">
            <v>BB</v>
          </cell>
          <cell r="G724" t="str">
            <v>TTD</v>
          </cell>
        </row>
        <row r="725">
          <cell r="F725">
            <v>26.399993896484375</v>
          </cell>
          <cell r="G725">
            <v>26.399993896484375</v>
          </cell>
        </row>
        <row r="726">
          <cell r="E726">
            <v>25</v>
          </cell>
          <cell r="F726">
            <v>24.1</v>
          </cell>
          <cell r="G726">
            <v>23.598495867136165</v>
          </cell>
        </row>
        <row r="727">
          <cell r="E727">
            <v>27</v>
          </cell>
          <cell r="F727">
            <v>24.9</v>
          </cell>
          <cell r="G727">
            <v>23.890133080418831</v>
          </cell>
        </row>
        <row r="728">
          <cell r="E728">
            <v>28</v>
          </cell>
          <cell r="F728">
            <v>25.7</v>
          </cell>
          <cell r="G728">
            <v>24.643100813782382</v>
          </cell>
        </row>
        <row r="729">
          <cell r="E729">
            <v>29.3</v>
          </cell>
          <cell r="F729">
            <v>25.1</v>
          </cell>
          <cell r="G729">
            <v>23.15530014080689</v>
          </cell>
        </row>
        <row r="730">
          <cell r="E730">
            <v>30.2</v>
          </cell>
          <cell r="F730">
            <v>25.4</v>
          </cell>
          <cell r="G730">
            <v>23.211561155971527</v>
          </cell>
        </row>
        <row r="731">
          <cell r="E731">
            <v>30.2</v>
          </cell>
          <cell r="F731">
            <v>25.7</v>
          </cell>
          <cell r="G731">
            <v>23.680904262603566</v>
          </cell>
        </row>
        <row r="732">
          <cell r="E732">
            <v>30.3</v>
          </cell>
          <cell r="F732">
            <v>25.6</v>
          </cell>
          <cell r="G732">
            <v>23.479887102847229</v>
          </cell>
        </row>
        <row r="733">
          <cell r="E733">
            <v>28.7</v>
          </cell>
          <cell r="F733">
            <v>25.2</v>
          </cell>
          <cell r="G733">
            <v>23.583668381801939</v>
          </cell>
        </row>
        <row r="734">
          <cell r="E734">
            <v>26.8</v>
          </cell>
          <cell r="F734">
            <v>24.6</v>
          </cell>
          <cell r="G734">
            <v>23.530193147412959</v>
          </cell>
        </row>
        <row r="735">
          <cell r="E735">
            <v>25.7</v>
          </cell>
          <cell r="F735">
            <v>24.1</v>
          </cell>
          <cell r="G735">
            <v>23.280517800633735</v>
          </cell>
        </row>
        <row r="736">
          <cell r="E736">
            <v>25.3</v>
          </cell>
          <cell r="F736">
            <v>24.2</v>
          </cell>
          <cell r="G736">
            <v>23.610807037277734</v>
          </cell>
        </row>
        <row r="737">
          <cell r="E737">
            <v>24.9</v>
          </cell>
          <cell r="F737">
            <v>24.2</v>
          </cell>
          <cell r="G737">
            <v>23.790034841842033</v>
          </cell>
        </row>
        <row r="738">
          <cell r="E738">
            <v>24.7</v>
          </cell>
          <cell r="F738">
            <v>23.9</v>
          </cell>
          <cell r="G738">
            <v>23.439663949209095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24.7</v>
          </cell>
          <cell r="G750">
            <v>24.699996948242188</v>
          </cell>
        </row>
        <row r="751">
          <cell r="F751">
            <v>24.699996948242188</v>
          </cell>
          <cell r="G751">
            <v>24.699996948242188</v>
          </cell>
        </row>
        <row r="752">
          <cell r="F752">
            <v>24.699996948242188</v>
          </cell>
          <cell r="G752">
            <v>24.699996948242188</v>
          </cell>
        </row>
        <row r="753">
          <cell r="F753" t="str">
            <v>WXREV</v>
          </cell>
          <cell r="G753">
            <v>24.699996948242188</v>
          </cell>
        </row>
        <row r="754">
          <cell r="F754">
            <v>24.699996948242188</v>
          </cell>
          <cell r="G754">
            <v>24.699996948242188</v>
          </cell>
        </row>
        <row r="755">
          <cell r="F755">
            <v>24.699996948242188</v>
          </cell>
          <cell r="G755">
            <v>24.699996948242188</v>
          </cell>
        </row>
        <row r="756">
          <cell r="F756">
            <v>24.699996948242188</v>
          </cell>
          <cell r="G756">
            <v>24.699996948242188</v>
          </cell>
        </row>
        <row r="757">
          <cell r="F757">
            <v>24.699996948242188</v>
          </cell>
          <cell r="G757">
            <v>24.699996948242188</v>
          </cell>
        </row>
        <row r="758">
          <cell r="F758" t="str">
            <v>MARET</v>
          </cell>
          <cell r="G758">
            <v>24.699996948242188</v>
          </cell>
        </row>
        <row r="759">
          <cell r="F759">
            <v>24.699996948242188</v>
          </cell>
          <cell r="G759">
            <v>24.699996948242188</v>
          </cell>
        </row>
        <row r="760">
          <cell r="F760" t="str">
            <v>BB</v>
          </cell>
          <cell r="G760" t="str">
            <v>TTD</v>
          </cell>
        </row>
        <row r="761">
          <cell r="F761">
            <v>24.699996948242188</v>
          </cell>
          <cell r="G761">
            <v>24.699996948242188</v>
          </cell>
        </row>
        <row r="762">
          <cell r="E762">
            <v>24.8</v>
          </cell>
          <cell r="F762">
            <v>23.1</v>
          </cell>
          <cell r="G762">
            <v>22.192174368298414</v>
          </cell>
        </row>
        <row r="763">
          <cell r="E763">
            <v>25.1</v>
          </cell>
          <cell r="F763">
            <v>23.6</v>
          </cell>
          <cell r="G763">
            <v>22.807911515857466</v>
          </cell>
        </row>
        <row r="764">
          <cell r="E764">
            <v>26.6</v>
          </cell>
          <cell r="F764">
            <v>24.5</v>
          </cell>
          <cell r="G764">
            <v>23.470360724914261</v>
          </cell>
        </row>
        <row r="765">
          <cell r="E765">
            <v>28.5</v>
          </cell>
          <cell r="F765">
            <v>25.6</v>
          </cell>
          <cell r="G765">
            <v>24.278899833422276</v>
          </cell>
        </row>
        <row r="766">
          <cell r="E766">
            <v>30.1</v>
          </cell>
          <cell r="F766">
            <v>25.7</v>
          </cell>
          <cell r="G766">
            <v>23.725709166248677</v>
          </cell>
        </row>
        <row r="767">
          <cell r="E767">
            <v>31</v>
          </cell>
          <cell r="F767">
            <v>25.1</v>
          </cell>
          <cell r="G767">
            <v>22.35463937621892</v>
          </cell>
        </row>
        <row r="768">
          <cell r="E768">
            <v>32.299999999999997</v>
          </cell>
          <cell r="F768">
            <v>25.8</v>
          </cell>
          <cell r="G768">
            <v>22.877817745524776</v>
          </cell>
        </row>
        <row r="769">
          <cell r="E769">
            <v>31.7</v>
          </cell>
          <cell r="F769">
            <v>25.8</v>
          </cell>
          <cell r="G769">
            <v>23.156541144087583</v>
          </cell>
        </row>
        <row r="770">
          <cell r="E770">
            <v>29.7</v>
          </cell>
          <cell r="F770">
            <v>24.9</v>
          </cell>
          <cell r="G770">
            <v>22.652848637331207</v>
          </cell>
        </row>
        <row r="771">
          <cell r="E771">
            <v>27.8</v>
          </cell>
          <cell r="F771">
            <v>24.7</v>
          </cell>
          <cell r="G771">
            <v>23.226371733954831</v>
          </cell>
        </row>
        <row r="772">
          <cell r="E772">
            <v>26.4</v>
          </cell>
          <cell r="F772">
            <v>24.6</v>
          </cell>
          <cell r="G772">
            <v>23.710183186275557</v>
          </cell>
        </row>
        <row r="773">
          <cell r="E773">
            <v>25</v>
          </cell>
          <cell r="F773">
            <v>24</v>
          </cell>
          <cell r="G773">
            <v>23.451002870250118</v>
          </cell>
        </row>
        <row r="774">
          <cell r="E774">
            <v>23.2</v>
          </cell>
          <cell r="F774">
            <v>22.8</v>
          </cell>
          <cell r="G774">
            <v>22.509581083658311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23.2</v>
          </cell>
          <cell r="G786">
            <v>23.199996948242188</v>
          </cell>
        </row>
        <row r="787">
          <cell r="F787">
            <v>23.199996948242188</v>
          </cell>
          <cell r="G787">
            <v>23.199996948242188</v>
          </cell>
        </row>
        <row r="788">
          <cell r="F788">
            <v>23.199996948242188</v>
          </cell>
          <cell r="G788">
            <v>23.199996948242188</v>
          </cell>
        </row>
        <row r="789">
          <cell r="F789" t="str">
            <v>WXREV</v>
          </cell>
          <cell r="G789">
            <v>23.199996948242188</v>
          </cell>
        </row>
        <row r="790">
          <cell r="F790">
            <v>23.199996948242188</v>
          </cell>
          <cell r="G790">
            <v>23.199996948242188</v>
          </cell>
        </row>
        <row r="791">
          <cell r="F791">
            <v>23.199996948242188</v>
          </cell>
          <cell r="G791">
            <v>23.199996948242188</v>
          </cell>
        </row>
        <row r="792">
          <cell r="F792">
            <v>23.199996948242188</v>
          </cell>
          <cell r="G792">
            <v>23.199996948242188</v>
          </cell>
        </row>
        <row r="793">
          <cell r="F793">
            <v>23.199996948242188</v>
          </cell>
          <cell r="G793">
            <v>23.199996948242188</v>
          </cell>
        </row>
        <row r="794">
          <cell r="F794" t="str">
            <v>MARET</v>
          </cell>
          <cell r="G794">
            <v>23.199996948242188</v>
          </cell>
        </row>
        <row r="795">
          <cell r="F795">
            <v>23.199996948242188</v>
          </cell>
          <cell r="G795">
            <v>23.199996948242188</v>
          </cell>
        </row>
        <row r="796">
          <cell r="F796" t="str">
            <v>BB</v>
          </cell>
          <cell r="G796" t="str">
            <v>TTD</v>
          </cell>
        </row>
        <row r="797">
          <cell r="F797">
            <v>23.199996948242188</v>
          </cell>
          <cell r="G797">
            <v>23.199996948242188</v>
          </cell>
        </row>
        <row r="798">
          <cell r="E798">
            <v>25.4</v>
          </cell>
          <cell r="F798">
            <v>24.1</v>
          </cell>
          <cell r="G798">
            <v>23.417446507367213</v>
          </cell>
        </row>
        <row r="799">
          <cell r="E799">
            <v>27.1</v>
          </cell>
          <cell r="F799">
            <v>24.9</v>
          </cell>
          <cell r="G799">
            <v>23.845716181625463</v>
          </cell>
        </row>
        <row r="800">
          <cell r="E800">
            <v>28.9</v>
          </cell>
          <cell r="F800">
            <v>25.8</v>
          </cell>
          <cell r="G800">
            <v>24.405778998377858</v>
          </cell>
        </row>
        <row r="801">
          <cell r="E801">
            <v>29.2</v>
          </cell>
          <cell r="F801">
            <v>25.7</v>
          </cell>
          <cell r="G801">
            <v>24.12428248768639</v>
          </cell>
        </row>
        <row r="802">
          <cell r="E802">
            <v>30.4</v>
          </cell>
          <cell r="F802">
            <v>25.8</v>
          </cell>
          <cell r="G802">
            <v>23.746748358606883</v>
          </cell>
        </row>
        <row r="803">
          <cell r="E803">
            <v>27.6</v>
          </cell>
          <cell r="F803">
            <v>24.8</v>
          </cell>
          <cell r="G803">
            <v>23.470377859669266</v>
          </cell>
        </row>
        <row r="804">
          <cell r="E804">
            <v>28</v>
          </cell>
          <cell r="F804">
            <v>25.1</v>
          </cell>
          <cell r="G804">
            <v>23.745517608194067</v>
          </cell>
        </row>
        <row r="805">
          <cell r="E805">
            <v>29.6</v>
          </cell>
          <cell r="F805">
            <v>25.4</v>
          </cell>
          <cell r="G805">
            <v>23.485447924589423</v>
          </cell>
        </row>
        <row r="806">
          <cell r="E806">
            <v>29</v>
          </cell>
          <cell r="F806">
            <v>25</v>
          </cell>
          <cell r="G806">
            <v>23.13765699199967</v>
          </cell>
        </row>
        <row r="807">
          <cell r="E807">
            <v>27.8</v>
          </cell>
          <cell r="F807">
            <v>24.8</v>
          </cell>
          <cell r="G807">
            <v>23.379452040413032</v>
          </cell>
        </row>
        <row r="808">
          <cell r="E808">
            <v>27</v>
          </cell>
          <cell r="F808">
            <v>24.6</v>
          </cell>
          <cell r="G808">
            <v>23.439555090650348</v>
          </cell>
        </row>
        <row r="809">
          <cell r="E809">
            <v>26.8</v>
          </cell>
          <cell r="F809">
            <v>24.4</v>
          </cell>
          <cell r="G809">
            <v>23.228029920116789</v>
          </cell>
        </row>
        <row r="810">
          <cell r="E810">
            <v>26.4</v>
          </cell>
          <cell r="F810">
            <v>24.2</v>
          </cell>
          <cell r="G810">
            <v>23.109032442757304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26.4</v>
          </cell>
          <cell r="G822">
            <v>26.399993896484375</v>
          </cell>
        </row>
        <row r="823">
          <cell r="F823">
            <v>26.399993896484375</v>
          </cell>
          <cell r="G823">
            <v>26.399993896484375</v>
          </cell>
        </row>
        <row r="824">
          <cell r="F824">
            <v>26.399993896484375</v>
          </cell>
          <cell r="G824">
            <v>26.399993896484375</v>
          </cell>
        </row>
        <row r="825">
          <cell r="F825" t="str">
            <v>WXREV</v>
          </cell>
          <cell r="G825">
            <v>26.399993896484375</v>
          </cell>
        </row>
        <row r="826">
          <cell r="F826">
            <v>26.399993896484375</v>
          </cell>
          <cell r="G826">
            <v>26.399993896484375</v>
          </cell>
        </row>
        <row r="827">
          <cell r="F827">
            <v>26.399993896484375</v>
          </cell>
          <cell r="G827">
            <v>26.399993896484375</v>
          </cell>
        </row>
        <row r="828">
          <cell r="F828">
            <v>26.399993896484375</v>
          </cell>
          <cell r="G828">
            <v>26.399993896484375</v>
          </cell>
        </row>
        <row r="829">
          <cell r="F829">
            <v>26.399993896484375</v>
          </cell>
          <cell r="G829">
            <v>26.399993896484375</v>
          </cell>
        </row>
        <row r="830">
          <cell r="F830" t="str">
            <v>MARET</v>
          </cell>
          <cell r="G830">
            <v>26.399993896484375</v>
          </cell>
        </row>
        <row r="831">
          <cell r="F831">
            <v>26.399993896484375</v>
          </cell>
          <cell r="G831">
            <v>26.399993896484375</v>
          </cell>
        </row>
        <row r="832">
          <cell r="F832" t="str">
            <v>BB</v>
          </cell>
          <cell r="G832" t="str">
            <v>TTD</v>
          </cell>
        </row>
        <row r="833">
          <cell r="F833">
            <v>26.399993896484375</v>
          </cell>
          <cell r="G833">
            <v>26.399993896484375</v>
          </cell>
        </row>
        <row r="834">
          <cell r="E834">
            <v>24.1</v>
          </cell>
          <cell r="F834">
            <v>23.4</v>
          </cell>
          <cell r="G834">
            <v>22.976497121725625</v>
          </cell>
        </row>
        <row r="835">
          <cell r="E835">
            <v>25.4</v>
          </cell>
          <cell r="F835">
            <v>24.1</v>
          </cell>
          <cell r="G835">
            <v>23.417446507367213</v>
          </cell>
        </row>
        <row r="836">
          <cell r="E836">
            <v>26.7</v>
          </cell>
          <cell r="F836">
            <v>25</v>
          </cell>
          <cell r="G836">
            <v>24.170676959407547</v>
          </cell>
        </row>
        <row r="837">
          <cell r="E837">
            <v>27.9</v>
          </cell>
          <cell r="F837">
            <v>24.8</v>
          </cell>
          <cell r="G837">
            <v>23.333825326586801</v>
          </cell>
        </row>
        <row r="838">
          <cell r="E838">
            <v>29.1</v>
          </cell>
          <cell r="F838">
            <v>25</v>
          </cell>
          <cell r="G838">
            <v>23.091443449890949</v>
          </cell>
        </row>
        <row r="839">
          <cell r="E839">
            <v>30.1</v>
          </cell>
          <cell r="F839">
            <v>25.6</v>
          </cell>
          <cell r="G839">
            <v>23.570339610883245</v>
          </cell>
        </row>
        <row r="840">
          <cell r="E840">
            <v>30.2</v>
          </cell>
          <cell r="F840">
            <v>25.7</v>
          </cell>
          <cell r="G840">
            <v>23.680904262603566</v>
          </cell>
        </row>
        <row r="841">
          <cell r="E841">
            <v>30.1</v>
          </cell>
          <cell r="F841">
            <v>25.7</v>
          </cell>
          <cell r="G841">
            <v>23.725709166248677</v>
          </cell>
        </row>
        <row r="842">
          <cell r="E842">
            <v>27.4</v>
          </cell>
          <cell r="F842">
            <v>24.6</v>
          </cell>
          <cell r="G842">
            <v>23.256970699803183</v>
          </cell>
        </row>
        <row r="843">
          <cell r="E843">
            <v>24.8</v>
          </cell>
          <cell r="F843">
            <v>23.3</v>
          </cell>
          <cell r="G843">
            <v>22.496617546342105</v>
          </cell>
        </row>
        <row r="844">
          <cell r="E844">
            <v>23.3</v>
          </cell>
          <cell r="F844">
            <v>22.5</v>
          </cell>
          <cell r="G844">
            <v>22.011535607458864</v>
          </cell>
        </row>
        <row r="845">
          <cell r="E845">
            <v>23.9</v>
          </cell>
          <cell r="F845">
            <v>23.4</v>
          </cell>
          <cell r="G845">
            <v>23.069362589016496</v>
          </cell>
        </row>
        <row r="846">
          <cell r="E846">
            <v>24</v>
          </cell>
          <cell r="F846">
            <v>23.5</v>
          </cell>
          <cell r="G846">
            <v>23.170595097320081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23.3</v>
          </cell>
          <cell r="G858">
            <v>23.29998779296875</v>
          </cell>
        </row>
        <row r="859">
          <cell r="F859">
            <v>23.29998779296875</v>
          </cell>
          <cell r="G859">
            <v>23.29998779296875</v>
          </cell>
        </row>
        <row r="860">
          <cell r="F860">
            <v>23.29998779296875</v>
          </cell>
          <cell r="G860">
            <v>23.29998779296875</v>
          </cell>
        </row>
        <row r="861">
          <cell r="F861" t="str">
            <v>WXREV</v>
          </cell>
          <cell r="G861">
            <v>23.29998779296875</v>
          </cell>
        </row>
        <row r="862">
          <cell r="F862">
            <v>23.29998779296875</v>
          </cell>
          <cell r="G862">
            <v>23.29998779296875</v>
          </cell>
        </row>
        <row r="863">
          <cell r="F863">
            <v>23.29998779296875</v>
          </cell>
          <cell r="G863">
            <v>23.29998779296875</v>
          </cell>
        </row>
        <row r="864">
          <cell r="F864">
            <v>23.29998779296875</v>
          </cell>
          <cell r="G864">
            <v>23.29998779296875</v>
          </cell>
        </row>
        <row r="865">
          <cell r="F865">
            <v>23.29998779296875</v>
          </cell>
          <cell r="G865">
            <v>23.29998779296875</v>
          </cell>
        </row>
        <row r="866">
          <cell r="F866" t="str">
            <v>MARET</v>
          </cell>
          <cell r="G866">
            <v>23.29998779296875</v>
          </cell>
        </row>
        <row r="867">
          <cell r="F867">
            <v>23.29998779296875</v>
          </cell>
          <cell r="G867">
            <v>23.29998779296875</v>
          </cell>
        </row>
        <row r="868">
          <cell r="F868" t="str">
            <v>BB</v>
          </cell>
          <cell r="G868" t="str">
            <v>TTD</v>
          </cell>
        </row>
        <row r="869">
          <cell r="F869">
            <v>23.29998779296875</v>
          </cell>
          <cell r="G869">
            <v>23.29998779296875</v>
          </cell>
        </row>
        <row r="870">
          <cell r="E870">
            <v>24.4</v>
          </cell>
          <cell r="F870">
            <v>23.8</v>
          </cell>
          <cell r="G870">
            <v>23.42885263958334</v>
          </cell>
        </row>
        <row r="871">
          <cell r="E871">
            <v>25.8</v>
          </cell>
          <cell r="F871">
            <v>24.6</v>
          </cell>
          <cell r="G871">
            <v>23.977017614815619</v>
          </cell>
        </row>
        <row r="872">
          <cell r="E872">
            <v>26.9</v>
          </cell>
          <cell r="F872">
            <v>25</v>
          </cell>
          <cell r="G872">
            <v>24.083040017724613</v>
          </cell>
        </row>
        <row r="873">
          <cell r="E873">
            <v>28.2</v>
          </cell>
          <cell r="F873">
            <v>25.7</v>
          </cell>
          <cell r="G873">
            <v>24.557601385913394</v>
          </cell>
        </row>
        <row r="874">
          <cell r="E874">
            <v>29.3</v>
          </cell>
          <cell r="F874">
            <v>25.6</v>
          </cell>
          <cell r="G874">
            <v>23.927910438437131</v>
          </cell>
        </row>
        <row r="875">
          <cell r="E875">
            <v>30.4</v>
          </cell>
          <cell r="F875">
            <v>26.4</v>
          </cell>
          <cell r="G875">
            <v>24.667141319943219</v>
          </cell>
        </row>
        <row r="876">
          <cell r="E876">
            <v>30.9</v>
          </cell>
          <cell r="F876">
            <v>26.6</v>
          </cell>
          <cell r="G876">
            <v>24.757903891169914</v>
          </cell>
        </row>
        <row r="877">
          <cell r="E877">
            <v>27.5</v>
          </cell>
          <cell r="F877">
            <v>24.9</v>
          </cell>
          <cell r="G877">
            <v>23.667005654759933</v>
          </cell>
        </row>
        <row r="878">
          <cell r="E878">
            <v>27.8</v>
          </cell>
          <cell r="F878">
            <v>25.1</v>
          </cell>
          <cell r="G878">
            <v>23.834716079901977</v>
          </cell>
        </row>
        <row r="879">
          <cell r="E879">
            <v>28</v>
          </cell>
          <cell r="F879">
            <v>25.4</v>
          </cell>
          <cell r="G879">
            <v>24.197102507728658</v>
          </cell>
        </row>
        <row r="880">
          <cell r="E880">
            <v>27.8</v>
          </cell>
          <cell r="F880">
            <v>25.8</v>
          </cell>
          <cell r="G880">
            <v>24.875038398378631</v>
          </cell>
        </row>
        <row r="881">
          <cell r="E881">
            <v>27.2</v>
          </cell>
          <cell r="F881">
            <v>25.6</v>
          </cell>
          <cell r="G881">
            <v>24.835872856569932</v>
          </cell>
        </row>
        <row r="882">
          <cell r="E882">
            <v>26.6</v>
          </cell>
          <cell r="F882">
            <v>25.2</v>
          </cell>
          <cell r="G882">
            <v>24.507713530973501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26.6</v>
          </cell>
          <cell r="G894">
            <v>26.599990844726563</v>
          </cell>
        </row>
        <row r="895">
          <cell r="F895">
            <v>26.599990844726563</v>
          </cell>
          <cell r="G895">
            <v>26.599990844726563</v>
          </cell>
        </row>
        <row r="896">
          <cell r="F896">
            <v>26.599990844726563</v>
          </cell>
          <cell r="G896">
            <v>26.599990844726563</v>
          </cell>
        </row>
        <row r="897">
          <cell r="F897" t="str">
            <v>WXREV</v>
          </cell>
          <cell r="G897">
            <v>26.599990844726563</v>
          </cell>
        </row>
        <row r="898">
          <cell r="F898">
            <v>26.599990844726563</v>
          </cell>
          <cell r="G898">
            <v>26.599990844726563</v>
          </cell>
        </row>
        <row r="899">
          <cell r="F899">
            <v>26.599990844726563</v>
          </cell>
          <cell r="G899">
            <v>26.599990844726563</v>
          </cell>
        </row>
        <row r="900">
          <cell r="F900">
            <v>26.599990844726563</v>
          </cell>
          <cell r="G900">
            <v>26.599990844726563</v>
          </cell>
        </row>
        <row r="901">
          <cell r="F901">
            <v>26.599990844726563</v>
          </cell>
          <cell r="G901">
            <v>26.599990844726563</v>
          </cell>
        </row>
        <row r="902">
          <cell r="F902" t="str">
            <v>MARET</v>
          </cell>
          <cell r="G902">
            <v>26.599990844726563</v>
          </cell>
        </row>
        <row r="903">
          <cell r="F903">
            <v>26.599990844726563</v>
          </cell>
          <cell r="G903">
            <v>26.599990844726563</v>
          </cell>
        </row>
        <row r="904">
          <cell r="F904" t="str">
            <v>BB</v>
          </cell>
          <cell r="G904" t="str">
            <v>TTD</v>
          </cell>
        </row>
        <row r="905">
          <cell r="F905">
            <v>26.599990844726563</v>
          </cell>
          <cell r="G905">
            <v>26.599990844726563</v>
          </cell>
        </row>
        <row r="906">
          <cell r="E906">
            <v>26.2</v>
          </cell>
          <cell r="F906">
            <v>24.4</v>
          </cell>
          <cell r="G906">
            <v>23.501662544126386</v>
          </cell>
        </row>
        <row r="907">
          <cell r="E907">
            <v>27.2</v>
          </cell>
          <cell r="F907">
            <v>24.8</v>
          </cell>
          <cell r="G907">
            <v>23.650934676208223</v>
          </cell>
        </row>
        <row r="908">
          <cell r="E908">
            <v>27.7</v>
          </cell>
          <cell r="F908">
            <v>25.6</v>
          </cell>
          <cell r="G908">
            <v>24.623563215299065</v>
          </cell>
        </row>
        <row r="909">
          <cell r="E909">
            <v>28.8</v>
          </cell>
          <cell r="F909">
            <v>25.4</v>
          </cell>
          <cell r="G909">
            <v>23.844597001278153</v>
          </cell>
        </row>
        <row r="910">
          <cell r="E910">
            <v>29.8</v>
          </cell>
          <cell r="F910">
            <v>25</v>
          </cell>
          <cell r="G910">
            <v>22.764750111093644</v>
          </cell>
        </row>
        <row r="911">
          <cell r="E911">
            <v>30.2</v>
          </cell>
          <cell r="F911">
            <v>25.8</v>
          </cell>
          <cell r="G911">
            <v>23.835945395479477</v>
          </cell>
        </row>
        <row r="912">
          <cell r="E912">
            <v>31.2</v>
          </cell>
          <cell r="F912">
            <v>26.8</v>
          </cell>
          <cell r="G912">
            <v>24.934688923953829</v>
          </cell>
        </row>
        <row r="913">
          <cell r="E913">
            <v>30.8</v>
          </cell>
          <cell r="F913">
            <v>26.2</v>
          </cell>
          <cell r="G913">
            <v>24.189061302754549</v>
          </cell>
        </row>
        <row r="914">
          <cell r="E914">
            <v>30.4</v>
          </cell>
          <cell r="F914">
            <v>26</v>
          </cell>
          <cell r="G914">
            <v>24.056216238791031</v>
          </cell>
        </row>
        <row r="915">
          <cell r="E915">
            <v>26.6</v>
          </cell>
          <cell r="F915">
            <v>23.4</v>
          </cell>
          <cell r="G915">
            <v>21.775380812344167</v>
          </cell>
        </row>
        <row r="916">
          <cell r="E916">
            <v>25.8</v>
          </cell>
          <cell r="F916">
            <v>23.8</v>
          </cell>
          <cell r="G916">
            <v>22.781622980972795</v>
          </cell>
        </row>
        <row r="917">
          <cell r="E917">
            <v>25.4</v>
          </cell>
          <cell r="F917">
            <v>23.8</v>
          </cell>
          <cell r="G917">
            <v>22.968814165589823</v>
          </cell>
        </row>
        <row r="918">
          <cell r="E918">
            <v>24.8</v>
          </cell>
          <cell r="F918">
            <v>23.6</v>
          </cell>
          <cell r="G918">
            <v>22.948281918843517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24.8</v>
          </cell>
          <cell r="G930">
            <v>24.79998779296875</v>
          </cell>
        </row>
        <row r="931">
          <cell r="F931">
            <v>24.79998779296875</v>
          </cell>
          <cell r="G931">
            <v>24.79998779296875</v>
          </cell>
        </row>
        <row r="932">
          <cell r="F932">
            <v>24.79998779296875</v>
          </cell>
          <cell r="G932">
            <v>24.79998779296875</v>
          </cell>
        </row>
        <row r="933">
          <cell r="F933" t="str">
            <v>WXREV</v>
          </cell>
          <cell r="G933">
            <v>24.79998779296875</v>
          </cell>
        </row>
        <row r="934">
          <cell r="F934">
            <v>24.79998779296875</v>
          </cell>
          <cell r="G934">
            <v>24.79998779296875</v>
          </cell>
        </row>
        <row r="935">
          <cell r="F935">
            <v>24.79998779296875</v>
          </cell>
          <cell r="G935">
            <v>24.79998779296875</v>
          </cell>
        </row>
        <row r="936">
          <cell r="F936">
            <v>24.79998779296875</v>
          </cell>
          <cell r="G936">
            <v>24.79998779296875</v>
          </cell>
        </row>
        <row r="937">
          <cell r="F937">
            <v>24.79998779296875</v>
          </cell>
          <cell r="G937">
            <v>24.79998779296875</v>
          </cell>
        </row>
        <row r="938">
          <cell r="F938" t="str">
            <v>MARET</v>
          </cell>
          <cell r="G938">
            <v>24.79998779296875</v>
          </cell>
        </row>
        <row r="939">
          <cell r="F939">
            <v>24.79998779296875</v>
          </cell>
          <cell r="G939">
            <v>24.79998779296875</v>
          </cell>
        </row>
        <row r="940">
          <cell r="F940" t="str">
            <v>BB</v>
          </cell>
          <cell r="G940" t="str">
            <v>TTD</v>
          </cell>
        </row>
        <row r="941">
          <cell r="F941">
            <v>24.79998779296875</v>
          </cell>
          <cell r="G941">
            <v>24.79998779296875</v>
          </cell>
        </row>
        <row r="942">
          <cell r="E942">
            <v>25.2</v>
          </cell>
          <cell r="F942">
            <v>23.4</v>
          </cell>
          <cell r="G942">
            <v>22.45741703757486</v>
          </cell>
        </row>
        <row r="943">
          <cell r="E943">
            <v>25.6</v>
          </cell>
          <cell r="F943">
            <v>23.6</v>
          </cell>
          <cell r="G943">
            <v>22.571617917695416</v>
          </cell>
        </row>
        <row r="944">
          <cell r="E944">
            <v>27.4</v>
          </cell>
          <cell r="F944">
            <v>24.6</v>
          </cell>
          <cell r="G944">
            <v>23.256970699803183</v>
          </cell>
        </row>
        <row r="945">
          <cell r="E945">
            <v>28.2</v>
          </cell>
          <cell r="F945">
            <v>24.8</v>
          </cell>
          <cell r="G945">
            <v>23.196283144013933</v>
          </cell>
        </row>
        <row r="946">
          <cell r="E946">
            <v>28.8</v>
          </cell>
          <cell r="F946">
            <v>25</v>
          </cell>
          <cell r="G946">
            <v>23.229747355809128</v>
          </cell>
        </row>
        <row r="947">
          <cell r="E947">
            <v>29.6</v>
          </cell>
          <cell r="F947">
            <v>25</v>
          </cell>
          <cell r="G947">
            <v>22.858668311959782</v>
          </cell>
        </row>
        <row r="948">
          <cell r="E948">
            <v>29.6</v>
          </cell>
          <cell r="F948">
            <v>24.8</v>
          </cell>
          <cell r="G948">
            <v>22.540866348822316</v>
          </cell>
        </row>
        <row r="949">
          <cell r="E949">
            <v>29.5</v>
          </cell>
          <cell r="F949">
            <v>24.8</v>
          </cell>
          <cell r="G949">
            <v>22.588443387521256</v>
          </cell>
        </row>
        <row r="950">
          <cell r="E950">
            <v>29.4</v>
          </cell>
          <cell r="F950">
            <v>24.8</v>
          </cell>
          <cell r="G950">
            <v>22.635900736480924</v>
          </cell>
        </row>
        <row r="951">
          <cell r="E951">
            <v>28.8</v>
          </cell>
          <cell r="F951">
            <v>24.9</v>
          </cell>
          <cell r="G951">
            <v>23.074312574241922</v>
          </cell>
        </row>
        <row r="952">
          <cell r="E952">
            <v>28.6</v>
          </cell>
          <cell r="F952">
            <v>25</v>
          </cell>
          <cell r="G952">
            <v>23.321392650725961</v>
          </cell>
        </row>
        <row r="953">
          <cell r="E953">
            <v>27.2</v>
          </cell>
          <cell r="F953">
            <v>24.8</v>
          </cell>
          <cell r="G953">
            <v>23.650934676208223</v>
          </cell>
        </row>
        <row r="954">
          <cell r="E954">
            <v>26.2</v>
          </cell>
          <cell r="F954">
            <v>24.1</v>
          </cell>
          <cell r="G954">
            <v>23.050083090863829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26.2</v>
          </cell>
          <cell r="G966">
            <v>26.199996948242188</v>
          </cell>
        </row>
        <row r="967">
          <cell r="F967">
            <v>26.199996948242188</v>
          </cell>
          <cell r="G967">
            <v>26.199996948242188</v>
          </cell>
        </row>
        <row r="968">
          <cell r="F968">
            <v>26.199996948242188</v>
          </cell>
          <cell r="G968">
            <v>26.199996948242188</v>
          </cell>
        </row>
        <row r="969">
          <cell r="F969" t="str">
            <v>WXREV</v>
          </cell>
          <cell r="G969">
            <v>26.199996948242188</v>
          </cell>
        </row>
        <row r="970">
          <cell r="F970">
            <v>26.199996948242188</v>
          </cell>
          <cell r="G970">
            <v>26.199996948242188</v>
          </cell>
        </row>
        <row r="971">
          <cell r="F971">
            <v>26.199996948242188</v>
          </cell>
          <cell r="G971">
            <v>26.199996948242188</v>
          </cell>
        </row>
        <row r="972">
          <cell r="F972">
            <v>26.199996948242188</v>
          </cell>
          <cell r="G972">
            <v>26.199996948242188</v>
          </cell>
        </row>
        <row r="973">
          <cell r="F973">
            <v>26.199996948242188</v>
          </cell>
          <cell r="G973">
            <v>26.199996948242188</v>
          </cell>
        </row>
        <row r="974">
          <cell r="F974" t="str">
            <v>MARET</v>
          </cell>
          <cell r="G974">
            <v>26.199996948242188</v>
          </cell>
        </row>
        <row r="975">
          <cell r="F975">
            <v>26.199996948242188</v>
          </cell>
          <cell r="G975">
            <v>26.199996948242188</v>
          </cell>
        </row>
        <row r="976">
          <cell r="F976" t="str">
            <v>BB</v>
          </cell>
          <cell r="G976" t="str">
            <v>TTD</v>
          </cell>
        </row>
        <row r="977">
          <cell r="F977">
            <v>26.199996948242188</v>
          </cell>
          <cell r="G977">
            <v>26.199996948242188</v>
          </cell>
        </row>
        <row r="978">
          <cell r="E978">
            <v>25.1</v>
          </cell>
          <cell r="F978">
            <v>23.3</v>
          </cell>
          <cell r="G978">
            <v>22.352837022433853</v>
          </cell>
        </row>
        <row r="979">
          <cell r="E979">
            <v>26.7</v>
          </cell>
          <cell r="F979">
            <v>24.1</v>
          </cell>
          <cell r="G979">
            <v>22.816809305961961</v>
          </cell>
        </row>
        <row r="980">
          <cell r="E980">
            <v>29</v>
          </cell>
          <cell r="F980">
            <v>25.1</v>
          </cell>
          <cell r="G980">
            <v>23.293141559911223</v>
          </cell>
        </row>
        <row r="981">
          <cell r="E981">
            <v>30.4</v>
          </cell>
          <cell r="F981">
            <v>25.8</v>
          </cell>
          <cell r="G981">
            <v>23.746748358606883</v>
          </cell>
        </row>
        <row r="982">
          <cell r="E982">
            <v>31</v>
          </cell>
          <cell r="F982">
            <v>25.8</v>
          </cell>
          <cell r="G982">
            <v>23.476621444388034</v>
          </cell>
        </row>
        <row r="983">
          <cell r="E983">
            <v>31.7</v>
          </cell>
          <cell r="F983">
            <v>26.1</v>
          </cell>
          <cell r="G983">
            <v>23.634120468637043</v>
          </cell>
        </row>
        <row r="984">
          <cell r="E984">
            <v>32.4</v>
          </cell>
          <cell r="F984">
            <v>26.7</v>
          </cell>
          <cell r="G984">
            <v>24.267767142689323</v>
          </cell>
        </row>
        <row r="985">
          <cell r="E985">
            <v>32.200000000000003</v>
          </cell>
          <cell r="F985">
            <v>26.1</v>
          </cell>
          <cell r="G985">
            <v>23.407933773895131</v>
          </cell>
        </row>
        <row r="986">
          <cell r="E986">
            <v>22.4</v>
          </cell>
          <cell r="F986">
            <v>22.2</v>
          </cell>
          <cell r="G986">
            <v>22.001602394793437</v>
          </cell>
        </row>
        <row r="987">
          <cell r="E987">
            <v>22.6</v>
          </cell>
          <cell r="F987">
            <v>22.4</v>
          </cell>
          <cell r="G987">
            <v>22.202667252878626</v>
          </cell>
        </row>
        <row r="988">
          <cell r="E988">
            <v>22.6</v>
          </cell>
          <cell r="F988">
            <v>22.4</v>
          </cell>
          <cell r="G988">
            <v>22.202667252878626</v>
          </cell>
        </row>
        <row r="989">
          <cell r="E989">
            <v>22.6</v>
          </cell>
          <cell r="F989">
            <v>22.4</v>
          </cell>
          <cell r="G989">
            <v>22.202667252878626</v>
          </cell>
        </row>
        <row r="990">
          <cell r="E990">
            <v>22.8</v>
          </cell>
          <cell r="F990">
            <v>22.6</v>
          </cell>
          <cell r="G990">
            <v>22.403719944769762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22.4</v>
          </cell>
          <cell r="G1002">
            <v>22.399993896484375</v>
          </cell>
        </row>
        <row r="1003">
          <cell r="F1003">
            <v>22.399993896484375</v>
          </cell>
          <cell r="G1003">
            <v>22.399993896484375</v>
          </cell>
        </row>
        <row r="1004">
          <cell r="F1004">
            <v>22.399993896484375</v>
          </cell>
          <cell r="G1004">
            <v>22.399993896484375</v>
          </cell>
        </row>
        <row r="1005">
          <cell r="F1005" t="str">
            <v>WXREV</v>
          </cell>
          <cell r="G1005">
            <v>22.399993896484375</v>
          </cell>
        </row>
        <row r="1006">
          <cell r="F1006">
            <v>22.399993896484375</v>
          </cell>
          <cell r="G1006">
            <v>22.399993896484375</v>
          </cell>
        </row>
        <row r="1007">
          <cell r="F1007">
            <v>22.399993896484375</v>
          </cell>
          <cell r="G1007">
            <v>22.399993896484375</v>
          </cell>
        </row>
        <row r="1008">
          <cell r="F1008">
            <v>22.399993896484375</v>
          </cell>
          <cell r="G1008">
            <v>22.399993896484375</v>
          </cell>
        </row>
        <row r="1009">
          <cell r="F1009">
            <v>22.399993896484375</v>
          </cell>
          <cell r="G1009">
            <v>22.399993896484375</v>
          </cell>
        </row>
        <row r="1010">
          <cell r="F1010" t="str">
            <v>MARET</v>
          </cell>
          <cell r="G1010">
            <v>22.399993896484375</v>
          </cell>
        </row>
        <row r="1011">
          <cell r="F1011">
            <v>22.399993896484375</v>
          </cell>
          <cell r="G1011">
            <v>22.399993896484375</v>
          </cell>
        </row>
        <row r="1012">
          <cell r="F1012" t="str">
            <v>BB</v>
          </cell>
          <cell r="G1012" t="str">
            <v>TTD</v>
          </cell>
        </row>
        <row r="1013">
          <cell r="F1013">
            <v>22.399993896484375</v>
          </cell>
          <cell r="G1013">
            <v>22.399993896484375</v>
          </cell>
        </row>
        <row r="1014">
          <cell r="E1014">
            <v>23</v>
          </cell>
          <cell r="F1014">
            <v>22.5</v>
          </cell>
          <cell r="G1014">
            <v>22.157931057986872</v>
          </cell>
        </row>
        <row r="1015">
          <cell r="E1015">
            <v>24</v>
          </cell>
          <cell r="F1015">
            <v>23.2</v>
          </cell>
          <cell r="G1015">
            <v>22.725900467116261</v>
          </cell>
        </row>
        <row r="1016">
          <cell r="E1016">
            <v>26.1</v>
          </cell>
          <cell r="F1016">
            <v>24.7</v>
          </cell>
          <cell r="G1016">
            <v>23.991741103549835</v>
          </cell>
        </row>
        <row r="1017">
          <cell r="E1017">
            <v>27.8</v>
          </cell>
          <cell r="F1017">
            <v>24.7</v>
          </cell>
          <cell r="G1017">
            <v>23.226371733954831</v>
          </cell>
        </row>
        <row r="1018">
          <cell r="E1018">
            <v>29.6</v>
          </cell>
          <cell r="F1018">
            <v>24.5</v>
          </cell>
          <cell r="G1018">
            <v>22.058377213189214</v>
          </cell>
        </row>
        <row r="1019">
          <cell r="E1019">
            <v>30.9</v>
          </cell>
          <cell r="F1019">
            <v>26</v>
          </cell>
          <cell r="G1019">
            <v>23.835018908079892</v>
          </cell>
        </row>
        <row r="1020">
          <cell r="E1020">
            <v>31.2</v>
          </cell>
          <cell r="F1020">
            <v>26</v>
          </cell>
          <cell r="G1020">
            <v>23.701057797301626</v>
          </cell>
        </row>
        <row r="1021">
          <cell r="E1021">
            <v>30.7</v>
          </cell>
          <cell r="F1021">
            <v>26</v>
          </cell>
          <cell r="G1021">
            <v>23.92380592644448</v>
          </cell>
        </row>
        <row r="1022">
          <cell r="E1022">
            <v>28.6</v>
          </cell>
          <cell r="F1022">
            <v>24.6</v>
          </cell>
          <cell r="G1022">
            <v>22.698417218039328</v>
          </cell>
        </row>
        <row r="1023">
          <cell r="E1023">
            <v>25.4</v>
          </cell>
          <cell r="F1023">
            <v>23</v>
          </cell>
          <cell r="G1023">
            <v>21.743085824045714</v>
          </cell>
        </row>
        <row r="1024">
          <cell r="E1024">
            <v>25.2</v>
          </cell>
          <cell r="F1024">
            <v>23</v>
          </cell>
          <cell r="G1024">
            <v>21.842217111651138</v>
          </cell>
        </row>
        <row r="1025">
          <cell r="E1025">
            <v>24.8</v>
          </cell>
          <cell r="F1025">
            <v>23</v>
          </cell>
          <cell r="G1025">
            <v>22.038921395720571</v>
          </cell>
        </row>
        <row r="1026">
          <cell r="E1026">
            <v>24.2</v>
          </cell>
          <cell r="F1026">
            <v>22.8</v>
          </cell>
          <cell r="G1026">
            <v>22.026330365181977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24.2</v>
          </cell>
          <cell r="G1038">
            <v>24.199996948242188</v>
          </cell>
        </row>
        <row r="1039">
          <cell r="F1039">
            <v>24.199996948242188</v>
          </cell>
          <cell r="G1039">
            <v>24.199996948242188</v>
          </cell>
        </row>
        <row r="1040">
          <cell r="F1040">
            <v>24.199996948242188</v>
          </cell>
          <cell r="G1040">
            <v>24.199996948242188</v>
          </cell>
        </row>
        <row r="1041">
          <cell r="F1041" t="str">
            <v>WXREV</v>
          </cell>
          <cell r="G1041">
            <v>24.199996948242188</v>
          </cell>
        </row>
        <row r="1042">
          <cell r="F1042">
            <v>24.199996948242188</v>
          </cell>
          <cell r="G1042">
            <v>24.199996948242188</v>
          </cell>
        </row>
        <row r="1043">
          <cell r="F1043">
            <v>24.199996948242188</v>
          </cell>
          <cell r="G1043">
            <v>24.199996948242188</v>
          </cell>
        </row>
        <row r="1044">
          <cell r="F1044">
            <v>24.199996948242188</v>
          </cell>
          <cell r="G1044">
            <v>24.199996948242188</v>
          </cell>
        </row>
        <row r="1045">
          <cell r="F1045">
            <v>24.199996948242188</v>
          </cell>
          <cell r="G1045">
            <v>24.199996948242188</v>
          </cell>
        </row>
        <row r="1046">
          <cell r="F1046" t="str">
            <v>MARET</v>
          </cell>
          <cell r="G1046">
            <v>24.199996948242188</v>
          </cell>
        </row>
        <row r="1047">
          <cell r="F1047">
            <v>24.199996948242188</v>
          </cell>
          <cell r="G1047">
            <v>24.199996948242188</v>
          </cell>
        </row>
        <row r="1048">
          <cell r="F1048" t="str">
            <v>BB</v>
          </cell>
          <cell r="G1048" t="str">
            <v>TTD</v>
          </cell>
        </row>
        <row r="1049">
          <cell r="F1049">
            <v>24.199996948242188</v>
          </cell>
          <cell r="G1049">
            <v>24.199996948242188</v>
          </cell>
        </row>
        <row r="1050">
          <cell r="E1050">
            <v>24.1</v>
          </cell>
          <cell r="F1050">
            <v>22.7</v>
          </cell>
          <cell r="G1050">
            <v>21.922667914032502</v>
          </cell>
        </row>
        <row r="1051">
          <cell r="E1051">
            <v>27</v>
          </cell>
          <cell r="F1051">
            <v>24.6</v>
          </cell>
          <cell r="G1051">
            <v>23.439555090650348</v>
          </cell>
        </row>
        <row r="1052">
          <cell r="E1052">
            <v>28.3</v>
          </cell>
          <cell r="F1052">
            <v>24.8</v>
          </cell>
          <cell r="G1052">
            <v>23.15021314722178</v>
          </cell>
        </row>
        <row r="1053">
          <cell r="E1053">
            <v>29.4</v>
          </cell>
          <cell r="F1053">
            <v>25.3</v>
          </cell>
          <cell r="G1053">
            <v>23.420993532505424</v>
          </cell>
        </row>
        <row r="1054">
          <cell r="E1054">
            <v>30.4</v>
          </cell>
          <cell r="F1054">
            <v>25.7</v>
          </cell>
          <cell r="G1054">
            <v>23.590976740194307</v>
          </cell>
        </row>
        <row r="1055">
          <cell r="E1055">
            <v>31.3</v>
          </cell>
          <cell r="F1055">
            <v>25.8</v>
          </cell>
          <cell r="G1055">
            <v>23.340104664535794</v>
          </cell>
        </row>
        <row r="1056">
          <cell r="E1056">
            <v>31.5</v>
          </cell>
          <cell r="F1056">
            <v>25.6</v>
          </cell>
          <cell r="G1056">
            <v>22.927927319859357</v>
          </cell>
        </row>
        <row r="1057">
          <cell r="E1057">
            <v>31.5</v>
          </cell>
          <cell r="F1057">
            <v>26.7</v>
          </cell>
          <cell r="G1057">
            <v>24.655334127386521</v>
          </cell>
        </row>
        <row r="1058">
          <cell r="E1058">
            <v>29</v>
          </cell>
          <cell r="F1058">
            <v>24.2</v>
          </cell>
          <cell r="G1058">
            <v>21.867237103039482</v>
          </cell>
        </row>
        <row r="1059">
          <cell r="E1059">
            <v>24</v>
          </cell>
          <cell r="F1059">
            <v>22.3</v>
          </cell>
          <cell r="G1059">
            <v>21.356201229384059</v>
          </cell>
        </row>
        <row r="1060">
          <cell r="E1060">
            <v>23.6</v>
          </cell>
          <cell r="F1060">
            <v>22.4</v>
          </cell>
          <cell r="G1060">
            <v>21.711365529606585</v>
          </cell>
        </row>
        <row r="1061">
          <cell r="E1061">
            <v>23.9</v>
          </cell>
          <cell r="F1061">
            <v>22.8</v>
          </cell>
          <cell r="G1061">
            <v>22.172613729490884</v>
          </cell>
        </row>
        <row r="1062">
          <cell r="E1062">
            <v>24.1</v>
          </cell>
          <cell r="F1062">
            <v>23.1</v>
          </cell>
          <cell r="G1062">
            <v>22.528801205505122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23.6</v>
          </cell>
          <cell r="G1074">
            <v>23.599990844726563</v>
          </cell>
        </row>
        <row r="1075">
          <cell r="F1075">
            <v>23.599990844726563</v>
          </cell>
          <cell r="G1075">
            <v>23.599990844726563</v>
          </cell>
        </row>
        <row r="1076">
          <cell r="F1076">
            <v>23.599990844726563</v>
          </cell>
          <cell r="G1076">
            <v>23.599990844726563</v>
          </cell>
        </row>
        <row r="1077">
          <cell r="F1077" t="str">
            <v>WXREV</v>
          </cell>
          <cell r="G1077">
            <v>23.599990844726563</v>
          </cell>
        </row>
        <row r="1078">
          <cell r="F1078">
            <v>23.599990844726563</v>
          </cell>
          <cell r="G1078">
            <v>23.599990844726563</v>
          </cell>
        </row>
        <row r="1079">
          <cell r="F1079">
            <v>23.599990844726563</v>
          </cell>
          <cell r="G1079">
            <v>23.599990844726563</v>
          </cell>
        </row>
        <row r="1080">
          <cell r="F1080">
            <v>23.599990844726563</v>
          </cell>
          <cell r="G1080">
            <v>23.599990844726563</v>
          </cell>
        </row>
        <row r="1081">
          <cell r="F1081">
            <v>23.599990844726563</v>
          </cell>
          <cell r="G1081">
            <v>23.599990844726563</v>
          </cell>
        </row>
        <row r="1082">
          <cell r="F1082" t="str">
            <v>MARET</v>
          </cell>
          <cell r="G1082">
            <v>23.599990844726563</v>
          </cell>
        </row>
        <row r="1083">
          <cell r="F1083">
            <v>23.599990844726563</v>
          </cell>
          <cell r="G1083">
            <v>23.599990844726563</v>
          </cell>
        </row>
        <row r="1084">
          <cell r="F1084" t="str">
            <v>BB</v>
          </cell>
          <cell r="G1084" t="str">
            <v>TTD</v>
          </cell>
        </row>
        <row r="1085">
          <cell r="F1085">
            <v>23.599990844726563</v>
          </cell>
          <cell r="G1085">
            <v>23.599990844726563</v>
          </cell>
        </row>
        <row r="1086">
          <cell r="E1086">
            <v>23.6</v>
          </cell>
          <cell r="F1086">
            <v>22</v>
          </cell>
          <cell r="G1086">
            <v>21.093753637792133</v>
          </cell>
        </row>
        <row r="1087">
          <cell r="E1087">
            <v>24</v>
          </cell>
          <cell r="F1087">
            <v>22.5</v>
          </cell>
          <cell r="G1087">
            <v>21.665437896127546</v>
          </cell>
        </row>
        <row r="1088">
          <cell r="E1088">
            <v>27.1</v>
          </cell>
          <cell r="F1088">
            <v>23.6</v>
          </cell>
          <cell r="G1088">
            <v>21.84441308837425</v>
          </cell>
        </row>
        <row r="1089">
          <cell r="E1089">
            <v>28.4</v>
          </cell>
          <cell r="F1089">
            <v>24.2</v>
          </cell>
          <cell r="G1089">
            <v>22.161158941710486</v>
          </cell>
        </row>
        <row r="1090">
          <cell r="E1090">
            <v>29.6</v>
          </cell>
          <cell r="F1090">
            <v>24.6</v>
          </cell>
          <cell r="G1090">
            <v>22.219995210731696</v>
          </cell>
        </row>
        <row r="1091">
          <cell r="E1091">
            <v>30.6</v>
          </cell>
          <cell r="F1091">
            <v>25</v>
          </cell>
          <cell r="G1091">
            <v>22.384333702710158</v>
          </cell>
        </row>
        <row r="1092">
          <cell r="E1092">
            <v>31.3</v>
          </cell>
          <cell r="F1092">
            <v>25.8</v>
          </cell>
          <cell r="G1092">
            <v>23.340104664535794</v>
          </cell>
        </row>
        <row r="1093">
          <cell r="E1093">
            <v>31.4</v>
          </cell>
          <cell r="F1093">
            <v>26.3</v>
          </cell>
          <cell r="G1093">
            <v>24.081080309401685</v>
          </cell>
        </row>
        <row r="1094">
          <cell r="E1094">
            <v>30.9</v>
          </cell>
          <cell r="F1094">
            <v>26.1</v>
          </cell>
          <cell r="G1094">
            <v>23.990519372126936</v>
          </cell>
        </row>
        <row r="1095">
          <cell r="E1095">
            <v>30</v>
          </cell>
          <cell r="F1095">
            <v>25.8</v>
          </cell>
          <cell r="G1095">
            <v>23.924726871474732</v>
          </cell>
        </row>
        <row r="1096">
          <cell r="E1096">
            <v>28.6</v>
          </cell>
          <cell r="F1096">
            <v>25.3</v>
          </cell>
          <cell r="G1096">
            <v>23.781347522481425</v>
          </cell>
        </row>
        <row r="1097">
          <cell r="E1097">
            <v>27.6</v>
          </cell>
          <cell r="F1097">
            <v>25.1</v>
          </cell>
          <cell r="G1097">
            <v>23.92349895424092</v>
          </cell>
        </row>
        <row r="1098">
          <cell r="E1098">
            <v>26.5</v>
          </cell>
          <cell r="F1098">
            <v>24.2</v>
          </cell>
          <cell r="G1098">
            <v>23.062751389564443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  <row r="1121">
          <cell r="R1121" t="str">
            <v xml:space="preserve">TIM PEMBUAT LAPORAN </v>
          </cell>
        </row>
        <row r="1136">
          <cell r="C1136" t="str">
            <v>STASIUN KLIMATOLOGI KL. IV SLEMAN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3">
          <cell r="M43" t="str">
            <v>Mengetahui,</v>
          </cell>
        </row>
      </sheetData>
      <sheetData sheetId="10"/>
      <sheetData sheetId="11"/>
      <sheetData sheetId="12"/>
      <sheetData sheetId="13">
        <row r="11">
          <cell r="Y11" t="str">
            <v>Maret 2022</v>
          </cell>
        </row>
      </sheetData>
      <sheetData sheetId="14"/>
      <sheetData sheetId="15"/>
      <sheetData sheetId="16"/>
      <sheetData sheetId="17"/>
      <sheetData sheetId="18"/>
      <sheetData sheetId="19">
        <row r="43">
          <cell r="C43" t="str">
            <v>Mengetahui,</v>
          </cell>
        </row>
      </sheetData>
      <sheetData sheetId="20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4">
          <cell r="C44" t="str">
            <v>Sleman Yogyakarta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1">
        <row r="1">
          <cell r="F1" t="str">
            <v>STASIUN KLIMATOLOGI KL. IV SLEMAN</v>
          </cell>
        </row>
      </sheetData>
      <sheetData sheetId="22">
        <row r="1">
          <cell r="H1" t="str">
            <v>STASIUN KLIMATOLOGI KL. IV SLEMAN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 refreshError="1">
        <row r="2">
          <cell r="F2" t="str">
            <v>APRIL</v>
          </cell>
          <cell r="G2">
            <v>0</v>
          </cell>
        </row>
        <row r="3">
          <cell r="F3">
            <v>0</v>
          </cell>
          <cell r="G3">
            <v>0</v>
          </cell>
        </row>
        <row r="4">
          <cell r="F4" t="str">
            <v>BB</v>
          </cell>
          <cell r="G4" t="str">
            <v>TTD</v>
          </cell>
        </row>
        <row r="5">
          <cell r="F5">
            <v>0</v>
          </cell>
          <cell r="G5">
            <v>0</v>
          </cell>
        </row>
        <row r="6">
          <cell r="E6">
            <v>24.4</v>
          </cell>
          <cell r="F6">
            <v>23</v>
          </cell>
          <cell r="G6">
            <v>22.233586565753708</v>
          </cell>
        </row>
        <row r="7">
          <cell r="E7">
            <v>26.2</v>
          </cell>
          <cell r="F7">
            <v>24</v>
          </cell>
          <cell r="G7">
            <v>22.898249002326494</v>
          </cell>
        </row>
        <row r="8">
          <cell r="E8">
            <v>27.8</v>
          </cell>
          <cell r="F8">
            <v>23.6</v>
          </cell>
          <cell r="G8">
            <v>21.495161498275294</v>
          </cell>
        </row>
        <row r="9">
          <cell r="E9">
            <v>29.6</v>
          </cell>
          <cell r="F9">
            <v>24.8</v>
          </cell>
          <cell r="G9">
            <v>22.540866348822316</v>
          </cell>
        </row>
        <row r="10">
          <cell r="E10">
            <v>30.2</v>
          </cell>
          <cell r="F10">
            <v>25.6</v>
          </cell>
          <cell r="G10">
            <v>23.525167159390978</v>
          </cell>
        </row>
        <row r="11">
          <cell r="E11">
            <v>31.2</v>
          </cell>
          <cell r="F11">
            <v>25.2</v>
          </cell>
          <cell r="G11">
            <v>22.421621048731168</v>
          </cell>
        </row>
        <row r="12">
          <cell r="E12">
            <v>30.2</v>
          </cell>
          <cell r="F12">
            <v>24.6</v>
          </cell>
          <cell r="G12">
            <v>21.926992488235253</v>
          </cell>
        </row>
        <row r="13">
          <cell r="E13">
            <v>30</v>
          </cell>
          <cell r="F13">
            <v>24</v>
          </cell>
          <cell r="G13">
            <v>21.032557586466847</v>
          </cell>
        </row>
        <row r="14">
          <cell r="E14">
            <v>31</v>
          </cell>
          <cell r="F14">
            <v>24.7</v>
          </cell>
          <cell r="G14">
            <v>21.695889406423795</v>
          </cell>
        </row>
        <row r="15">
          <cell r="E15">
            <v>28</v>
          </cell>
          <cell r="F15">
            <v>25.2</v>
          </cell>
          <cell r="G15">
            <v>23.896682202951688</v>
          </cell>
        </row>
        <row r="16">
          <cell r="E16">
            <v>23.6</v>
          </cell>
          <cell r="F16">
            <v>23.4</v>
          </cell>
          <cell r="G16">
            <v>23.207812519635773</v>
          </cell>
        </row>
        <row r="17">
          <cell r="E17">
            <v>23.3</v>
          </cell>
          <cell r="F17">
            <v>23.1</v>
          </cell>
          <cell r="G17">
            <v>22.906299592291269</v>
          </cell>
        </row>
        <row r="18">
          <cell r="E18">
            <v>23.4</v>
          </cell>
          <cell r="F18">
            <v>23.2</v>
          </cell>
          <cell r="G18">
            <v>23.006806764540162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23.3</v>
          </cell>
          <cell r="G30">
            <v>23.29998779296875</v>
          </cell>
        </row>
        <row r="33">
          <cell r="F33" t="str">
            <v>WXREV</v>
          </cell>
        </row>
        <row r="34">
          <cell r="F34">
            <v>23.29998779296875</v>
          </cell>
          <cell r="G34">
            <v>23.29998779296875</v>
          </cell>
        </row>
        <row r="35">
          <cell r="F35">
            <v>23.29998779296875</v>
          </cell>
          <cell r="G35">
            <v>23.29998779296875</v>
          </cell>
        </row>
        <row r="36">
          <cell r="F36">
            <v>23.29998779296875</v>
          </cell>
          <cell r="G36">
            <v>23.29998779296875</v>
          </cell>
        </row>
        <row r="37">
          <cell r="F37">
            <v>23.29998779296875</v>
          </cell>
          <cell r="G37">
            <v>23.29998779296875</v>
          </cell>
        </row>
        <row r="38">
          <cell r="F38" t="str">
            <v>APRIL</v>
          </cell>
          <cell r="G38">
            <v>23.29998779296875</v>
          </cell>
        </row>
        <row r="39">
          <cell r="F39">
            <v>23.29998779296875</v>
          </cell>
          <cell r="G39">
            <v>23.29998779296875</v>
          </cell>
        </row>
        <row r="40">
          <cell r="F40" t="str">
            <v>BB</v>
          </cell>
          <cell r="G40" t="str">
            <v>TTD</v>
          </cell>
        </row>
        <row r="41">
          <cell r="F41">
            <v>23.29998779296875</v>
          </cell>
          <cell r="G41">
            <v>23.29998779296875</v>
          </cell>
        </row>
        <row r="42">
          <cell r="E42">
            <v>23.2</v>
          </cell>
          <cell r="F42">
            <v>21.8</v>
          </cell>
          <cell r="G42">
            <v>20.988644180187649</v>
          </cell>
        </row>
        <row r="43">
          <cell r="E43">
            <v>26.4</v>
          </cell>
          <cell r="F43">
            <v>23.7</v>
          </cell>
          <cell r="G43">
            <v>22.342651306421143</v>
          </cell>
        </row>
        <row r="44">
          <cell r="E44">
            <v>28.4</v>
          </cell>
          <cell r="F44">
            <v>24.4</v>
          </cell>
          <cell r="G44">
            <v>22.478402908283279</v>
          </cell>
        </row>
        <row r="45">
          <cell r="E45">
            <v>28.6</v>
          </cell>
          <cell r="F45">
            <v>24.4</v>
          </cell>
          <cell r="G45">
            <v>22.382571693636379</v>
          </cell>
        </row>
        <row r="46">
          <cell r="E46">
            <v>29.8</v>
          </cell>
          <cell r="F46">
            <v>25.1</v>
          </cell>
          <cell r="G46">
            <v>22.923312230764488</v>
          </cell>
        </row>
        <row r="47">
          <cell r="E47">
            <v>31</v>
          </cell>
          <cell r="F47">
            <v>25.6</v>
          </cell>
          <cell r="G47">
            <v>23.159866723625395</v>
          </cell>
        </row>
        <row r="48">
          <cell r="E48">
            <v>31.6</v>
          </cell>
          <cell r="F48">
            <v>25.6</v>
          </cell>
          <cell r="G48">
            <v>22.881196397786919</v>
          </cell>
        </row>
        <row r="49">
          <cell r="E49">
            <v>31.7</v>
          </cell>
          <cell r="F49">
            <v>25.4</v>
          </cell>
          <cell r="G49">
            <v>22.508997335418172</v>
          </cell>
        </row>
        <row r="50">
          <cell r="E50">
            <v>29</v>
          </cell>
          <cell r="F50">
            <v>25.2</v>
          </cell>
          <cell r="G50">
            <v>23.447926951785295</v>
          </cell>
        </row>
        <row r="51">
          <cell r="E51">
            <v>25.7</v>
          </cell>
          <cell r="F51">
            <v>23.3</v>
          </cell>
          <cell r="G51">
            <v>22.061937957629123</v>
          </cell>
        </row>
        <row r="52">
          <cell r="E52">
            <v>22.5</v>
          </cell>
          <cell r="F52">
            <v>22.2</v>
          </cell>
          <cell r="G52">
            <v>21.952524101151301</v>
          </cell>
        </row>
        <row r="53">
          <cell r="E53">
            <v>23</v>
          </cell>
          <cell r="F53">
            <v>22.3</v>
          </cell>
          <cell r="G53">
            <v>21.85677608780551</v>
          </cell>
        </row>
        <row r="54">
          <cell r="E54">
            <v>23.3</v>
          </cell>
          <cell r="F54">
            <v>22.7</v>
          </cell>
          <cell r="G54">
            <v>22.312374826947206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22.5</v>
          </cell>
          <cell r="G66">
            <v>22.5</v>
          </cell>
        </row>
        <row r="67">
          <cell r="F67">
            <v>22.5</v>
          </cell>
          <cell r="G67">
            <v>22.5</v>
          </cell>
        </row>
        <row r="68">
          <cell r="F68">
            <v>22.5</v>
          </cell>
          <cell r="G68">
            <v>22.5</v>
          </cell>
        </row>
        <row r="69">
          <cell r="F69" t="str">
            <v>WXREV</v>
          </cell>
          <cell r="G69">
            <v>22.5</v>
          </cell>
        </row>
        <row r="70">
          <cell r="F70">
            <v>22.5</v>
          </cell>
          <cell r="G70">
            <v>22.5</v>
          </cell>
        </row>
        <row r="71">
          <cell r="F71">
            <v>22.5</v>
          </cell>
          <cell r="G71">
            <v>22.5</v>
          </cell>
        </row>
        <row r="72">
          <cell r="F72">
            <v>22.5</v>
          </cell>
          <cell r="G72">
            <v>22.5</v>
          </cell>
        </row>
        <row r="73">
          <cell r="F73">
            <v>22.5</v>
          </cell>
          <cell r="G73">
            <v>22.5</v>
          </cell>
        </row>
        <row r="74">
          <cell r="F74" t="str">
            <v>APRIL</v>
          </cell>
          <cell r="G74">
            <v>22.5</v>
          </cell>
        </row>
        <row r="75">
          <cell r="F75">
            <v>22.5</v>
          </cell>
          <cell r="G75">
            <v>22.5</v>
          </cell>
        </row>
        <row r="76">
          <cell r="F76" t="str">
            <v>BB</v>
          </cell>
          <cell r="G76" t="str">
            <v>TTD</v>
          </cell>
        </row>
        <row r="77">
          <cell r="F77">
            <v>22.5</v>
          </cell>
          <cell r="G77">
            <v>22.5</v>
          </cell>
        </row>
        <row r="78">
          <cell r="E78">
            <v>23.9</v>
          </cell>
          <cell r="F78">
            <v>23.4</v>
          </cell>
          <cell r="G78">
            <v>23.069362589016496</v>
          </cell>
        </row>
        <row r="79">
          <cell r="E79">
            <v>25.1</v>
          </cell>
          <cell r="F79">
            <v>24.1</v>
          </cell>
          <cell r="G79">
            <v>23.553394953907592</v>
          </cell>
        </row>
        <row r="80">
          <cell r="E80">
            <v>27.3</v>
          </cell>
          <cell r="F80">
            <v>24.5</v>
          </cell>
          <cell r="G80">
            <v>23.150202224975626</v>
          </cell>
        </row>
        <row r="81">
          <cell r="E81">
            <v>28.6</v>
          </cell>
          <cell r="F81">
            <v>25.2</v>
          </cell>
          <cell r="G81">
            <v>23.628701010435609</v>
          </cell>
        </row>
        <row r="82">
          <cell r="E82">
            <v>29.6</v>
          </cell>
          <cell r="F82">
            <v>25</v>
          </cell>
          <cell r="G82">
            <v>22.858668311959782</v>
          </cell>
        </row>
        <row r="83">
          <cell r="E83">
            <v>30.3</v>
          </cell>
          <cell r="F83">
            <v>25.6</v>
          </cell>
          <cell r="G83">
            <v>23.479887102847229</v>
          </cell>
        </row>
        <row r="84">
          <cell r="E84">
            <v>29.4</v>
          </cell>
          <cell r="F84">
            <v>25</v>
          </cell>
          <cell r="G84">
            <v>22.952122264170168</v>
          </cell>
        </row>
        <row r="85">
          <cell r="E85">
            <v>29.4</v>
          </cell>
          <cell r="F85">
            <v>25</v>
          </cell>
          <cell r="G85">
            <v>22.952122264170168</v>
          </cell>
        </row>
        <row r="86">
          <cell r="E86">
            <v>28</v>
          </cell>
          <cell r="F86">
            <v>24.6</v>
          </cell>
          <cell r="G86">
            <v>22.979754663101517</v>
          </cell>
        </row>
        <row r="87">
          <cell r="E87">
            <v>24</v>
          </cell>
          <cell r="F87">
            <v>23.6</v>
          </cell>
          <cell r="G87">
            <v>23.317592460646107</v>
          </cell>
        </row>
        <row r="88">
          <cell r="E88">
            <v>23</v>
          </cell>
          <cell r="F88">
            <v>22.8</v>
          </cell>
          <cell r="G88">
            <v>22.604760645934597</v>
          </cell>
        </row>
        <row r="89">
          <cell r="E89">
            <v>23</v>
          </cell>
          <cell r="F89">
            <v>22.8</v>
          </cell>
          <cell r="G89">
            <v>22.604760645934597</v>
          </cell>
        </row>
        <row r="90">
          <cell r="E90">
            <v>23</v>
          </cell>
          <cell r="F90">
            <v>22.8</v>
          </cell>
          <cell r="G90">
            <v>22.604760645934597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23</v>
          </cell>
          <cell r="G102">
            <v>23</v>
          </cell>
        </row>
        <row r="103">
          <cell r="F103">
            <v>23</v>
          </cell>
          <cell r="G103">
            <v>23</v>
          </cell>
        </row>
        <row r="104">
          <cell r="F104">
            <v>23</v>
          </cell>
          <cell r="G104">
            <v>23</v>
          </cell>
        </row>
        <row r="105">
          <cell r="F105" t="str">
            <v>WXREV</v>
          </cell>
          <cell r="G105">
            <v>23</v>
          </cell>
        </row>
        <row r="106">
          <cell r="F106">
            <v>23</v>
          </cell>
          <cell r="G106">
            <v>23</v>
          </cell>
        </row>
        <row r="107">
          <cell r="F107">
            <v>23</v>
          </cell>
          <cell r="G107">
            <v>23</v>
          </cell>
        </row>
        <row r="108">
          <cell r="F108">
            <v>23</v>
          </cell>
          <cell r="G108">
            <v>23</v>
          </cell>
        </row>
        <row r="109">
          <cell r="F109">
            <v>23</v>
          </cell>
          <cell r="G109">
            <v>23</v>
          </cell>
        </row>
        <row r="110">
          <cell r="F110" t="str">
            <v>APRIL</v>
          </cell>
          <cell r="G110">
            <v>23</v>
          </cell>
        </row>
        <row r="111">
          <cell r="F111">
            <v>23</v>
          </cell>
          <cell r="G111">
            <v>23</v>
          </cell>
        </row>
        <row r="112">
          <cell r="F112" t="str">
            <v>BB</v>
          </cell>
          <cell r="G112" t="str">
            <v>TTD</v>
          </cell>
        </row>
        <row r="113">
          <cell r="F113">
            <v>23</v>
          </cell>
          <cell r="G113">
            <v>23</v>
          </cell>
        </row>
        <row r="114">
          <cell r="E114">
            <v>24.5</v>
          </cell>
          <cell r="F114">
            <v>23.2</v>
          </cell>
          <cell r="G114">
            <v>22.488577424234201</v>
          </cell>
        </row>
        <row r="115">
          <cell r="E115">
            <v>26</v>
          </cell>
          <cell r="F115">
            <v>23</v>
          </cell>
          <cell r="G115">
            <v>21.442503423907144</v>
          </cell>
        </row>
        <row r="116">
          <cell r="E116">
            <v>27.4</v>
          </cell>
          <cell r="F116">
            <v>24</v>
          </cell>
          <cell r="G116">
            <v>22.328850061942795</v>
          </cell>
        </row>
        <row r="117">
          <cell r="E117">
            <v>28.6</v>
          </cell>
          <cell r="F117">
            <v>24.8</v>
          </cell>
          <cell r="G117">
            <v>23.011327145203094</v>
          </cell>
        </row>
        <row r="118">
          <cell r="E118">
            <v>29.2</v>
          </cell>
          <cell r="F118">
            <v>25</v>
          </cell>
          <cell r="G118">
            <v>23.045116879889999</v>
          </cell>
        </row>
        <row r="119">
          <cell r="E119">
            <v>30.2</v>
          </cell>
          <cell r="F119">
            <v>25.6</v>
          </cell>
          <cell r="G119">
            <v>23.525167159390978</v>
          </cell>
        </row>
        <row r="120">
          <cell r="E120">
            <v>30.3</v>
          </cell>
          <cell r="F120">
            <v>25.6</v>
          </cell>
          <cell r="G120">
            <v>23.479887102847229</v>
          </cell>
        </row>
        <row r="121">
          <cell r="E121">
            <v>29.6</v>
          </cell>
          <cell r="F121">
            <v>25.4</v>
          </cell>
          <cell r="G121">
            <v>23.485447924589423</v>
          </cell>
        </row>
        <row r="122">
          <cell r="E122">
            <v>29.6</v>
          </cell>
          <cell r="F122">
            <v>25.2</v>
          </cell>
          <cell r="G122">
            <v>23.173497959213115</v>
          </cell>
        </row>
        <row r="123">
          <cell r="E123">
            <v>29.4</v>
          </cell>
          <cell r="F123">
            <v>25</v>
          </cell>
          <cell r="G123">
            <v>22.952122264170168</v>
          </cell>
        </row>
        <row r="124">
          <cell r="E124">
            <v>27.6</v>
          </cell>
          <cell r="F124">
            <v>25</v>
          </cell>
          <cell r="G124">
            <v>23.773101758937997</v>
          </cell>
        </row>
        <row r="125">
          <cell r="E125">
            <v>27.4</v>
          </cell>
          <cell r="F125">
            <v>25</v>
          </cell>
          <cell r="G125">
            <v>23.862170856686003</v>
          </cell>
        </row>
        <row r="126">
          <cell r="E126">
            <v>26.4</v>
          </cell>
          <cell r="F126">
            <v>24.6</v>
          </cell>
          <cell r="G126">
            <v>23.710183186275557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26.4</v>
          </cell>
          <cell r="G138">
            <v>26.399993896484375</v>
          </cell>
        </row>
        <row r="139">
          <cell r="F139">
            <v>26.399993896484375</v>
          </cell>
          <cell r="G139">
            <v>26.399993896484375</v>
          </cell>
        </row>
        <row r="140">
          <cell r="F140">
            <v>26.399993896484375</v>
          </cell>
          <cell r="G140">
            <v>26.399993896484375</v>
          </cell>
        </row>
        <row r="141">
          <cell r="F141" t="str">
            <v>WXREV</v>
          </cell>
          <cell r="G141">
            <v>26.399993896484375</v>
          </cell>
        </row>
        <row r="142">
          <cell r="F142">
            <v>26.399993896484375</v>
          </cell>
          <cell r="G142">
            <v>26.399993896484375</v>
          </cell>
        </row>
        <row r="143">
          <cell r="F143">
            <v>26.399993896484375</v>
          </cell>
          <cell r="G143">
            <v>26.399993896484375</v>
          </cell>
        </row>
        <row r="144">
          <cell r="F144">
            <v>26.399993896484375</v>
          </cell>
          <cell r="G144">
            <v>26.399993896484375</v>
          </cell>
        </row>
        <row r="145">
          <cell r="F145">
            <v>26.399993896484375</v>
          </cell>
          <cell r="G145">
            <v>26.399993896484375</v>
          </cell>
        </row>
        <row r="146">
          <cell r="F146" t="str">
            <v>APRIL</v>
          </cell>
          <cell r="G146">
            <v>26.399993896484375</v>
          </cell>
        </row>
        <row r="147">
          <cell r="F147">
            <v>26.399993896484375</v>
          </cell>
          <cell r="G147">
            <v>26.399993896484375</v>
          </cell>
        </row>
        <row r="148">
          <cell r="F148" t="str">
            <v>BB</v>
          </cell>
          <cell r="G148" t="str">
            <v>TTD</v>
          </cell>
        </row>
        <row r="149">
          <cell r="F149">
            <v>26.399993896484375</v>
          </cell>
          <cell r="G149">
            <v>26.399993896484375</v>
          </cell>
        </row>
        <row r="150">
          <cell r="E150">
            <v>25</v>
          </cell>
          <cell r="F150">
            <v>24.2</v>
          </cell>
          <cell r="G150">
            <v>23.745385843105907</v>
          </cell>
        </row>
        <row r="151">
          <cell r="E151">
            <v>26.4</v>
          </cell>
          <cell r="F151">
            <v>24.2</v>
          </cell>
          <cell r="G151">
            <v>23.109032442757304</v>
          </cell>
        </row>
        <row r="152">
          <cell r="E152">
            <v>27.2</v>
          </cell>
          <cell r="F152">
            <v>24.5</v>
          </cell>
          <cell r="G152">
            <v>23.196271327670441</v>
          </cell>
        </row>
        <row r="153">
          <cell r="E153">
            <v>28.8</v>
          </cell>
          <cell r="F153">
            <v>24.8</v>
          </cell>
          <cell r="G153">
            <v>22.918167167153779</v>
          </cell>
        </row>
        <row r="154">
          <cell r="E154">
            <v>29</v>
          </cell>
          <cell r="F154">
            <v>25</v>
          </cell>
          <cell r="G154">
            <v>23.13765699199967</v>
          </cell>
        </row>
        <row r="155">
          <cell r="E155">
            <v>29.2</v>
          </cell>
          <cell r="F155">
            <v>25.8</v>
          </cell>
          <cell r="G155">
            <v>24.275779153816018</v>
          </cell>
        </row>
        <row r="156">
          <cell r="E156">
            <v>29.5</v>
          </cell>
          <cell r="F156">
            <v>25.8</v>
          </cell>
          <cell r="G156">
            <v>24.144889537823108</v>
          </cell>
        </row>
        <row r="157">
          <cell r="E157">
            <v>29.7</v>
          </cell>
          <cell r="F157">
            <v>26</v>
          </cell>
          <cell r="G157">
            <v>24.361649825750867</v>
          </cell>
        </row>
        <row r="158">
          <cell r="E158">
            <v>28.8</v>
          </cell>
          <cell r="F158">
            <v>25</v>
          </cell>
          <cell r="G158">
            <v>23.229747355809128</v>
          </cell>
        </row>
        <row r="159">
          <cell r="E159">
            <v>28.8</v>
          </cell>
          <cell r="F159">
            <v>25.4</v>
          </cell>
          <cell r="G159">
            <v>23.844597001278153</v>
          </cell>
        </row>
        <row r="160">
          <cell r="E160">
            <v>27.4</v>
          </cell>
          <cell r="F160">
            <v>24.8</v>
          </cell>
          <cell r="G160">
            <v>23.560870599375164</v>
          </cell>
        </row>
        <row r="161">
          <cell r="E161">
            <v>26.6</v>
          </cell>
          <cell r="F161">
            <v>24.5</v>
          </cell>
          <cell r="G161">
            <v>23.470360724914261</v>
          </cell>
        </row>
        <row r="162">
          <cell r="E162">
            <v>26</v>
          </cell>
          <cell r="F162">
            <v>24.4</v>
          </cell>
          <cell r="G162">
            <v>23.592004375769026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26</v>
          </cell>
          <cell r="G174">
            <v>26</v>
          </cell>
        </row>
        <row r="175">
          <cell r="F175">
            <v>26</v>
          </cell>
          <cell r="G175">
            <v>26</v>
          </cell>
        </row>
        <row r="176">
          <cell r="F176">
            <v>26</v>
          </cell>
          <cell r="G176">
            <v>26</v>
          </cell>
        </row>
        <row r="177">
          <cell r="F177" t="str">
            <v>WXREV</v>
          </cell>
          <cell r="G177">
            <v>26</v>
          </cell>
        </row>
        <row r="178">
          <cell r="F178">
            <v>26</v>
          </cell>
          <cell r="G178">
            <v>26</v>
          </cell>
        </row>
        <row r="179">
          <cell r="F179">
            <v>26</v>
          </cell>
          <cell r="G179">
            <v>26</v>
          </cell>
        </row>
        <row r="180">
          <cell r="F180">
            <v>26</v>
          </cell>
          <cell r="G180">
            <v>26</v>
          </cell>
        </row>
        <row r="181">
          <cell r="F181">
            <v>26</v>
          </cell>
          <cell r="G181">
            <v>26</v>
          </cell>
        </row>
        <row r="182">
          <cell r="F182" t="str">
            <v>APRIL</v>
          </cell>
          <cell r="G182">
            <v>26</v>
          </cell>
        </row>
        <row r="183">
          <cell r="F183">
            <v>26</v>
          </cell>
          <cell r="G183">
            <v>26</v>
          </cell>
        </row>
        <row r="184">
          <cell r="F184" t="str">
            <v>BB</v>
          </cell>
          <cell r="G184" t="str">
            <v>TTD</v>
          </cell>
        </row>
        <row r="185">
          <cell r="F185">
            <v>26</v>
          </cell>
          <cell r="G185">
            <v>26</v>
          </cell>
        </row>
        <row r="186">
          <cell r="E186">
            <v>24.4</v>
          </cell>
          <cell r="F186">
            <v>23.7</v>
          </cell>
          <cell r="G186">
            <v>23.281650558659795</v>
          </cell>
        </row>
        <row r="187">
          <cell r="E187">
            <v>25.9</v>
          </cell>
          <cell r="F187">
            <v>24.4</v>
          </cell>
          <cell r="G187">
            <v>23.637014841394823</v>
          </cell>
        </row>
        <row r="188">
          <cell r="E188">
            <v>28.4</v>
          </cell>
          <cell r="F188">
            <v>24.8</v>
          </cell>
          <cell r="G188">
            <v>23.104030876414406</v>
          </cell>
        </row>
        <row r="189">
          <cell r="E189">
            <v>28.8</v>
          </cell>
          <cell r="F189">
            <v>25</v>
          </cell>
          <cell r="G189">
            <v>23.229747355809128</v>
          </cell>
        </row>
        <row r="190">
          <cell r="E190">
            <v>29.8</v>
          </cell>
          <cell r="F190">
            <v>24.7</v>
          </cell>
          <cell r="G190">
            <v>22.284488461817968</v>
          </cell>
        </row>
        <row r="191">
          <cell r="E191">
            <v>29.8</v>
          </cell>
          <cell r="F191">
            <v>24.7</v>
          </cell>
          <cell r="G191">
            <v>22.284488461817968</v>
          </cell>
        </row>
        <row r="192">
          <cell r="E192">
            <v>30.6</v>
          </cell>
          <cell r="F192">
            <v>25.4</v>
          </cell>
          <cell r="G192">
            <v>23.026747545268133</v>
          </cell>
        </row>
        <row r="193">
          <cell r="E193">
            <v>30.2</v>
          </cell>
          <cell r="F193">
            <v>24.8</v>
          </cell>
          <cell r="G193">
            <v>22.252853752447525</v>
          </cell>
        </row>
        <row r="194">
          <cell r="E194">
            <v>29.9</v>
          </cell>
          <cell r="F194">
            <v>25.4</v>
          </cell>
          <cell r="G194">
            <v>23.348998535378588</v>
          </cell>
        </row>
        <row r="195">
          <cell r="E195">
            <v>29.3</v>
          </cell>
          <cell r="F195">
            <v>25.1</v>
          </cell>
          <cell r="G195">
            <v>23.15530014080689</v>
          </cell>
        </row>
        <row r="196">
          <cell r="E196">
            <v>28.3</v>
          </cell>
          <cell r="F196">
            <v>25</v>
          </cell>
          <cell r="G196">
            <v>23.458036142724641</v>
          </cell>
        </row>
        <row r="197">
          <cell r="E197">
            <v>27.4</v>
          </cell>
          <cell r="F197">
            <v>24.8</v>
          </cell>
          <cell r="G197">
            <v>23.560870599375164</v>
          </cell>
        </row>
        <row r="198">
          <cell r="E198">
            <v>26.7</v>
          </cell>
          <cell r="F198">
            <v>24.8</v>
          </cell>
          <cell r="G198">
            <v>23.874247836349671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26.7</v>
          </cell>
          <cell r="G210">
            <v>26.699996948242188</v>
          </cell>
        </row>
        <row r="211">
          <cell r="F211">
            <v>26.699996948242188</v>
          </cell>
          <cell r="G211">
            <v>26.699996948242188</v>
          </cell>
        </row>
        <row r="212">
          <cell r="F212">
            <v>26.699996948242188</v>
          </cell>
          <cell r="G212">
            <v>26.699996948242188</v>
          </cell>
        </row>
        <row r="213">
          <cell r="F213" t="str">
            <v>WXREV</v>
          </cell>
          <cell r="G213">
            <v>26.699996948242188</v>
          </cell>
        </row>
        <row r="214">
          <cell r="F214">
            <v>26.699996948242188</v>
          </cell>
          <cell r="G214">
            <v>26.699996948242188</v>
          </cell>
        </row>
        <row r="215">
          <cell r="F215">
            <v>26.699996948242188</v>
          </cell>
          <cell r="G215">
            <v>26.699996948242188</v>
          </cell>
        </row>
        <row r="216">
          <cell r="F216">
            <v>26.699996948242188</v>
          </cell>
          <cell r="G216">
            <v>26.699996948242188</v>
          </cell>
        </row>
        <row r="217">
          <cell r="F217">
            <v>26.699996948242188</v>
          </cell>
          <cell r="G217">
            <v>26.699996948242188</v>
          </cell>
        </row>
        <row r="218">
          <cell r="F218" t="str">
            <v>APRIL</v>
          </cell>
          <cell r="G218">
            <v>26.699996948242188</v>
          </cell>
        </row>
        <row r="219">
          <cell r="F219">
            <v>26.699996948242188</v>
          </cell>
          <cell r="G219">
            <v>26.699996948242188</v>
          </cell>
        </row>
        <row r="220">
          <cell r="F220" t="str">
            <v>BB</v>
          </cell>
          <cell r="G220" t="str">
            <v>TTD</v>
          </cell>
        </row>
        <row r="221">
          <cell r="F221">
            <v>26.699996948242188</v>
          </cell>
          <cell r="G221">
            <v>26.699996948242188</v>
          </cell>
        </row>
        <row r="222">
          <cell r="E222">
            <v>24.8</v>
          </cell>
          <cell r="F222">
            <v>22.8</v>
          </cell>
          <cell r="G222">
            <v>21.730298217970802</v>
          </cell>
        </row>
        <row r="223">
          <cell r="E223">
            <v>26.2</v>
          </cell>
          <cell r="F223">
            <v>23.6</v>
          </cell>
          <cell r="G223">
            <v>22.284100970206715</v>
          </cell>
        </row>
        <row r="224">
          <cell r="E224">
            <v>27.4</v>
          </cell>
          <cell r="F224">
            <v>24.2</v>
          </cell>
          <cell r="G224">
            <v>22.64104632271264</v>
          </cell>
        </row>
        <row r="225">
          <cell r="E225">
            <v>28</v>
          </cell>
          <cell r="F225">
            <v>24.4</v>
          </cell>
          <cell r="G225">
            <v>22.668616177039841</v>
          </cell>
        </row>
        <row r="226">
          <cell r="E226">
            <v>27.4</v>
          </cell>
          <cell r="F226">
            <v>25</v>
          </cell>
          <cell r="G226">
            <v>23.862170856686003</v>
          </cell>
        </row>
        <row r="227">
          <cell r="E227">
            <v>27.8</v>
          </cell>
          <cell r="F227">
            <v>25.4</v>
          </cell>
          <cell r="G227">
            <v>24.284221531671822</v>
          </cell>
        </row>
        <row r="228">
          <cell r="E228">
            <v>28.8</v>
          </cell>
          <cell r="F228">
            <v>25.4</v>
          </cell>
          <cell r="G228">
            <v>23.844597001278153</v>
          </cell>
        </row>
        <row r="229">
          <cell r="E229">
            <v>28.5</v>
          </cell>
          <cell r="F229">
            <v>24.8</v>
          </cell>
          <cell r="G229">
            <v>23.057735740899332</v>
          </cell>
        </row>
        <row r="230">
          <cell r="E230">
            <v>29.2</v>
          </cell>
          <cell r="F230">
            <v>25.2</v>
          </cell>
          <cell r="G230">
            <v>23.356890846549941</v>
          </cell>
        </row>
        <row r="231">
          <cell r="E231">
            <v>27.9</v>
          </cell>
          <cell r="F231">
            <v>24.2</v>
          </cell>
          <cell r="G231">
            <v>22.402630915606249</v>
          </cell>
        </row>
        <row r="232">
          <cell r="E232">
            <v>26.8</v>
          </cell>
          <cell r="F232">
            <v>24.4</v>
          </cell>
          <cell r="G232">
            <v>23.228029920116789</v>
          </cell>
        </row>
        <row r="233">
          <cell r="E233">
            <v>25.6</v>
          </cell>
          <cell r="F233">
            <v>23.9</v>
          </cell>
          <cell r="G233">
            <v>23.026370764979553</v>
          </cell>
        </row>
        <row r="234">
          <cell r="E234">
            <v>24.7</v>
          </cell>
          <cell r="F234">
            <v>23.6</v>
          </cell>
          <cell r="G234">
            <v>22.994841492230826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24.7</v>
          </cell>
          <cell r="G246">
            <v>24.699996948242188</v>
          </cell>
        </row>
        <row r="247">
          <cell r="F247">
            <v>24.699996948242188</v>
          </cell>
          <cell r="G247">
            <v>24.699996948242188</v>
          </cell>
        </row>
        <row r="248">
          <cell r="F248">
            <v>24.699996948242188</v>
          </cell>
          <cell r="G248">
            <v>24.699996948242188</v>
          </cell>
        </row>
        <row r="249">
          <cell r="F249" t="str">
            <v>WXREV</v>
          </cell>
          <cell r="G249">
            <v>24.699996948242188</v>
          </cell>
        </row>
        <row r="250">
          <cell r="F250">
            <v>24.699996948242188</v>
          </cell>
          <cell r="G250">
            <v>24.699996948242188</v>
          </cell>
        </row>
        <row r="251">
          <cell r="F251">
            <v>24.699996948242188</v>
          </cell>
          <cell r="G251">
            <v>24.699996948242188</v>
          </cell>
        </row>
        <row r="252">
          <cell r="F252">
            <v>24.699996948242188</v>
          </cell>
          <cell r="G252">
            <v>24.699996948242188</v>
          </cell>
        </row>
        <row r="253">
          <cell r="F253">
            <v>24.699996948242188</v>
          </cell>
          <cell r="G253">
            <v>24.699996948242188</v>
          </cell>
        </row>
        <row r="254">
          <cell r="F254" t="str">
            <v>APRIL</v>
          </cell>
          <cell r="G254">
            <v>24.699996948242188</v>
          </cell>
        </row>
        <row r="255">
          <cell r="F255">
            <v>24.699996948242188</v>
          </cell>
          <cell r="G255">
            <v>24.699996948242188</v>
          </cell>
        </row>
        <row r="256">
          <cell r="F256" t="str">
            <v>BB</v>
          </cell>
          <cell r="G256" t="str">
            <v>TTD</v>
          </cell>
        </row>
        <row r="257">
          <cell r="F257">
            <v>24.699996948242188</v>
          </cell>
          <cell r="G257">
            <v>24.699996948242188</v>
          </cell>
        </row>
        <row r="258">
          <cell r="E258">
            <v>24.5</v>
          </cell>
          <cell r="F258">
            <v>23.4</v>
          </cell>
          <cell r="G258">
            <v>22.789387257958612</v>
          </cell>
        </row>
        <row r="259">
          <cell r="E259">
            <v>25.4</v>
          </cell>
          <cell r="F259">
            <v>23.8</v>
          </cell>
          <cell r="G259">
            <v>22.968814165589823</v>
          </cell>
        </row>
        <row r="260">
          <cell r="E260">
            <v>26.6</v>
          </cell>
          <cell r="F260">
            <v>24.2</v>
          </cell>
          <cell r="G260">
            <v>23.016356945678069</v>
          </cell>
        </row>
        <row r="261">
          <cell r="E261">
            <v>27.2</v>
          </cell>
          <cell r="F261">
            <v>23.8</v>
          </cell>
          <cell r="G261">
            <v>22.111430377236314</v>
          </cell>
        </row>
        <row r="262">
          <cell r="E262">
            <v>28</v>
          </cell>
          <cell r="F262">
            <v>24.8</v>
          </cell>
          <cell r="G262">
            <v>23.28808865472617</v>
          </cell>
        </row>
        <row r="263">
          <cell r="E263">
            <v>28.2</v>
          </cell>
          <cell r="F263">
            <v>24.8</v>
          </cell>
          <cell r="G263">
            <v>23.196283144013933</v>
          </cell>
        </row>
        <row r="264">
          <cell r="E264">
            <v>28.9</v>
          </cell>
          <cell r="F264">
            <v>25.2</v>
          </cell>
          <cell r="G264">
            <v>23.493281902389949</v>
          </cell>
        </row>
        <row r="265">
          <cell r="E265">
            <v>29.2</v>
          </cell>
          <cell r="F265">
            <v>25.2</v>
          </cell>
          <cell r="G265">
            <v>23.356890846549941</v>
          </cell>
        </row>
        <row r="266">
          <cell r="E266">
            <v>28.8</v>
          </cell>
          <cell r="F266">
            <v>25.2</v>
          </cell>
          <cell r="G266">
            <v>23.538528861704741</v>
          </cell>
        </row>
        <row r="267">
          <cell r="E267">
            <v>28.4</v>
          </cell>
          <cell r="F267">
            <v>24.6</v>
          </cell>
          <cell r="G267">
            <v>22.792662448856582</v>
          </cell>
        </row>
        <row r="268">
          <cell r="E268">
            <v>27.4</v>
          </cell>
          <cell r="F268">
            <v>24.6</v>
          </cell>
          <cell r="G268">
            <v>23.256970699803183</v>
          </cell>
        </row>
        <row r="269">
          <cell r="E269">
            <v>26.8</v>
          </cell>
          <cell r="F269">
            <v>24.4</v>
          </cell>
          <cell r="G269">
            <v>23.228029920116789</v>
          </cell>
        </row>
        <row r="270">
          <cell r="E270">
            <v>25.8</v>
          </cell>
          <cell r="F270">
            <v>24</v>
          </cell>
          <cell r="G270">
            <v>23.084297681296647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25.8</v>
          </cell>
          <cell r="G282">
            <v>25.79998779296875</v>
          </cell>
        </row>
        <row r="283">
          <cell r="F283">
            <v>25.79998779296875</v>
          </cell>
          <cell r="G283">
            <v>25.79998779296875</v>
          </cell>
        </row>
        <row r="284">
          <cell r="F284">
            <v>25.79998779296875</v>
          </cell>
          <cell r="G284">
            <v>25.79998779296875</v>
          </cell>
        </row>
        <row r="285">
          <cell r="F285" t="str">
            <v>WXREV</v>
          </cell>
          <cell r="G285">
            <v>25.79998779296875</v>
          </cell>
        </row>
        <row r="286">
          <cell r="F286">
            <v>25.79998779296875</v>
          </cell>
          <cell r="G286">
            <v>25.79998779296875</v>
          </cell>
        </row>
        <row r="287">
          <cell r="F287">
            <v>25.79998779296875</v>
          </cell>
          <cell r="G287">
            <v>25.79998779296875</v>
          </cell>
        </row>
        <row r="288">
          <cell r="F288">
            <v>25.79998779296875</v>
          </cell>
          <cell r="G288">
            <v>25.79998779296875</v>
          </cell>
        </row>
        <row r="289">
          <cell r="F289">
            <v>25.79998779296875</v>
          </cell>
          <cell r="G289">
            <v>25.79998779296875</v>
          </cell>
        </row>
        <row r="290">
          <cell r="F290" t="str">
            <v>APRIL</v>
          </cell>
          <cell r="G290">
            <v>25.79998779296875</v>
          </cell>
        </row>
        <row r="291">
          <cell r="F291">
            <v>25.79998779296875</v>
          </cell>
          <cell r="G291">
            <v>25.79998779296875</v>
          </cell>
        </row>
        <row r="292">
          <cell r="F292" t="str">
            <v>BB</v>
          </cell>
          <cell r="G292" t="str">
            <v>TTD</v>
          </cell>
        </row>
        <row r="293">
          <cell r="F293">
            <v>25.79998779296875</v>
          </cell>
          <cell r="G293">
            <v>25.79998779296875</v>
          </cell>
        </row>
        <row r="294">
          <cell r="E294">
            <v>23.7</v>
          </cell>
          <cell r="F294">
            <v>22.8</v>
          </cell>
          <cell r="G294">
            <v>22.269507301736514</v>
          </cell>
        </row>
        <row r="295">
          <cell r="E295">
            <v>26</v>
          </cell>
          <cell r="F295">
            <v>24.2</v>
          </cell>
          <cell r="G295">
            <v>23.293034575471221</v>
          </cell>
        </row>
        <row r="296">
          <cell r="E296">
            <v>26.3</v>
          </cell>
          <cell r="F296">
            <v>24.1</v>
          </cell>
          <cell r="G296">
            <v>23.003657859506184</v>
          </cell>
        </row>
        <row r="297">
          <cell r="E297">
            <v>28.1</v>
          </cell>
          <cell r="F297">
            <v>24.7</v>
          </cell>
          <cell r="G297">
            <v>23.088045882264225</v>
          </cell>
        </row>
        <row r="298">
          <cell r="E298">
            <v>28.8</v>
          </cell>
          <cell r="F298">
            <v>25</v>
          </cell>
          <cell r="G298">
            <v>23.229747355809128</v>
          </cell>
        </row>
        <row r="299">
          <cell r="E299">
            <v>29.1</v>
          </cell>
          <cell r="F299">
            <v>25</v>
          </cell>
          <cell r="G299">
            <v>23.091443449890949</v>
          </cell>
        </row>
        <row r="300">
          <cell r="E300">
            <v>29.2</v>
          </cell>
          <cell r="F300">
            <v>25.4</v>
          </cell>
          <cell r="G300">
            <v>23.665869730219789</v>
          </cell>
        </row>
        <row r="301">
          <cell r="E301">
            <v>29.9</v>
          </cell>
          <cell r="F301">
            <v>25.8</v>
          </cell>
          <cell r="G301">
            <v>23.968963072351563</v>
          </cell>
        </row>
        <row r="302">
          <cell r="E302">
            <v>29.2</v>
          </cell>
          <cell r="F302">
            <v>25.3</v>
          </cell>
          <cell r="G302">
            <v>23.511724268218156</v>
          </cell>
        </row>
        <row r="303">
          <cell r="E303">
            <v>29.4</v>
          </cell>
          <cell r="F303">
            <v>25.4</v>
          </cell>
          <cell r="G303">
            <v>23.575872804337322</v>
          </cell>
        </row>
        <row r="304">
          <cell r="E304">
            <v>27.7</v>
          </cell>
          <cell r="F304">
            <v>24.8</v>
          </cell>
          <cell r="G304">
            <v>23.424969363752066</v>
          </cell>
        </row>
        <row r="305">
          <cell r="E305">
            <v>26.6</v>
          </cell>
          <cell r="F305">
            <v>24.2</v>
          </cell>
          <cell r="G305">
            <v>23.016356945678069</v>
          </cell>
        </row>
        <row r="306">
          <cell r="E306">
            <v>26.4</v>
          </cell>
          <cell r="F306">
            <v>24.8</v>
          </cell>
          <cell r="G306">
            <v>24.00699031261323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26.4</v>
          </cell>
          <cell r="G318">
            <v>26.399993896484375</v>
          </cell>
        </row>
        <row r="319">
          <cell r="F319">
            <v>26.399993896484375</v>
          </cell>
          <cell r="G319">
            <v>26.399993896484375</v>
          </cell>
        </row>
        <row r="320">
          <cell r="F320">
            <v>26.399993896484375</v>
          </cell>
          <cell r="G320">
            <v>26.399993896484375</v>
          </cell>
        </row>
        <row r="321">
          <cell r="F321" t="str">
            <v>WXREV</v>
          </cell>
          <cell r="G321">
            <v>26.399993896484375</v>
          </cell>
        </row>
        <row r="322">
          <cell r="F322">
            <v>26.399993896484375</v>
          </cell>
          <cell r="G322">
            <v>26.399993896484375</v>
          </cell>
        </row>
        <row r="323">
          <cell r="F323">
            <v>26.399993896484375</v>
          </cell>
          <cell r="G323">
            <v>26.399993896484375</v>
          </cell>
        </row>
        <row r="324">
          <cell r="F324">
            <v>26.399993896484375</v>
          </cell>
          <cell r="G324">
            <v>26.399993896484375</v>
          </cell>
        </row>
        <row r="325">
          <cell r="F325">
            <v>26.399993896484375</v>
          </cell>
          <cell r="G325">
            <v>26.399993896484375</v>
          </cell>
        </row>
        <row r="326">
          <cell r="F326" t="str">
            <v>APRIL</v>
          </cell>
          <cell r="G326">
            <v>26.399993896484375</v>
          </cell>
        </row>
        <row r="327">
          <cell r="F327">
            <v>26.399993896484375</v>
          </cell>
          <cell r="G327">
            <v>26.399993896484375</v>
          </cell>
        </row>
        <row r="328">
          <cell r="F328" t="str">
            <v>BB</v>
          </cell>
          <cell r="G328" t="str">
            <v>TTD</v>
          </cell>
        </row>
        <row r="329">
          <cell r="F329">
            <v>26.399993896484375</v>
          </cell>
          <cell r="G329">
            <v>26.399993896484375</v>
          </cell>
        </row>
        <row r="330">
          <cell r="E330">
            <v>25.6</v>
          </cell>
          <cell r="F330">
            <v>24.2</v>
          </cell>
          <cell r="G330">
            <v>23.475269202586603</v>
          </cell>
        </row>
        <row r="331">
          <cell r="E331">
            <v>27.2</v>
          </cell>
          <cell r="F331">
            <v>24.2</v>
          </cell>
          <cell r="G331">
            <v>22.735575147904516</v>
          </cell>
        </row>
        <row r="332">
          <cell r="E332">
            <v>28.5</v>
          </cell>
          <cell r="F332">
            <v>24.7</v>
          </cell>
          <cell r="G332">
            <v>22.902025602631472</v>
          </cell>
        </row>
        <row r="333">
          <cell r="E333">
            <v>29.1</v>
          </cell>
          <cell r="F333">
            <v>25</v>
          </cell>
          <cell r="G333">
            <v>23.091443449890949</v>
          </cell>
        </row>
        <row r="334">
          <cell r="E334">
            <v>30.5</v>
          </cell>
          <cell r="F334">
            <v>25.6</v>
          </cell>
          <cell r="G334">
            <v>23.38900195668537</v>
          </cell>
        </row>
        <row r="335">
          <cell r="E335">
            <v>30.1</v>
          </cell>
          <cell r="F335">
            <v>25.2</v>
          </cell>
          <cell r="G335">
            <v>22.941732713579075</v>
          </cell>
        </row>
        <row r="336">
          <cell r="E336">
            <v>30.4</v>
          </cell>
          <cell r="F336">
            <v>26.2</v>
          </cell>
          <cell r="G336">
            <v>24.362986930908228</v>
          </cell>
        </row>
        <row r="337">
          <cell r="E337">
            <v>30</v>
          </cell>
          <cell r="F337">
            <v>25.8</v>
          </cell>
          <cell r="G337">
            <v>23.924726871474732</v>
          </cell>
        </row>
        <row r="338">
          <cell r="E338">
            <v>24.6</v>
          </cell>
          <cell r="F338">
            <v>24</v>
          </cell>
          <cell r="G338">
            <v>23.631733166285724</v>
          </cell>
        </row>
        <row r="339">
          <cell r="E339">
            <v>24</v>
          </cell>
          <cell r="F339">
            <v>23.6</v>
          </cell>
          <cell r="G339">
            <v>23.317592460646107</v>
          </cell>
        </row>
        <row r="340">
          <cell r="E340">
            <v>23.6</v>
          </cell>
          <cell r="F340">
            <v>23.4</v>
          </cell>
          <cell r="G340">
            <v>23.207812519635773</v>
          </cell>
        </row>
        <row r="341">
          <cell r="E341">
            <v>23.6</v>
          </cell>
          <cell r="F341">
            <v>23.4</v>
          </cell>
          <cell r="G341">
            <v>23.207812519635773</v>
          </cell>
        </row>
        <row r="342">
          <cell r="E342">
            <v>23.6</v>
          </cell>
          <cell r="F342">
            <v>23.4</v>
          </cell>
          <cell r="G342">
            <v>23.207812519635773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23.6</v>
          </cell>
          <cell r="G354">
            <v>23.599990844726563</v>
          </cell>
        </row>
        <row r="355">
          <cell r="F355">
            <v>23.599990844726563</v>
          </cell>
          <cell r="G355">
            <v>23.599990844726563</v>
          </cell>
        </row>
        <row r="356">
          <cell r="F356">
            <v>23.599990844726563</v>
          </cell>
          <cell r="G356">
            <v>23.599990844726563</v>
          </cell>
        </row>
        <row r="357">
          <cell r="F357" t="str">
            <v>WXREV</v>
          </cell>
          <cell r="G357">
            <v>23.599990844726563</v>
          </cell>
        </row>
        <row r="358">
          <cell r="F358">
            <v>23.599990844726563</v>
          </cell>
          <cell r="G358">
            <v>23.599990844726563</v>
          </cell>
        </row>
        <row r="359">
          <cell r="F359">
            <v>23.599990844726563</v>
          </cell>
          <cell r="G359">
            <v>23.599990844726563</v>
          </cell>
        </row>
        <row r="360">
          <cell r="F360">
            <v>23.599990844726563</v>
          </cell>
          <cell r="G360">
            <v>23.599990844726563</v>
          </cell>
        </row>
        <row r="361">
          <cell r="F361">
            <v>23.599990844726563</v>
          </cell>
          <cell r="G361">
            <v>23.599990844726563</v>
          </cell>
        </row>
        <row r="362">
          <cell r="F362" t="str">
            <v>APRIL</v>
          </cell>
          <cell r="G362">
            <v>23.599990844726563</v>
          </cell>
        </row>
        <row r="363">
          <cell r="F363">
            <v>23.599990844726563</v>
          </cell>
          <cell r="G363">
            <v>23.599990844726563</v>
          </cell>
        </row>
        <row r="364">
          <cell r="F364" t="str">
            <v>BB</v>
          </cell>
          <cell r="G364" t="str">
            <v>TTD</v>
          </cell>
        </row>
        <row r="365">
          <cell r="F365">
            <v>23.599990844726563</v>
          </cell>
          <cell r="G365">
            <v>23.599990844726563</v>
          </cell>
        </row>
        <row r="366">
          <cell r="E366">
            <v>24</v>
          </cell>
          <cell r="F366">
            <v>23</v>
          </cell>
          <cell r="G366">
            <v>22.426257580226199</v>
          </cell>
        </row>
        <row r="367">
          <cell r="E367">
            <v>25</v>
          </cell>
          <cell r="F367">
            <v>23.8</v>
          </cell>
          <cell r="G367">
            <v>23.154171566343187</v>
          </cell>
        </row>
        <row r="368">
          <cell r="E368">
            <v>28</v>
          </cell>
          <cell r="F368">
            <v>25</v>
          </cell>
          <cell r="G368">
            <v>23.593703811444115</v>
          </cell>
        </row>
        <row r="369">
          <cell r="E369">
            <v>29.2</v>
          </cell>
          <cell r="F369">
            <v>25.2</v>
          </cell>
          <cell r="G369">
            <v>23.356890846549941</v>
          </cell>
        </row>
        <row r="370">
          <cell r="E370">
            <v>30.4</v>
          </cell>
          <cell r="F370">
            <v>25.6</v>
          </cell>
          <cell r="G370">
            <v>23.434498887866557</v>
          </cell>
        </row>
        <row r="371">
          <cell r="E371">
            <v>31.2</v>
          </cell>
          <cell r="F371">
            <v>25.8</v>
          </cell>
          <cell r="G371">
            <v>23.385719390969253</v>
          </cell>
        </row>
        <row r="372">
          <cell r="E372">
            <v>31.6</v>
          </cell>
          <cell r="F372">
            <v>25.8</v>
          </cell>
          <cell r="G372">
            <v>23.202598868629106</v>
          </cell>
        </row>
        <row r="373">
          <cell r="E373">
            <v>28.4</v>
          </cell>
          <cell r="F373">
            <v>24.8</v>
          </cell>
          <cell r="G373">
            <v>23.104030876414406</v>
          </cell>
        </row>
        <row r="374">
          <cell r="E374">
            <v>30.2</v>
          </cell>
          <cell r="F374">
            <v>26</v>
          </cell>
          <cell r="G374">
            <v>24.14398223668147</v>
          </cell>
        </row>
        <row r="375">
          <cell r="E375">
            <v>27</v>
          </cell>
          <cell r="F375">
            <v>24.3</v>
          </cell>
          <cell r="G375">
            <v>22.983124403430299</v>
          </cell>
        </row>
        <row r="376">
          <cell r="E376">
            <v>26.4</v>
          </cell>
          <cell r="F376">
            <v>24.6</v>
          </cell>
          <cell r="G376">
            <v>23.710183186275557</v>
          </cell>
        </row>
        <row r="377">
          <cell r="E377">
            <v>25.9</v>
          </cell>
          <cell r="F377">
            <v>24.6</v>
          </cell>
          <cell r="G377">
            <v>23.932803813122124</v>
          </cell>
        </row>
        <row r="378">
          <cell r="E378">
            <v>25.6</v>
          </cell>
          <cell r="F378">
            <v>24.4</v>
          </cell>
          <cell r="G378">
            <v>23.771410936659056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25.6</v>
          </cell>
          <cell r="G390">
            <v>25.599990844726563</v>
          </cell>
        </row>
        <row r="391">
          <cell r="F391">
            <v>25.599990844726563</v>
          </cell>
          <cell r="G391">
            <v>25.599990844726563</v>
          </cell>
        </row>
        <row r="392">
          <cell r="F392">
            <v>25.599990844726563</v>
          </cell>
          <cell r="G392">
            <v>25.599990844726563</v>
          </cell>
        </row>
        <row r="393">
          <cell r="F393" t="str">
            <v>WXREV</v>
          </cell>
          <cell r="G393">
            <v>25.599990844726563</v>
          </cell>
        </row>
        <row r="394">
          <cell r="F394">
            <v>25.599990844726563</v>
          </cell>
          <cell r="G394">
            <v>25.599990844726563</v>
          </cell>
        </row>
        <row r="395">
          <cell r="F395">
            <v>25.599990844726563</v>
          </cell>
          <cell r="G395">
            <v>25.599990844726563</v>
          </cell>
        </row>
        <row r="396">
          <cell r="F396">
            <v>25.599990844726563</v>
          </cell>
          <cell r="G396">
            <v>25.599990844726563</v>
          </cell>
        </row>
        <row r="397">
          <cell r="F397">
            <v>25.599990844726563</v>
          </cell>
          <cell r="G397">
            <v>25.599990844726563</v>
          </cell>
        </row>
        <row r="398">
          <cell r="F398" t="str">
            <v>APRIL</v>
          </cell>
          <cell r="G398">
            <v>25.599990844726563</v>
          </cell>
        </row>
        <row r="399">
          <cell r="F399">
            <v>25.599990844726563</v>
          </cell>
          <cell r="G399">
            <v>25.599990844726563</v>
          </cell>
        </row>
        <row r="400">
          <cell r="F400" t="str">
            <v>BB</v>
          </cell>
          <cell r="G400" t="str">
            <v>TTD</v>
          </cell>
        </row>
        <row r="401">
          <cell r="F401">
            <v>25.599990844726563</v>
          </cell>
          <cell r="G401">
            <v>25.599990844726563</v>
          </cell>
        </row>
        <row r="402">
          <cell r="E402">
            <v>23.9</v>
          </cell>
          <cell r="F402">
            <v>23</v>
          </cell>
          <cell r="G402">
            <v>22.474118871546448</v>
          </cell>
        </row>
        <row r="403">
          <cell r="E403">
            <v>26</v>
          </cell>
          <cell r="F403">
            <v>24</v>
          </cell>
          <cell r="G403">
            <v>22.991501967304046</v>
          </cell>
        </row>
        <row r="404">
          <cell r="E404">
            <v>27.6</v>
          </cell>
          <cell r="F404">
            <v>24.8</v>
          </cell>
          <cell r="G404">
            <v>23.470377859669266</v>
          </cell>
        </row>
        <row r="405">
          <cell r="E405">
            <v>29.6</v>
          </cell>
          <cell r="F405">
            <v>24.2</v>
          </cell>
          <cell r="G405">
            <v>21.568635253270578</v>
          </cell>
        </row>
        <row r="406">
          <cell r="E406">
            <v>30.6</v>
          </cell>
          <cell r="F406">
            <v>24.6</v>
          </cell>
          <cell r="G406">
            <v>21.729084834872303</v>
          </cell>
        </row>
        <row r="407">
          <cell r="E407">
            <v>30.8</v>
          </cell>
          <cell r="F407">
            <v>24.2</v>
          </cell>
          <cell r="G407">
            <v>20.956729082873636</v>
          </cell>
        </row>
        <row r="408">
          <cell r="E408">
            <v>31.6</v>
          </cell>
          <cell r="F408">
            <v>24.4</v>
          </cell>
          <cell r="G408">
            <v>20.883068242934797</v>
          </cell>
        </row>
        <row r="409">
          <cell r="E409">
            <v>32.200000000000003</v>
          </cell>
          <cell r="F409">
            <v>24.6</v>
          </cell>
          <cell r="G409">
            <v>20.915822081561544</v>
          </cell>
        </row>
        <row r="410">
          <cell r="E410">
            <v>30.4</v>
          </cell>
          <cell r="F410">
            <v>25.6</v>
          </cell>
          <cell r="G410">
            <v>23.434498887866557</v>
          </cell>
        </row>
        <row r="411">
          <cell r="E411">
            <v>28</v>
          </cell>
          <cell r="F411">
            <v>25</v>
          </cell>
          <cell r="G411">
            <v>23.593703811444115</v>
          </cell>
        </row>
        <row r="412">
          <cell r="E412">
            <v>27.6</v>
          </cell>
          <cell r="F412">
            <v>25</v>
          </cell>
          <cell r="G412">
            <v>23.773101758937997</v>
          </cell>
        </row>
        <row r="413">
          <cell r="E413">
            <v>27.2</v>
          </cell>
          <cell r="F413">
            <v>23.6</v>
          </cell>
          <cell r="G413">
            <v>21.794916962756314</v>
          </cell>
        </row>
        <row r="414">
          <cell r="E414">
            <v>26.8</v>
          </cell>
          <cell r="F414">
            <v>23.4</v>
          </cell>
          <cell r="G414">
            <v>21.675891882100515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26.8</v>
          </cell>
          <cell r="G426">
            <v>26.79998779296875</v>
          </cell>
        </row>
        <row r="427">
          <cell r="F427">
            <v>26.79998779296875</v>
          </cell>
          <cell r="G427">
            <v>26.79998779296875</v>
          </cell>
        </row>
        <row r="428">
          <cell r="F428">
            <v>26.79998779296875</v>
          </cell>
          <cell r="G428">
            <v>26.79998779296875</v>
          </cell>
        </row>
        <row r="429">
          <cell r="F429" t="str">
            <v>WXREV</v>
          </cell>
          <cell r="G429">
            <v>26.79998779296875</v>
          </cell>
        </row>
        <row r="430">
          <cell r="F430">
            <v>26.79998779296875</v>
          </cell>
          <cell r="G430">
            <v>26.79998779296875</v>
          </cell>
        </row>
        <row r="431">
          <cell r="F431">
            <v>26.79998779296875</v>
          </cell>
          <cell r="G431">
            <v>26.79998779296875</v>
          </cell>
        </row>
        <row r="432">
          <cell r="F432">
            <v>26.79998779296875</v>
          </cell>
          <cell r="G432">
            <v>26.79998779296875</v>
          </cell>
        </row>
        <row r="433">
          <cell r="F433">
            <v>26.79998779296875</v>
          </cell>
          <cell r="G433">
            <v>26.79998779296875</v>
          </cell>
        </row>
        <row r="434">
          <cell r="F434" t="str">
            <v>APRIL</v>
          </cell>
          <cell r="G434">
            <v>26.79998779296875</v>
          </cell>
        </row>
        <row r="435">
          <cell r="F435">
            <v>26.79998779296875</v>
          </cell>
          <cell r="G435">
            <v>26.79998779296875</v>
          </cell>
        </row>
        <row r="436">
          <cell r="F436" t="str">
            <v>BB</v>
          </cell>
          <cell r="G436" t="str">
            <v>TTD</v>
          </cell>
        </row>
        <row r="437">
          <cell r="F437">
            <v>26.79998779296875</v>
          </cell>
          <cell r="G437">
            <v>26.79998779296875</v>
          </cell>
        </row>
        <row r="438">
          <cell r="E438">
            <v>24.3</v>
          </cell>
          <cell r="F438">
            <v>22.7</v>
          </cell>
          <cell r="G438">
            <v>21.823964062232847</v>
          </cell>
        </row>
        <row r="439">
          <cell r="E439">
            <v>26.6</v>
          </cell>
          <cell r="F439">
            <v>23.8</v>
          </cell>
          <cell r="G439">
            <v>22.401579926224102</v>
          </cell>
        </row>
        <row r="440">
          <cell r="E440">
            <v>28</v>
          </cell>
          <cell r="F440">
            <v>24.9</v>
          </cell>
          <cell r="G440">
            <v>23.441230876352734</v>
          </cell>
        </row>
        <row r="441">
          <cell r="E441">
            <v>29.2</v>
          </cell>
          <cell r="F441">
            <v>24.6</v>
          </cell>
          <cell r="G441">
            <v>22.412824160138996</v>
          </cell>
        </row>
        <row r="442">
          <cell r="E442">
            <v>30.2</v>
          </cell>
          <cell r="F442">
            <v>24.8</v>
          </cell>
          <cell r="G442">
            <v>22.252853752447525</v>
          </cell>
        </row>
        <row r="443">
          <cell r="E443">
            <v>30.3</v>
          </cell>
          <cell r="F443">
            <v>24.5</v>
          </cell>
          <cell r="G443">
            <v>21.713107831372216</v>
          </cell>
        </row>
        <row r="444">
          <cell r="E444">
            <v>30.6</v>
          </cell>
          <cell r="F444">
            <v>25.3</v>
          </cell>
          <cell r="G444">
            <v>22.86730209001103</v>
          </cell>
        </row>
        <row r="445">
          <cell r="E445">
            <v>30</v>
          </cell>
          <cell r="F445">
            <v>25.4</v>
          </cell>
          <cell r="G445">
            <v>23.303296611588866</v>
          </cell>
        </row>
        <row r="446">
          <cell r="E446">
            <v>29.7</v>
          </cell>
          <cell r="F446">
            <v>25</v>
          </cell>
          <cell r="G446">
            <v>22.811767552763925</v>
          </cell>
        </row>
        <row r="447">
          <cell r="E447">
            <v>26.6</v>
          </cell>
          <cell r="F447">
            <v>25</v>
          </cell>
          <cell r="G447">
            <v>24.214345134056124</v>
          </cell>
        </row>
        <row r="448">
          <cell r="E448">
            <v>26.8</v>
          </cell>
          <cell r="F448">
            <v>25.2</v>
          </cell>
          <cell r="G448">
            <v>24.421609632843392</v>
          </cell>
        </row>
        <row r="449">
          <cell r="E449">
            <v>26.8</v>
          </cell>
          <cell r="F449">
            <v>25.2</v>
          </cell>
          <cell r="G449">
            <v>24.421609632843392</v>
          </cell>
        </row>
        <row r="450">
          <cell r="E450">
            <v>26.4</v>
          </cell>
          <cell r="F450">
            <v>25</v>
          </cell>
          <cell r="G450">
            <v>24.301383345836562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26.4</v>
          </cell>
          <cell r="G462">
            <v>26.399993896484375</v>
          </cell>
        </row>
        <row r="463">
          <cell r="F463">
            <v>26.399993896484375</v>
          </cell>
          <cell r="G463">
            <v>26.399993896484375</v>
          </cell>
        </row>
        <row r="464">
          <cell r="F464">
            <v>26.399993896484375</v>
          </cell>
          <cell r="G464">
            <v>26.399993896484375</v>
          </cell>
        </row>
        <row r="465">
          <cell r="F465" t="str">
            <v>WXREV</v>
          </cell>
          <cell r="G465">
            <v>26.399993896484375</v>
          </cell>
        </row>
        <row r="466">
          <cell r="F466">
            <v>26.399993896484375</v>
          </cell>
          <cell r="G466">
            <v>26.399993896484375</v>
          </cell>
        </row>
        <row r="467">
          <cell r="F467">
            <v>26.399993896484375</v>
          </cell>
          <cell r="G467">
            <v>26.399993896484375</v>
          </cell>
        </row>
        <row r="468">
          <cell r="F468">
            <v>26.399993896484375</v>
          </cell>
          <cell r="G468">
            <v>26.399993896484375</v>
          </cell>
        </row>
        <row r="469">
          <cell r="F469">
            <v>26.399993896484375</v>
          </cell>
          <cell r="G469">
            <v>26.399993896484375</v>
          </cell>
        </row>
        <row r="470">
          <cell r="F470" t="str">
            <v>APRIL</v>
          </cell>
          <cell r="G470">
            <v>26.399993896484375</v>
          </cell>
        </row>
        <row r="471">
          <cell r="F471">
            <v>26.399993896484375</v>
          </cell>
          <cell r="G471">
            <v>26.399993896484375</v>
          </cell>
        </row>
        <row r="472">
          <cell r="F472" t="str">
            <v>BB</v>
          </cell>
          <cell r="G472" t="str">
            <v>TTD</v>
          </cell>
        </row>
        <row r="473">
          <cell r="F473">
            <v>26.399993896484375</v>
          </cell>
          <cell r="G473">
            <v>26.399993896484375</v>
          </cell>
        </row>
        <row r="474">
          <cell r="E474">
            <v>24.8</v>
          </cell>
          <cell r="F474">
            <v>23.6</v>
          </cell>
          <cell r="G474">
            <v>22.948281918843517</v>
          </cell>
        </row>
        <row r="475">
          <cell r="E475">
            <v>27</v>
          </cell>
          <cell r="F475">
            <v>24.6</v>
          </cell>
          <cell r="G475">
            <v>23.439555090650348</v>
          </cell>
        </row>
        <row r="476">
          <cell r="E476">
            <v>28.4</v>
          </cell>
          <cell r="F476">
            <v>25</v>
          </cell>
          <cell r="G476">
            <v>23.412597481878489</v>
          </cell>
        </row>
        <row r="477">
          <cell r="E477">
            <v>29.9</v>
          </cell>
          <cell r="F477">
            <v>25.4</v>
          </cell>
          <cell r="G477">
            <v>23.348998535378588</v>
          </cell>
        </row>
        <row r="478">
          <cell r="E478">
            <v>30.4</v>
          </cell>
          <cell r="F478">
            <v>25.3</v>
          </cell>
          <cell r="G478">
            <v>22.960715346435535</v>
          </cell>
        </row>
        <row r="479">
          <cell r="E479">
            <v>31</v>
          </cell>
          <cell r="F479">
            <v>24.8</v>
          </cell>
          <cell r="G479">
            <v>21.861845231864532</v>
          </cell>
        </row>
        <row r="480">
          <cell r="E480">
            <v>31.9</v>
          </cell>
          <cell r="F480">
            <v>23.9</v>
          </cell>
          <cell r="G480">
            <v>19.846831642239369</v>
          </cell>
        </row>
        <row r="481">
          <cell r="E481">
            <v>32.6</v>
          </cell>
          <cell r="F481">
            <v>24.2</v>
          </cell>
          <cell r="G481">
            <v>19.999381025205224</v>
          </cell>
        </row>
        <row r="482">
          <cell r="E482">
            <v>32.4</v>
          </cell>
          <cell r="F482">
            <v>24.2</v>
          </cell>
          <cell r="G482">
            <v>20.108229282341842</v>
          </cell>
        </row>
        <row r="483">
          <cell r="E483">
            <v>30.3</v>
          </cell>
          <cell r="F483">
            <v>26</v>
          </cell>
          <cell r="G483">
            <v>24.100149656934345</v>
          </cell>
        </row>
        <row r="484">
          <cell r="E484">
            <v>28.4</v>
          </cell>
          <cell r="F484">
            <v>24.6</v>
          </cell>
          <cell r="G484">
            <v>22.792662448856582</v>
          </cell>
        </row>
        <row r="485">
          <cell r="E485">
            <v>27.4</v>
          </cell>
          <cell r="F485">
            <v>24</v>
          </cell>
          <cell r="G485">
            <v>22.328850061942795</v>
          </cell>
        </row>
        <row r="486">
          <cell r="E486">
            <v>26.3</v>
          </cell>
          <cell r="F486">
            <v>23.4</v>
          </cell>
          <cell r="G486">
            <v>21.923630910648615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26.3</v>
          </cell>
          <cell r="G498">
            <v>26.29998779296875</v>
          </cell>
        </row>
        <row r="499">
          <cell r="F499">
            <v>26.29998779296875</v>
          </cell>
          <cell r="G499">
            <v>26.29998779296875</v>
          </cell>
        </row>
        <row r="500">
          <cell r="F500">
            <v>26.29998779296875</v>
          </cell>
          <cell r="G500">
            <v>26.29998779296875</v>
          </cell>
        </row>
        <row r="501">
          <cell r="F501" t="str">
            <v>WXREV</v>
          </cell>
          <cell r="G501">
            <v>26.29998779296875</v>
          </cell>
        </row>
        <row r="502">
          <cell r="F502">
            <v>26.29998779296875</v>
          </cell>
          <cell r="G502">
            <v>26.29998779296875</v>
          </cell>
        </row>
        <row r="503">
          <cell r="F503">
            <v>26.29998779296875</v>
          </cell>
          <cell r="G503">
            <v>26.29998779296875</v>
          </cell>
        </row>
        <row r="504">
          <cell r="F504">
            <v>26.29998779296875</v>
          </cell>
          <cell r="G504">
            <v>26.29998779296875</v>
          </cell>
        </row>
        <row r="505">
          <cell r="F505">
            <v>26.29998779296875</v>
          </cell>
          <cell r="G505">
            <v>26.29998779296875</v>
          </cell>
        </row>
        <row r="506">
          <cell r="F506" t="str">
            <v>APRIL</v>
          </cell>
          <cell r="G506">
            <v>26.29998779296875</v>
          </cell>
        </row>
        <row r="507">
          <cell r="F507">
            <v>26.29998779296875</v>
          </cell>
          <cell r="G507">
            <v>26.29998779296875</v>
          </cell>
        </row>
        <row r="508">
          <cell r="F508" t="str">
            <v>BB</v>
          </cell>
          <cell r="G508" t="str">
            <v>TTD</v>
          </cell>
        </row>
        <row r="509">
          <cell r="F509">
            <v>26.29998779296875</v>
          </cell>
          <cell r="G509">
            <v>26.29998779296875</v>
          </cell>
        </row>
        <row r="510">
          <cell r="E510">
            <v>24.7</v>
          </cell>
          <cell r="F510">
            <v>23.7</v>
          </cell>
          <cell r="G510">
            <v>23.143738191814908</v>
          </cell>
        </row>
        <row r="511">
          <cell r="E511">
            <v>26.5</v>
          </cell>
          <cell r="F511">
            <v>24.9</v>
          </cell>
          <cell r="G511">
            <v>24.110679096015026</v>
          </cell>
        </row>
        <row r="512">
          <cell r="E512">
            <v>27.9</v>
          </cell>
          <cell r="F512">
            <v>24.6</v>
          </cell>
          <cell r="G512">
            <v>23.026240016098249</v>
          </cell>
        </row>
        <row r="513">
          <cell r="E513">
            <v>29.5</v>
          </cell>
          <cell r="F513">
            <v>24.8</v>
          </cell>
          <cell r="G513">
            <v>22.588443387521256</v>
          </cell>
        </row>
        <row r="514">
          <cell r="E514">
            <v>31</v>
          </cell>
          <cell r="F514">
            <v>25.9</v>
          </cell>
          <cell r="G514">
            <v>23.633903227396075</v>
          </cell>
        </row>
        <row r="515">
          <cell r="E515">
            <v>31.3</v>
          </cell>
          <cell r="F515">
            <v>25.1</v>
          </cell>
          <cell r="G515">
            <v>22.209749633065176</v>
          </cell>
        </row>
        <row r="516">
          <cell r="E516">
            <v>32</v>
          </cell>
          <cell r="F516">
            <v>25.9</v>
          </cell>
          <cell r="G516">
            <v>23.178804436951761</v>
          </cell>
        </row>
        <row r="517">
          <cell r="E517">
            <v>31</v>
          </cell>
          <cell r="F517">
            <v>25.8</v>
          </cell>
          <cell r="G517">
            <v>23.476621444388034</v>
          </cell>
        </row>
        <row r="518">
          <cell r="E518">
            <v>27.6</v>
          </cell>
          <cell r="F518">
            <v>23.9</v>
          </cell>
          <cell r="G518">
            <v>22.074246678118175</v>
          </cell>
        </row>
        <row r="519">
          <cell r="E519">
            <v>28.2</v>
          </cell>
          <cell r="F519">
            <v>24.8</v>
          </cell>
          <cell r="G519">
            <v>23.196283144013933</v>
          </cell>
        </row>
        <row r="520">
          <cell r="E520">
            <v>27</v>
          </cell>
          <cell r="F520">
            <v>23.8</v>
          </cell>
          <cell r="G520">
            <v>22.208645027327083</v>
          </cell>
        </row>
        <row r="521">
          <cell r="E521">
            <v>26.8</v>
          </cell>
          <cell r="F521">
            <v>24.2</v>
          </cell>
          <cell r="G521">
            <v>22.923225481997395</v>
          </cell>
        </row>
        <row r="522">
          <cell r="E522">
            <v>26.5</v>
          </cell>
          <cell r="F522">
            <v>24.6</v>
          </cell>
          <cell r="G522">
            <v>23.665345072616162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26.5</v>
          </cell>
          <cell r="G534">
            <v>26.5</v>
          </cell>
        </row>
        <row r="535">
          <cell r="F535">
            <v>26.5</v>
          </cell>
          <cell r="G535">
            <v>26.5</v>
          </cell>
        </row>
        <row r="536">
          <cell r="F536">
            <v>26.5</v>
          </cell>
          <cell r="G536">
            <v>26.5</v>
          </cell>
        </row>
        <row r="537">
          <cell r="F537" t="str">
            <v>WXREV</v>
          </cell>
          <cell r="G537">
            <v>26.5</v>
          </cell>
        </row>
        <row r="538">
          <cell r="F538">
            <v>26.5</v>
          </cell>
          <cell r="G538">
            <v>26.5</v>
          </cell>
        </row>
        <row r="539">
          <cell r="F539">
            <v>26.5</v>
          </cell>
          <cell r="G539">
            <v>26.5</v>
          </cell>
        </row>
        <row r="540">
          <cell r="F540">
            <v>26.5</v>
          </cell>
          <cell r="G540">
            <v>26.5</v>
          </cell>
        </row>
        <row r="541">
          <cell r="F541">
            <v>26.5</v>
          </cell>
          <cell r="G541">
            <v>26.5</v>
          </cell>
        </row>
        <row r="542">
          <cell r="F542" t="str">
            <v>APRIL</v>
          </cell>
          <cell r="G542">
            <v>26.5</v>
          </cell>
        </row>
        <row r="543">
          <cell r="F543">
            <v>26.5</v>
          </cell>
          <cell r="G543">
            <v>26.5</v>
          </cell>
        </row>
        <row r="544">
          <cell r="F544" t="str">
            <v>BB</v>
          </cell>
          <cell r="G544" t="str">
            <v>TTD</v>
          </cell>
        </row>
        <row r="545">
          <cell r="F545">
            <v>26.5</v>
          </cell>
          <cell r="G545">
            <v>26.5</v>
          </cell>
        </row>
        <row r="546">
          <cell r="E546">
            <v>25</v>
          </cell>
          <cell r="F546">
            <v>23.3</v>
          </cell>
          <cell r="G546">
            <v>22.400885909362238</v>
          </cell>
        </row>
        <row r="547">
          <cell r="E547">
            <v>26.5</v>
          </cell>
          <cell r="F547">
            <v>24.2</v>
          </cell>
          <cell r="G547">
            <v>23.062751389564443</v>
          </cell>
        </row>
        <row r="548">
          <cell r="E548">
            <v>27.8</v>
          </cell>
          <cell r="F548">
            <v>24.8</v>
          </cell>
          <cell r="G548">
            <v>23.379452040413032</v>
          </cell>
        </row>
        <row r="549">
          <cell r="E549">
            <v>29.4</v>
          </cell>
          <cell r="F549">
            <v>25</v>
          </cell>
          <cell r="G549">
            <v>22.952122264170168</v>
          </cell>
        </row>
        <row r="550">
          <cell r="E550">
            <v>30.8</v>
          </cell>
          <cell r="F550">
            <v>25.8</v>
          </cell>
          <cell r="G550">
            <v>23.56709069326994</v>
          </cell>
        </row>
        <row r="551">
          <cell r="E551">
            <v>31.7</v>
          </cell>
          <cell r="F551">
            <v>25.8</v>
          </cell>
          <cell r="G551">
            <v>23.156541144087583</v>
          </cell>
        </row>
        <row r="552">
          <cell r="E552">
            <v>31.2</v>
          </cell>
          <cell r="F552">
            <v>26.2</v>
          </cell>
          <cell r="G552">
            <v>24.013538250316298</v>
          </cell>
        </row>
        <row r="553">
          <cell r="E553">
            <v>30.6</v>
          </cell>
          <cell r="F553">
            <v>25.8</v>
          </cell>
          <cell r="G553">
            <v>23.657131550071426</v>
          </cell>
        </row>
        <row r="554">
          <cell r="E554">
            <v>24.8</v>
          </cell>
          <cell r="F554">
            <v>24.4</v>
          </cell>
          <cell r="G554">
            <v>24.125234420920101</v>
          </cell>
        </row>
        <row r="555">
          <cell r="E555">
            <v>24.8</v>
          </cell>
          <cell r="F555">
            <v>24.4</v>
          </cell>
          <cell r="G555">
            <v>24.125234420920101</v>
          </cell>
        </row>
        <row r="556">
          <cell r="E556">
            <v>25.4</v>
          </cell>
          <cell r="F556">
            <v>24.4</v>
          </cell>
          <cell r="G556">
            <v>23.860484247779919</v>
          </cell>
        </row>
        <row r="557">
          <cell r="E557">
            <v>25.4</v>
          </cell>
          <cell r="F557">
            <v>24.4</v>
          </cell>
          <cell r="G557">
            <v>23.860484247779919</v>
          </cell>
        </row>
        <row r="558">
          <cell r="E558">
            <v>25.4</v>
          </cell>
          <cell r="F558">
            <v>24.4</v>
          </cell>
          <cell r="G558">
            <v>23.860484247779919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24.8</v>
          </cell>
          <cell r="G570">
            <v>24.79998779296875</v>
          </cell>
        </row>
        <row r="571">
          <cell r="F571">
            <v>24.79998779296875</v>
          </cell>
          <cell r="G571">
            <v>24.79998779296875</v>
          </cell>
        </row>
        <row r="572">
          <cell r="F572">
            <v>24.79998779296875</v>
          </cell>
          <cell r="G572">
            <v>24.79998779296875</v>
          </cell>
        </row>
        <row r="573">
          <cell r="F573" t="str">
            <v>WXREV</v>
          </cell>
          <cell r="G573">
            <v>24.79998779296875</v>
          </cell>
        </row>
        <row r="574">
          <cell r="F574">
            <v>24.79998779296875</v>
          </cell>
          <cell r="G574">
            <v>24.79998779296875</v>
          </cell>
        </row>
        <row r="575">
          <cell r="F575">
            <v>24.79998779296875</v>
          </cell>
          <cell r="G575">
            <v>24.79998779296875</v>
          </cell>
        </row>
        <row r="576">
          <cell r="F576">
            <v>24.79998779296875</v>
          </cell>
          <cell r="G576">
            <v>24.79998779296875</v>
          </cell>
        </row>
        <row r="577">
          <cell r="F577">
            <v>24.79998779296875</v>
          </cell>
          <cell r="G577">
            <v>24.79998779296875</v>
          </cell>
        </row>
        <row r="578">
          <cell r="F578" t="str">
            <v>APRIL</v>
          </cell>
          <cell r="G578">
            <v>24.79998779296875</v>
          </cell>
        </row>
        <row r="579">
          <cell r="F579">
            <v>24.79998779296875</v>
          </cell>
          <cell r="G579">
            <v>24.79998779296875</v>
          </cell>
        </row>
        <row r="580">
          <cell r="F580" t="str">
            <v>BB</v>
          </cell>
          <cell r="G580" t="str">
            <v>TTD</v>
          </cell>
        </row>
        <row r="581">
          <cell r="F581">
            <v>24.79998779296875</v>
          </cell>
          <cell r="G581">
            <v>24.79998779296875</v>
          </cell>
        </row>
        <row r="582">
          <cell r="E582">
            <v>24.4</v>
          </cell>
          <cell r="F582">
            <v>23.2</v>
          </cell>
          <cell r="G582">
            <v>22.536281516172753</v>
          </cell>
        </row>
        <row r="583">
          <cell r="E583">
            <v>26.2</v>
          </cell>
          <cell r="F583">
            <v>24</v>
          </cell>
          <cell r="G583">
            <v>22.898249002326494</v>
          </cell>
        </row>
        <row r="584">
          <cell r="E584">
            <v>28.2</v>
          </cell>
          <cell r="F584">
            <v>25</v>
          </cell>
          <cell r="G584">
            <v>23.503366381695525</v>
          </cell>
        </row>
        <row r="585">
          <cell r="E585">
            <v>29.6</v>
          </cell>
          <cell r="F585">
            <v>24.8</v>
          </cell>
          <cell r="G585">
            <v>22.540866348822316</v>
          </cell>
        </row>
        <row r="586">
          <cell r="E586">
            <v>31.2</v>
          </cell>
          <cell r="F586">
            <v>25.4</v>
          </cell>
          <cell r="G586">
            <v>22.746098808962643</v>
          </cell>
        </row>
        <row r="587">
          <cell r="E587">
            <v>31.8</v>
          </cell>
          <cell r="F587">
            <v>25.6</v>
          </cell>
          <cell r="G587">
            <v>22.787386628827527</v>
          </cell>
        </row>
        <row r="588">
          <cell r="E588">
            <v>32.4</v>
          </cell>
          <cell r="F588">
            <v>25.4</v>
          </cell>
          <cell r="G588">
            <v>22.171963130331743</v>
          </cell>
        </row>
        <row r="589">
          <cell r="E589">
            <v>32</v>
          </cell>
          <cell r="F589">
            <v>26.6</v>
          </cell>
          <cell r="G589">
            <v>24.285705103391685</v>
          </cell>
        </row>
        <row r="590">
          <cell r="E590">
            <v>31.2</v>
          </cell>
          <cell r="F590">
            <v>26.4</v>
          </cell>
          <cell r="G590">
            <v>24.323248278322577</v>
          </cell>
        </row>
        <row r="591">
          <cell r="E591">
            <v>31</v>
          </cell>
          <cell r="F591">
            <v>26.2</v>
          </cell>
          <cell r="G591">
            <v>24.10150142747483</v>
          </cell>
        </row>
        <row r="592">
          <cell r="E592">
            <v>29.3</v>
          </cell>
          <cell r="F592">
            <v>26</v>
          </cell>
          <cell r="G592">
            <v>24.534018519692285</v>
          </cell>
        </row>
        <row r="593">
          <cell r="E593">
            <v>28.2</v>
          </cell>
          <cell r="F593">
            <v>25.7</v>
          </cell>
          <cell r="G593">
            <v>24.557601385913394</v>
          </cell>
        </row>
        <row r="594">
          <cell r="E594">
            <v>25.1</v>
          </cell>
          <cell r="F594">
            <v>24.5</v>
          </cell>
          <cell r="G594">
            <v>24.138785607382236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25.1</v>
          </cell>
          <cell r="G606">
            <v>25.099990844726563</v>
          </cell>
        </row>
        <row r="607">
          <cell r="F607">
            <v>25.099990844726563</v>
          </cell>
          <cell r="G607">
            <v>25.099990844726563</v>
          </cell>
        </row>
        <row r="608">
          <cell r="F608">
            <v>25.099990844726563</v>
          </cell>
          <cell r="G608">
            <v>25.099990844726563</v>
          </cell>
        </row>
        <row r="609">
          <cell r="F609" t="str">
            <v>WXREV</v>
          </cell>
          <cell r="G609">
            <v>25.099990844726563</v>
          </cell>
        </row>
        <row r="610">
          <cell r="F610">
            <v>25.099990844726563</v>
          </cell>
          <cell r="G610">
            <v>25.099990844726563</v>
          </cell>
        </row>
        <row r="611">
          <cell r="F611">
            <v>25.099990844726563</v>
          </cell>
          <cell r="G611">
            <v>25.099990844726563</v>
          </cell>
        </row>
        <row r="612">
          <cell r="F612">
            <v>25.099990844726563</v>
          </cell>
          <cell r="G612">
            <v>25.099990844726563</v>
          </cell>
        </row>
        <row r="613">
          <cell r="F613">
            <v>25.099990844726563</v>
          </cell>
          <cell r="G613">
            <v>25.099990844726563</v>
          </cell>
        </row>
        <row r="614">
          <cell r="F614" t="str">
            <v>APRIL</v>
          </cell>
          <cell r="G614">
            <v>25.099990844726563</v>
          </cell>
        </row>
        <row r="615">
          <cell r="F615">
            <v>25.099990844726563</v>
          </cell>
          <cell r="G615">
            <v>25.099990844726563</v>
          </cell>
        </row>
        <row r="616">
          <cell r="F616" t="str">
            <v>BB</v>
          </cell>
          <cell r="G616" t="str">
            <v>TTD</v>
          </cell>
        </row>
        <row r="617">
          <cell r="F617">
            <v>25.099990844726563</v>
          </cell>
          <cell r="G617">
            <v>25.099990844726563</v>
          </cell>
        </row>
        <row r="618">
          <cell r="E618">
            <v>24.8</v>
          </cell>
          <cell r="F618">
            <v>24</v>
          </cell>
          <cell r="G618">
            <v>23.541582806104632</v>
          </cell>
        </row>
        <row r="619">
          <cell r="E619">
            <v>26.1</v>
          </cell>
          <cell r="F619">
            <v>24.8</v>
          </cell>
          <cell r="G619">
            <v>24.138815714096342</v>
          </cell>
        </row>
        <row r="620">
          <cell r="E620">
            <v>28.1</v>
          </cell>
          <cell r="F620">
            <v>25.6</v>
          </cell>
          <cell r="G620">
            <v>24.452006908384092</v>
          </cell>
        </row>
        <row r="621">
          <cell r="E621">
            <v>29.8</v>
          </cell>
          <cell r="F621">
            <v>25.4</v>
          </cell>
          <cell r="G621">
            <v>23.394590685489504</v>
          </cell>
        </row>
        <row r="622">
          <cell r="E622">
            <v>31.2</v>
          </cell>
          <cell r="F622">
            <v>25.7</v>
          </cell>
          <cell r="G622">
            <v>23.226950039492646</v>
          </cell>
        </row>
        <row r="623">
          <cell r="E623">
            <v>32.4</v>
          </cell>
          <cell r="F623">
            <v>26</v>
          </cell>
          <cell r="G623">
            <v>23.155571451496382</v>
          </cell>
        </row>
        <row r="624">
          <cell r="E624">
            <v>30.5</v>
          </cell>
          <cell r="F624">
            <v>26.2</v>
          </cell>
          <cell r="G624">
            <v>24.319653572306294</v>
          </cell>
        </row>
        <row r="625">
          <cell r="E625">
            <v>28.9</v>
          </cell>
          <cell r="F625">
            <v>25.4</v>
          </cell>
          <cell r="G625">
            <v>23.800072174333476</v>
          </cell>
        </row>
        <row r="626">
          <cell r="E626">
            <v>27.6</v>
          </cell>
          <cell r="F626">
            <v>24.1</v>
          </cell>
          <cell r="G626">
            <v>22.389516171661661</v>
          </cell>
        </row>
        <row r="627">
          <cell r="E627">
            <v>27.8</v>
          </cell>
          <cell r="F627">
            <v>25</v>
          </cell>
          <cell r="G627">
            <v>23.683614162726549</v>
          </cell>
        </row>
        <row r="628">
          <cell r="E628">
            <v>27.4</v>
          </cell>
          <cell r="F628">
            <v>25.2</v>
          </cell>
          <cell r="G628">
            <v>24.160948701579553</v>
          </cell>
        </row>
        <row r="629">
          <cell r="E629">
            <v>27.2</v>
          </cell>
          <cell r="F629">
            <v>24.6</v>
          </cell>
          <cell r="G629">
            <v>23.348482445095115</v>
          </cell>
        </row>
        <row r="630">
          <cell r="E630">
            <v>24</v>
          </cell>
          <cell r="F630">
            <v>23.2</v>
          </cell>
          <cell r="G630">
            <v>22.725900467116261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24</v>
          </cell>
          <cell r="G642">
            <v>24</v>
          </cell>
        </row>
        <row r="643">
          <cell r="F643">
            <v>24</v>
          </cell>
          <cell r="G643">
            <v>24</v>
          </cell>
        </row>
        <row r="644">
          <cell r="F644">
            <v>24</v>
          </cell>
          <cell r="G644">
            <v>24</v>
          </cell>
        </row>
        <row r="645">
          <cell r="F645" t="str">
            <v>WXREV</v>
          </cell>
          <cell r="G645">
            <v>24</v>
          </cell>
        </row>
        <row r="646">
          <cell r="F646">
            <v>24</v>
          </cell>
          <cell r="G646">
            <v>24</v>
          </cell>
        </row>
        <row r="647">
          <cell r="F647">
            <v>24</v>
          </cell>
          <cell r="G647">
            <v>24</v>
          </cell>
        </row>
        <row r="648">
          <cell r="F648">
            <v>24</v>
          </cell>
          <cell r="G648">
            <v>24</v>
          </cell>
        </row>
        <row r="649">
          <cell r="F649">
            <v>24</v>
          </cell>
          <cell r="G649">
            <v>24</v>
          </cell>
        </row>
        <row r="650">
          <cell r="F650" t="str">
            <v>APRIL</v>
          </cell>
          <cell r="G650">
            <v>24</v>
          </cell>
        </row>
        <row r="651">
          <cell r="F651">
            <v>24</v>
          </cell>
          <cell r="G651">
            <v>24</v>
          </cell>
        </row>
        <row r="652">
          <cell r="F652" t="str">
            <v>BB</v>
          </cell>
          <cell r="G652" t="str">
            <v>TTD</v>
          </cell>
        </row>
        <row r="653">
          <cell r="F653">
            <v>24</v>
          </cell>
          <cell r="G653">
            <v>24</v>
          </cell>
        </row>
        <row r="654">
          <cell r="E654">
            <v>24.5</v>
          </cell>
          <cell r="F654">
            <v>23.9</v>
          </cell>
          <cell r="G654">
            <v>23.530297217183691</v>
          </cell>
        </row>
        <row r="655">
          <cell r="E655">
            <v>26.1</v>
          </cell>
          <cell r="F655">
            <v>24.2</v>
          </cell>
          <cell r="G655">
            <v>23.247201183448343</v>
          </cell>
        </row>
        <row r="656">
          <cell r="E656">
            <v>28</v>
          </cell>
          <cell r="F656">
            <v>25</v>
          </cell>
          <cell r="G656">
            <v>23.593703811444115</v>
          </cell>
        </row>
        <row r="657">
          <cell r="E657">
            <v>29.6</v>
          </cell>
          <cell r="F657">
            <v>25.4</v>
          </cell>
          <cell r="G657">
            <v>23.485447924589423</v>
          </cell>
        </row>
        <row r="658">
          <cell r="E658">
            <v>30.8</v>
          </cell>
          <cell r="F658">
            <v>26</v>
          </cell>
          <cell r="G658">
            <v>23.879464107884509</v>
          </cell>
        </row>
        <row r="659">
          <cell r="E659">
            <v>31</v>
          </cell>
          <cell r="F659">
            <v>26</v>
          </cell>
          <cell r="G659">
            <v>23.79046980665996</v>
          </cell>
        </row>
        <row r="660">
          <cell r="E660">
            <v>30</v>
          </cell>
          <cell r="F660">
            <v>26.2</v>
          </cell>
          <cell r="G660">
            <v>24.535346114683474</v>
          </cell>
        </row>
        <row r="661">
          <cell r="E661">
            <v>29.6</v>
          </cell>
          <cell r="F661">
            <v>25.6</v>
          </cell>
          <cell r="G661">
            <v>23.79460686035754</v>
          </cell>
        </row>
        <row r="662">
          <cell r="E662">
            <v>25</v>
          </cell>
          <cell r="F662">
            <v>23.4</v>
          </cell>
          <cell r="G662">
            <v>22.552863273036831</v>
          </cell>
        </row>
        <row r="663">
          <cell r="E663">
            <v>23.8</v>
          </cell>
          <cell r="F663">
            <v>23.2</v>
          </cell>
          <cell r="G663">
            <v>22.82000049036704</v>
          </cell>
        </row>
        <row r="664">
          <cell r="E664">
            <v>24.2</v>
          </cell>
          <cell r="F664">
            <v>23.6</v>
          </cell>
          <cell r="G664">
            <v>23.225937351919136</v>
          </cell>
        </row>
        <row r="665">
          <cell r="E665">
            <v>24</v>
          </cell>
          <cell r="F665">
            <v>23.4</v>
          </cell>
          <cell r="G665">
            <v>23.022986804446777</v>
          </cell>
        </row>
        <row r="666">
          <cell r="E666">
            <v>23.8</v>
          </cell>
          <cell r="F666">
            <v>23.2</v>
          </cell>
          <cell r="G666">
            <v>22.82000049036704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23.8</v>
          </cell>
          <cell r="G678">
            <v>23.79998779296875</v>
          </cell>
        </row>
        <row r="679">
          <cell r="F679">
            <v>23.79998779296875</v>
          </cell>
          <cell r="G679">
            <v>23.79998779296875</v>
          </cell>
        </row>
        <row r="680">
          <cell r="F680">
            <v>23.79998779296875</v>
          </cell>
          <cell r="G680">
            <v>23.79998779296875</v>
          </cell>
        </row>
        <row r="681">
          <cell r="F681" t="str">
            <v>WXREV</v>
          </cell>
          <cell r="G681">
            <v>23.79998779296875</v>
          </cell>
        </row>
        <row r="682">
          <cell r="F682">
            <v>23.79998779296875</v>
          </cell>
          <cell r="G682">
            <v>23.79998779296875</v>
          </cell>
        </row>
        <row r="683">
          <cell r="F683">
            <v>23.79998779296875</v>
          </cell>
          <cell r="G683">
            <v>23.79998779296875</v>
          </cell>
        </row>
        <row r="684">
          <cell r="F684">
            <v>23.79998779296875</v>
          </cell>
          <cell r="G684">
            <v>23.79998779296875</v>
          </cell>
        </row>
        <row r="685">
          <cell r="F685">
            <v>23.79998779296875</v>
          </cell>
          <cell r="G685">
            <v>23.79998779296875</v>
          </cell>
        </row>
        <row r="686">
          <cell r="F686" t="str">
            <v>APRIL</v>
          </cell>
          <cell r="G686">
            <v>23.79998779296875</v>
          </cell>
        </row>
        <row r="687">
          <cell r="F687">
            <v>23.79998779296875</v>
          </cell>
          <cell r="G687">
            <v>23.79998779296875</v>
          </cell>
        </row>
        <row r="688">
          <cell r="F688" t="str">
            <v>BB</v>
          </cell>
          <cell r="G688" t="str">
            <v>TTD</v>
          </cell>
        </row>
        <row r="689">
          <cell r="F689">
            <v>23.79998779296875</v>
          </cell>
          <cell r="G689">
            <v>23.79998779296875</v>
          </cell>
        </row>
        <row r="690">
          <cell r="E690">
            <v>24.6</v>
          </cell>
          <cell r="F690">
            <v>23.2</v>
          </cell>
          <cell r="G690">
            <v>22.440752283690482</v>
          </cell>
        </row>
        <row r="691">
          <cell r="E691">
            <v>26</v>
          </cell>
          <cell r="F691">
            <v>23.8</v>
          </cell>
          <cell r="G691">
            <v>22.687327425827569</v>
          </cell>
        </row>
        <row r="692">
          <cell r="E692">
            <v>28</v>
          </cell>
          <cell r="F692">
            <v>24.8</v>
          </cell>
          <cell r="G692">
            <v>23.28808865472617</v>
          </cell>
        </row>
        <row r="693">
          <cell r="E693">
            <v>29</v>
          </cell>
          <cell r="F693">
            <v>24.9</v>
          </cell>
          <cell r="G693">
            <v>22.981462246956188</v>
          </cell>
        </row>
        <row r="694">
          <cell r="E694">
            <v>30</v>
          </cell>
          <cell r="F694">
            <v>25.8</v>
          </cell>
          <cell r="G694">
            <v>23.924726871474732</v>
          </cell>
        </row>
        <row r="695">
          <cell r="E695">
            <v>30.6</v>
          </cell>
          <cell r="F695">
            <v>26</v>
          </cell>
          <cell r="G695">
            <v>23.968044880142624</v>
          </cell>
        </row>
        <row r="696">
          <cell r="E696">
            <v>30.2</v>
          </cell>
          <cell r="F696">
            <v>26</v>
          </cell>
          <cell r="G696">
            <v>24.14398223668147</v>
          </cell>
        </row>
        <row r="697">
          <cell r="E697">
            <v>30.2</v>
          </cell>
          <cell r="F697">
            <v>26</v>
          </cell>
          <cell r="G697">
            <v>24.14398223668147</v>
          </cell>
        </row>
        <row r="698">
          <cell r="E698">
            <v>26.8</v>
          </cell>
          <cell r="F698">
            <v>24</v>
          </cell>
          <cell r="G698">
            <v>22.615697420007322</v>
          </cell>
        </row>
        <row r="699">
          <cell r="E699">
            <v>24.8</v>
          </cell>
          <cell r="F699">
            <v>23.2</v>
          </cell>
          <cell r="G699">
            <v>22.344736198934232</v>
          </cell>
        </row>
        <row r="700">
          <cell r="E700">
            <v>22.9</v>
          </cell>
          <cell r="F700">
            <v>22.8</v>
          </cell>
          <cell r="G700">
            <v>22.652170926389957</v>
          </cell>
        </row>
        <row r="701">
          <cell r="E701">
            <v>23.2</v>
          </cell>
          <cell r="F701">
            <v>22.9</v>
          </cell>
          <cell r="G701">
            <v>22.657999359828803</v>
          </cell>
        </row>
        <row r="702">
          <cell r="E702">
            <v>23.5</v>
          </cell>
          <cell r="F702">
            <v>23.2</v>
          </cell>
          <cell r="G702">
            <v>22.960277875591963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22.9</v>
          </cell>
          <cell r="G714">
            <v>22.899993896484375</v>
          </cell>
        </row>
        <row r="715">
          <cell r="F715">
            <v>22.899993896484375</v>
          </cell>
          <cell r="G715">
            <v>22.899993896484375</v>
          </cell>
        </row>
        <row r="716">
          <cell r="F716">
            <v>22.899993896484375</v>
          </cell>
          <cell r="G716">
            <v>22.899993896484375</v>
          </cell>
        </row>
        <row r="717">
          <cell r="F717" t="str">
            <v>WXREV</v>
          </cell>
          <cell r="G717">
            <v>22.899993896484375</v>
          </cell>
        </row>
        <row r="718">
          <cell r="F718">
            <v>22.899993896484375</v>
          </cell>
          <cell r="G718">
            <v>22.899993896484375</v>
          </cell>
        </row>
        <row r="719">
          <cell r="F719">
            <v>22.899993896484375</v>
          </cell>
          <cell r="G719">
            <v>22.899993896484375</v>
          </cell>
        </row>
        <row r="720">
          <cell r="F720">
            <v>22.899993896484375</v>
          </cell>
          <cell r="G720">
            <v>22.899993896484375</v>
          </cell>
        </row>
        <row r="721">
          <cell r="F721">
            <v>22.899993896484375</v>
          </cell>
          <cell r="G721">
            <v>22.899993896484375</v>
          </cell>
        </row>
        <row r="722">
          <cell r="F722" t="str">
            <v>APRIL</v>
          </cell>
          <cell r="G722">
            <v>22.899993896484375</v>
          </cell>
        </row>
        <row r="723">
          <cell r="F723">
            <v>22.899993896484375</v>
          </cell>
          <cell r="G723">
            <v>22.899993896484375</v>
          </cell>
        </row>
        <row r="724">
          <cell r="F724" t="str">
            <v>BB</v>
          </cell>
          <cell r="G724" t="str">
            <v>TTD</v>
          </cell>
        </row>
        <row r="725">
          <cell r="F725">
            <v>22.899993896484375</v>
          </cell>
          <cell r="G725">
            <v>22.899993896484375</v>
          </cell>
        </row>
        <row r="726">
          <cell r="E726">
            <v>23.9</v>
          </cell>
          <cell r="F726">
            <v>23.4</v>
          </cell>
          <cell r="G726">
            <v>23.069362589016496</v>
          </cell>
        </row>
        <row r="727">
          <cell r="E727">
            <v>24.6</v>
          </cell>
          <cell r="F727">
            <v>23.8</v>
          </cell>
          <cell r="G727">
            <v>23.337733422817518</v>
          </cell>
        </row>
        <row r="728">
          <cell r="E728">
            <v>25.3</v>
          </cell>
          <cell r="F728">
            <v>23.9</v>
          </cell>
          <cell r="G728">
            <v>23.165138660267143</v>
          </cell>
        </row>
        <row r="729">
          <cell r="E729">
            <v>27</v>
          </cell>
          <cell r="F729">
            <v>25</v>
          </cell>
          <cell r="G729">
            <v>24.039070257543216</v>
          </cell>
        </row>
        <row r="730">
          <cell r="E730">
            <v>28.4</v>
          </cell>
          <cell r="F730">
            <v>25.4</v>
          </cell>
          <cell r="G730">
            <v>24.021663637150674</v>
          </cell>
        </row>
        <row r="731">
          <cell r="E731">
            <v>29.2</v>
          </cell>
          <cell r="F731">
            <v>25.2</v>
          </cell>
          <cell r="G731">
            <v>23.356890846549941</v>
          </cell>
        </row>
        <row r="732">
          <cell r="E732">
            <v>29.2</v>
          </cell>
          <cell r="F732">
            <v>25.5</v>
          </cell>
          <cell r="G732">
            <v>23.819337756018118</v>
          </cell>
        </row>
        <row r="733">
          <cell r="E733">
            <v>27.2</v>
          </cell>
          <cell r="F733">
            <v>23.6</v>
          </cell>
          <cell r="G733">
            <v>21.794916962756314</v>
          </cell>
        </row>
        <row r="734">
          <cell r="E734">
            <v>25.4</v>
          </cell>
          <cell r="F734">
            <v>23.6</v>
          </cell>
          <cell r="G734">
            <v>22.666490581585112</v>
          </cell>
        </row>
        <row r="735">
          <cell r="E735">
            <v>24.6</v>
          </cell>
          <cell r="F735">
            <v>23.6</v>
          </cell>
          <cell r="G735">
            <v>23.041286800704647</v>
          </cell>
        </row>
        <row r="736">
          <cell r="E736">
            <v>24.6</v>
          </cell>
          <cell r="F736">
            <v>23.6</v>
          </cell>
          <cell r="G736">
            <v>23.041286800704647</v>
          </cell>
        </row>
        <row r="737">
          <cell r="E737">
            <v>24.4</v>
          </cell>
          <cell r="F737">
            <v>23.6</v>
          </cell>
          <cell r="G737">
            <v>23.133837025841927</v>
          </cell>
        </row>
        <row r="738">
          <cell r="E738">
            <v>24</v>
          </cell>
          <cell r="F738">
            <v>23.4</v>
          </cell>
          <cell r="G738">
            <v>23.022986804446777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24</v>
          </cell>
          <cell r="G750">
            <v>24</v>
          </cell>
        </row>
        <row r="751">
          <cell r="F751">
            <v>24</v>
          </cell>
          <cell r="G751">
            <v>24</v>
          </cell>
        </row>
        <row r="752">
          <cell r="F752">
            <v>24</v>
          </cell>
          <cell r="G752">
            <v>24</v>
          </cell>
        </row>
        <row r="753">
          <cell r="F753" t="str">
            <v>WXREV</v>
          </cell>
          <cell r="G753">
            <v>24</v>
          </cell>
        </row>
        <row r="754">
          <cell r="F754">
            <v>24</v>
          </cell>
          <cell r="G754">
            <v>24</v>
          </cell>
        </row>
        <row r="755">
          <cell r="F755">
            <v>24</v>
          </cell>
          <cell r="G755">
            <v>24</v>
          </cell>
        </row>
        <row r="756">
          <cell r="F756">
            <v>24</v>
          </cell>
          <cell r="G756">
            <v>24</v>
          </cell>
        </row>
        <row r="757">
          <cell r="F757">
            <v>24</v>
          </cell>
          <cell r="G757">
            <v>24</v>
          </cell>
        </row>
        <row r="758">
          <cell r="F758" t="str">
            <v>APRIL</v>
          </cell>
          <cell r="G758">
            <v>24</v>
          </cell>
        </row>
        <row r="759">
          <cell r="F759">
            <v>24</v>
          </cell>
          <cell r="G759">
            <v>24</v>
          </cell>
        </row>
        <row r="760">
          <cell r="F760" t="str">
            <v>BB</v>
          </cell>
          <cell r="G760" t="str">
            <v>TTD</v>
          </cell>
        </row>
        <row r="761">
          <cell r="F761">
            <v>24</v>
          </cell>
          <cell r="G761">
            <v>24</v>
          </cell>
        </row>
        <row r="762">
          <cell r="E762">
            <v>24.1</v>
          </cell>
          <cell r="F762">
            <v>22.7</v>
          </cell>
          <cell r="G762">
            <v>21.922667914032502</v>
          </cell>
        </row>
        <row r="763">
          <cell r="E763">
            <v>26.1</v>
          </cell>
          <cell r="F763">
            <v>23.6</v>
          </cell>
          <cell r="G763">
            <v>22.33232630470188</v>
          </cell>
        </row>
        <row r="764">
          <cell r="E764">
            <v>28.4</v>
          </cell>
          <cell r="F764">
            <v>24.2</v>
          </cell>
          <cell r="G764">
            <v>22.161158941710486</v>
          </cell>
        </row>
        <row r="765">
          <cell r="E765">
            <v>29.8</v>
          </cell>
          <cell r="F765">
            <v>24.9</v>
          </cell>
          <cell r="G765">
            <v>22.605433638695846</v>
          </cell>
        </row>
        <row r="766">
          <cell r="E766">
            <v>31</v>
          </cell>
          <cell r="F766">
            <v>24.8</v>
          </cell>
          <cell r="G766">
            <v>21.861845231864532</v>
          </cell>
        </row>
        <row r="767">
          <cell r="E767">
            <v>31.8</v>
          </cell>
          <cell r="F767">
            <v>25</v>
          </cell>
          <cell r="G767">
            <v>21.798893378468534</v>
          </cell>
        </row>
        <row r="768">
          <cell r="E768">
            <v>32.6</v>
          </cell>
          <cell r="F768">
            <v>25.8</v>
          </cell>
          <cell r="G768">
            <v>22.736900731169225</v>
          </cell>
        </row>
        <row r="769">
          <cell r="E769">
            <v>32.6</v>
          </cell>
          <cell r="F769">
            <v>26</v>
          </cell>
          <cell r="G769">
            <v>23.063112817773707</v>
          </cell>
        </row>
        <row r="770">
          <cell r="E770">
            <v>31</v>
          </cell>
          <cell r="F770">
            <v>26</v>
          </cell>
          <cell r="G770">
            <v>23.79046980665996</v>
          </cell>
        </row>
        <row r="771">
          <cell r="E771">
            <v>30</v>
          </cell>
          <cell r="F771">
            <v>26</v>
          </cell>
          <cell r="G771">
            <v>24.231346865433</v>
          </cell>
        </row>
        <row r="772">
          <cell r="E772">
            <v>29</v>
          </cell>
          <cell r="F772">
            <v>26</v>
          </cell>
          <cell r="G772">
            <v>24.662285046101083</v>
          </cell>
        </row>
        <row r="773">
          <cell r="E773">
            <v>28.2</v>
          </cell>
          <cell r="F773">
            <v>26</v>
          </cell>
          <cell r="G773">
            <v>25.000196763282311</v>
          </cell>
        </row>
        <row r="774">
          <cell r="E774">
            <v>27.6</v>
          </cell>
          <cell r="F774">
            <v>25.4</v>
          </cell>
          <cell r="G774">
            <v>24.370945495089579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27.6</v>
          </cell>
          <cell r="G786">
            <v>27.599990844726563</v>
          </cell>
        </row>
        <row r="787">
          <cell r="F787">
            <v>27.599990844726563</v>
          </cell>
          <cell r="G787">
            <v>27.599990844726563</v>
          </cell>
        </row>
        <row r="788">
          <cell r="F788">
            <v>27.599990844726563</v>
          </cell>
          <cell r="G788">
            <v>27.599990844726563</v>
          </cell>
        </row>
        <row r="789">
          <cell r="F789" t="str">
            <v>WXREV</v>
          </cell>
          <cell r="G789">
            <v>27.599990844726563</v>
          </cell>
        </row>
        <row r="790">
          <cell r="F790">
            <v>27.599990844726563</v>
          </cell>
          <cell r="G790">
            <v>27.599990844726563</v>
          </cell>
        </row>
        <row r="791">
          <cell r="F791">
            <v>27.599990844726563</v>
          </cell>
          <cell r="G791">
            <v>27.599990844726563</v>
          </cell>
        </row>
        <row r="792">
          <cell r="F792">
            <v>27.599990844726563</v>
          </cell>
          <cell r="G792">
            <v>27.599990844726563</v>
          </cell>
        </row>
        <row r="793">
          <cell r="F793">
            <v>27.599990844726563</v>
          </cell>
          <cell r="G793">
            <v>27.599990844726563</v>
          </cell>
        </row>
        <row r="794">
          <cell r="F794" t="str">
            <v>APRIL</v>
          </cell>
          <cell r="G794">
            <v>27.599990844726563</v>
          </cell>
        </row>
        <row r="795">
          <cell r="F795">
            <v>27.599990844726563</v>
          </cell>
          <cell r="G795">
            <v>27.599990844726563</v>
          </cell>
        </row>
        <row r="796">
          <cell r="F796" t="str">
            <v>BB</v>
          </cell>
          <cell r="G796" t="str">
            <v>TTD</v>
          </cell>
        </row>
        <row r="797">
          <cell r="F797">
            <v>27.599990844726563</v>
          </cell>
          <cell r="G797">
            <v>27.599990844726563</v>
          </cell>
        </row>
        <row r="798">
          <cell r="E798">
            <v>24.1</v>
          </cell>
          <cell r="F798">
            <v>22.1</v>
          </cell>
          <cell r="G798">
            <v>20.992362950550941</v>
          </cell>
        </row>
        <row r="799">
          <cell r="E799">
            <v>26.3</v>
          </cell>
          <cell r="F799">
            <v>23.6</v>
          </cell>
          <cell r="G799">
            <v>22.235751721445251</v>
          </cell>
        </row>
        <row r="800">
          <cell r="E800">
            <v>28.6</v>
          </cell>
          <cell r="F800">
            <v>24.7</v>
          </cell>
          <cell r="G800">
            <v>22.855233338708079</v>
          </cell>
        </row>
        <row r="801">
          <cell r="E801">
            <v>30</v>
          </cell>
          <cell r="F801">
            <v>26.2</v>
          </cell>
          <cell r="G801">
            <v>24.535346114683474</v>
          </cell>
        </row>
        <row r="802">
          <cell r="E802">
            <v>30.6</v>
          </cell>
          <cell r="F802">
            <v>25</v>
          </cell>
          <cell r="G802">
            <v>22.384333702710158</v>
          </cell>
        </row>
        <row r="803">
          <cell r="E803">
            <v>31.4</v>
          </cell>
          <cell r="F803">
            <v>25</v>
          </cell>
          <cell r="G803">
            <v>21.996074485854592</v>
          </cell>
        </row>
        <row r="804">
          <cell r="E804">
            <v>32</v>
          </cell>
          <cell r="F804">
            <v>25</v>
          </cell>
          <cell r="G804">
            <v>21.699519695463234</v>
          </cell>
        </row>
        <row r="805">
          <cell r="E805">
            <v>30</v>
          </cell>
          <cell r="F805">
            <v>24.6</v>
          </cell>
          <cell r="G805">
            <v>22.025168782248613</v>
          </cell>
        </row>
        <row r="806">
          <cell r="E806">
            <v>28</v>
          </cell>
          <cell r="F806">
            <v>24.4</v>
          </cell>
          <cell r="G806">
            <v>22.668616177039841</v>
          </cell>
        </row>
        <row r="807">
          <cell r="E807">
            <v>25.6</v>
          </cell>
          <cell r="F807">
            <v>24.4</v>
          </cell>
          <cell r="G807">
            <v>23.771410936659056</v>
          </cell>
        </row>
        <row r="808">
          <cell r="E808">
            <v>24.8</v>
          </cell>
          <cell r="F808">
            <v>24.4</v>
          </cell>
          <cell r="G808">
            <v>24.125234420920101</v>
          </cell>
        </row>
        <row r="809">
          <cell r="E809">
            <v>24.8</v>
          </cell>
          <cell r="F809">
            <v>24</v>
          </cell>
          <cell r="G809">
            <v>23.541582806104632</v>
          </cell>
        </row>
        <row r="810">
          <cell r="E810">
            <v>24.6</v>
          </cell>
          <cell r="F810">
            <v>23.8</v>
          </cell>
          <cell r="G810">
            <v>23.337733422817518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24.6</v>
          </cell>
          <cell r="G822">
            <v>24.599990844726563</v>
          </cell>
        </row>
        <row r="823">
          <cell r="F823">
            <v>24.599990844726563</v>
          </cell>
          <cell r="G823">
            <v>24.599990844726563</v>
          </cell>
        </row>
        <row r="824">
          <cell r="F824">
            <v>24.599990844726563</v>
          </cell>
          <cell r="G824">
            <v>24.599990844726563</v>
          </cell>
        </row>
        <row r="825">
          <cell r="F825" t="str">
            <v>WXREV</v>
          </cell>
          <cell r="G825">
            <v>24.599990844726563</v>
          </cell>
        </row>
        <row r="826">
          <cell r="F826">
            <v>24.599990844726563</v>
          </cell>
          <cell r="G826">
            <v>24.599990844726563</v>
          </cell>
        </row>
        <row r="827">
          <cell r="F827">
            <v>24.599990844726563</v>
          </cell>
          <cell r="G827">
            <v>24.599990844726563</v>
          </cell>
        </row>
        <row r="828">
          <cell r="F828">
            <v>24.599990844726563</v>
          </cell>
          <cell r="G828">
            <v>24.599990844726563</v>
          </cell>
        </row>
        <row r="829">
          <cell r="F829">
            <v>24.599990844726563</v>
          </cell>
          <cell r="G829">
            <v>24.599990844726563</v>
          </cell>
        </row>
        <row r="830">
          <cell r="F830" t="str">
            <v>APRIL</v>
          </cell>
          <cell r="G830">
            <v>24.599990844726563</v>
          </cell>
        </row>
        <row r="831">
          <cell r="F831">
            <v>24.599990844726563</v>
          </cell>
          <cell r="G831">
            <v>24.599990844726563</v>
          </cell>
        </row>
        <row r="832">
          <cell r="F832" t="str">
            <v>BB</v>
          </cell>
          <cell r="G832" t="str">
            <v>TTD</v>
          </cell>
        </row>
        <row r="833">
          <cell r="F833">
            <v>24.599990844726563</v>
          </cell>
          <cell r="G833">
            <v>24.599990844726563</v>
          </cell>
        </row>
        <row r="834">
          <cell r="E834">
            <v>24.1</v>
          </cell>
          <cell r="F834">
            <v>23.2</v>
          </cell>
          <cell r="G834">
            <v>22.678674048514598</v>
          </cell>
        </row>
        <row r="835">
          <cell r="E835">
            <v>26.5</v>
          </cell>
          <cell r="F835">
            <v>24.7</v>
          </cell>
          <cell r="G835">
            <v>23.814403752179942</v>
          </cell>
        </row>
        <row r="836">
          <cell r="E836">
            <v>28.5</v>
          </cell>
          <cell r="F836">
            <v>24.9</v>
          </cell>
          <cell r="G836">
            <v>23.212740182238996</v>
          </cell>
        </row>
        <row r="837">
          <cell r="E837">
            <v>29.9</v>
          </cell>
          <cell r="F837">
            <v>25.7</v>
          </cell>
          <cell r="G837">
            <v>23.815003930608807</v>
          </cell>
        </row>
        <row r="838">
          <cell r="E838">
            <v>31.1</v>
          </cell>
          <cell r="F838">
            <v>25.7</v>
          </cell>
          <cell r="G838">
            <v>23.272836951533939</v>
          </cell>
        </row>
        <row r="839">
          <cell r="E839">
            <v>31.3</v>
          </cell>
          <cell r="F839">
            <v>26.1</v>
          </cell>
          <cell r="G839">
            <v>23.813153236217548</v>
          </cell>
        </row>
        <row r="840">
          <cell r="E840">
            <v>28.8</v>
          </cell>
          <cell r="F840">
            <v>26.7</v>
          </cell>
          <cell r="G840">
            <v>25.77324204244217</v>
          </cell>
        </row>
        <row r="841">
          <cell r="E841">
            <v>27</v>
          </cell>
          <cell r="F841">
            <v>25.8</v>
          </cell>
          <cell r="G841">
            <v>25.20925852351645</v>
          </cell>
        </row>
        <row r="842">
          <cell r="E842">
            <v>25.6</v>
          </cell>
          <cell r="F842">
            <v>23.6</v>
          </cell>
          <cell r="G842">
            <v>22.571617917695416</v>
          </cell>
        </row>
        <row r="843">
          <cell r="E843">
            <v>25.5</v>
          </cell>
          <cell r="F843">
            <v>24.6</v>
          </cell>
          <cell r="G843">
            <v>24.109047616405501</v>
          </cell>
        </row>
        <row r="844">
          <cell r="E844">
            <v>25.4</v>
          </cell>
          <cell r="F844">
            <v>24.6</v>
          </cell>
          <cell r="G844">
            <v>24.152855495117279</v>
          </cell>
        </row>
        <row r="845">
          <cell r="E845">
            <v>25.4</v>
          </cell>
          <cell r="F845">
            <v>24.6</v>
          </cell>
          <cell r="G845">
            <v>24.152855495117279</v>
          </cell>
        </row>
        <row r="846">
          <cell r="E846">
            <v>25</v>
          </cell>
          <cell r="F846">
            <v>24.4</v>
          </cell>
          <cell r="G846">
            <v>24.037391893261969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25</v>
          </cell>
          <cell r="G858">
            <v>25</v>
          </cell>
        </row>
        <row r="859">
          <cell r="F859">
            <v>25</v>
          </cell>
          <cell r="G859">
            <v>25</v>
          </cell>
        </row>
        <row r="860">
          <cell r="F860">
            <v>25</v>
          </cell>
          <cell r="G860">
            <v>25</v>
          </cell>
        </row>
        <row r="861">
          <cell r="F861" t="str">
            <v>WXREV</v>
          </cell>
          <cell r="G861">
            <v>25</v>
          </cell>
        </row>
        <row r="862">
          <cell r="F862">
            <v>25</v>
          </cell>
          <cell r="G862">
            <v>25</v>
          </cell>
        </row>
        <row r="863">
          <cell r="F863">
            <v>25</v>
          </cell>
          <cell r="G863">
            <v>25</v>
          </cell>
        </row>
        <row r="864">
          <cell r="F864">
            <v>25</v>
          </cell>
          <cell r="G864">
            <v>25</v>
          </cell>
        </row>
        <row r="865">
          <cell r="F865">
            <v>25</v>
          </cell>
          <cell r="G865">
            <v>25</v>
          </cell>
        </row>
        <row r="866">
          <cell r="F866" t="str">
            <v>APRIL</v>
          </cell>
          <cell r="G866">
            <v>25</v>
          </cell>
        </row>
        <row r="867">
          <cell r="F867">
            <v>25</v>
          </cell>
          <cell r="G867">
            <v>25</v>
          </cell>
        </row>
        <row r="868">
          <cell r="F868" t="str">
            <v>BB</v>
          </cell>
          <cell r="G868" t="str">
            <v>TTD</v>
          </cell>
        </row>
        <row r="869">
          <cell r="F869">
            <v>25</v>
          </cell>
          <cell r="G869">
            <v>25</v>
          </cell>
        </row>
        <row r="870">
          <cell r="E870">
            <v>25.3</v>
          </cell>
          <cell r="F870">
            <v>23.5</v>
          </cell>
          <cell r="G870">
            <v>22.561968152276879</v>
          </cell>
        </row>
        <row r="871">
          <cell r="E871">
            <v>27</v>
          </cell>
          <cell r="F871">
            <v>24.2</v>
          </cell>
          <cell r="G871">
            <v>22.829633194937365</v>
          </cell>
        </row>
        <row r="872">
          <cell r="E872">
            <v>28.4</v>
          </cell>
          <cell r="F872">
            <v>25.1</v>
          </cell>
          <cell r="G872">
            <v>23.565856961624398</v>
          </cell>
        </row>
        <row r="873">
          <cell r="E873">
            <v>29</v>
          </cell>
          <cell r="F873">
            <v>25.6</v>
          </cell>
          <cell r="G873">
            <v>24.060288665251548</v>
          </cell>
        </row>
        <row r="874">
          <cell r="E874">
            <v>29.2</v>
          </cell>
          <cell r="F874">
            <v>25.8</v>
          </cell>
          <cell r="G874">
            <v>24.275779153816018</v>
          </cell>
        </row>
        <row r="875">
          <cell r="E875">
            <v>29.6</v>
          </cell>
          <cell r="F875">
            <v>26</v>
          </cell>
          <cell r="G875">
            <v>24.404887683239696</v>
          </cell>
        </row>
        <row r="876">
          <cell r="E876">
            <v>29.4</v>
          </cell>
          <cell r="F876">
            <v>26</v>
          </cell>
          <cell r="G876">
            <v>24.491071560371971</v>
          </cell>
        </row>
        <row r="877">
          <cell r="E877">
            <v>29.2</v>
          </cell>
          <cell r="F877">
            <v>25.8</v>
          </cell>
          <cell r="G877">
            <v>24.275779153816018</v>
          </cell>
        </row>
        <row r="878">
          <cell r="E878">
            <v>29.2</v>
          </cell>
          <cell r="F878">
            <v>25.8</v>
          </cell>
          <cell r="G878">
            <v>24.275779153816018</v>
          </cell>
        </row>
        <row r="879">
          <cell r="E879">
            <v>28</v>
          </cell>
          <cell r="F879">
            <v>25.4</v>
          </cell>
          <cell r="G879">
            <v>24.197102507728658</v>
          </cell>
        </row>
        <row r="880">
          <cell r="E880">
            <v>27.4</v>
          </cell>
          <cell r="F880">
            <v>25.5</v>
          </cell>
          <cell r="G880">
            <v>24.604547228249363</v>
          </cell>
        </row>
        <row r="881">
          <cell r="E881">
            <v>26.8</v>
          </cell>
          <cell r="F881">
            <v>25.2</v>
          </cell>
          <cell r="G881">
            <v>24.421609632843392</v>
          </cell>
        </row>
        <row r="882">
          <cell r="E882">
            <v>25.8</v>
          </cell>
          <cell r="F882">
            <v>24.6</v>
          </cell>
          <cell r="G882">
            <v>23.977017614815619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25.8</v>
          </cell>
          <cell r="G894">
            <v>25.79998779296875</v>
          </cell>
        </row>
        <row r="895">
          <cell r="F895">
            <v>25.79998779296875</v>
          </cell>
          <cell r="G895">
            <v>25.79998779296875</v>
          </cell>
        </row>
        <row r="896">
          <cell r="F896">
            <v>25.79998779296875</v>
          </cell>
          <cell r="G896">
            <v>25.79998779296875</v>
          </cell>
        </row>
        <row r="897">
          <cell r="F897" t="str">
            <v>WXREV</v>
          </cell>
          <cell r="G897">
            <v>25.79998779296875</v>
          </cell>
        </row>
        <row r="898">
          <cell r="F898">
            <v>25.79998779296875</v>
          </cell>
          <cell r="G898">
            <v>25.79998779296875</v>
          </cell>
        </row>
        <row r="899">
          <cell r="F899">
            <v>25.79998779296875</v>
          </cell>
          <cell r="G899">
            <v>25.79998779296875</v>
          </cell>
        </row>
        <row r="900">
          <cell r="F900">
            <v>25.79998779296875</v>
          </cell>
          <cell r="G900">
            <v>25.79998779296875</v>
          </cell>
        </row>
        <row r="901">
          <cell r="F901">
            <v>25.79998779296875</v>
          </cell>
          <cell r="G901">
            <v>25.79998779296875</v>
          </cell>
        </row>
        <row r="902">
          <cell r="F902" t="str">
            <v>APRIL</v>
          </cell>
          <cell r="G902">
            <v>25.79998779296875</v>
          </cell>
        </row>
        <row r="903">
          <cell r="F903">
            <v>25.79998779296875</v>
          </cell>
          <cell r="G903">
            <v>25.79998779296875</v>
          </cell>
        </row>
        <row r="904">
          <cell r="F904" t="str">
            <v>BB</v>
          </cell>
          <cell r="G904" t="str">
            <v>TTD</v>
          </cell>
        </row>
        <row r="905">
          <cell r="F905">
            <v>25.79998779296875</v>
          </cell>
          <cell r="G905">
            <v>25.79998779296875</v>
          </cell>
        </row>
        <row r="906">
          <cell r="E906">
            <v>24.8</v>
          </cell>
          <cell r="F906">
            <v>24.4</v>
          </cell>
          <cell r="G906">
            <v>24.125234420920101</v>
          </cell>
        </row>
        <row r="907">
          <cell r="E907">
            <v>26</v>
          </cell>
          <cell r="F907">
            <v>24.8</v>
          </cell>
          <cell r="G907">
            <v>24.182556068191992</v>
          </cell>
        </row>
        <row r="908">
          <cell r="E908">
            <v>27.2</v>
          </cell>
          <cell r="F908">
            <v>25.1</v>
          </cell>
          <cell r="G908">
            <v>24.099834434995177</v>
          </cell>
        </row>
        <row r="909">
          <cell r="E909">
            <v>28.6</v>
          </cell>
          <cell r="F909">
            <v>25.6</v>
          </cell>
          <cell r="G909">
            <v>24.235377202799327</v>
          </cell>
        </row>
        <row r="910">
          <cell r="E910">
            <v>29.8</v>
          </cell>
          <cell r="F910">
            <v>25.6</v>
          </cell>
          <cell r="G910">
            <v>23.705216804198258</v>
          </cell>
        </row>
        <row r="911">
          <cell r="E911">
            <v>31.2</v>
          </cell>
          <cell r="F911">
            <v>26.4</v>
          </cell>
          <cell r="G911">
            <v>24.323248278322577</v>
          </cell>
        </row>
        <row r="912">
          <cell r="E912">
            <v>29.6</v>
          </cell>
          <cell r="F912">
            <v>26.2</v>
          </cell>
          <cell r="G912">
            <v>24.706168921549796</v>
          </cell>
        </row>
        <row r="913">
          <cell r="E913">
            <v>25.7</v>
          </cell>
          <cell r="F913">
            <v>23.9</v>
          </cell>
          <cell r="G913">
            <v>22.979887879905885</v>
          </cell>
        </row>
        <row r="914">
          <cell r="E914">
            <v>26.1</v>
          </cell>
          <cell r="F914">
            <v>25.1</v>
          </cell>
          <cell r="G914">
            <v>24.576531786856147</v>
          </cell>
        </row>
        <row r="915">
          <cell r="E915">
            <v>26.6</v>
          </cell>
          <cell r="F915">
            <v>25.3</v>
          </cell>
          <cell r="G915">
            <v>24.653527236849008</v>
          </cell>
        </row>
        <row r="916">
          <cell r="E916">
            <v>26.7</v>
          </cell>
          <cell r="F916">
            <v>25.5</v>
          </cell>
          <cell r="G916">
            <v>24.901417312030446</v>
          </cell>
        </row>
        <row r="917">
          <cell r="E917">
            <v>26.4</v>
          </cell>
          <cell r="F917">
            <v>25.6</v>
          </cell>
          <cell r="G917">
            <v>25.170763291672237</v>
          </cell>
        </row>
        <row r="918">
          <cell r="E918">
            <v>26.1</v>
          </cell>
          <cell r="F918">
            <v>25.5</v>
          </cell>
          <cell r="G918">
            <v>25.152277439395075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25.7</v>
          </cell>
          <cell r="G930">
            <v>25.699996948242188</v>
          </cell>
        </row>
        <row r="931">
          <cell r="F931">
            <v>25.699996948242188</v>
          </cell>
          <cell r="G931">
            <v>25.699996948242188</v>
          </cell>
        </row>
        <row r="932">
          <cell r="F932">
            <v>25.699996948242188</v>
          </cell>
          <cell r="G932">
            <v>25.699996948242188</v>
          </cell>
        </row>
        <row r="933">
          <cell r="F933" t="str">
            <v>WXREV</v>
          </cell>
          <cell r="G933">
            <v>25.699996948242188</v>
          </cell>
        </row>
        <row r="934">
          <cell r="F934">
            <v>25.699996948242188</v>
          </cell>
          <cell r="G934">
            <v>25.699996948242188</v>
          </cell>
        </row>
        <row r="935">
          <cell r="F935">
            <v>25.699996948242188</v>
          </cell>
          <cell r="G935">
            <v>25.699996948242188</v>
          </cell>
        </row>
        <row r="936">
          <cell r="F936">
            <v>25.699996948242188</v>
          </cell>
          <cell r="G936">
            <v>25.699996948242188</v>
          </cell>
        </row>
        <row r="937">
          <cell r="F937">
            <v>25.699996948242188</v>
          </cell>
          <cell r="G937">
            <v>25.699996948242188</v>
          </cell>
        </row>
        <row r="938">
          <cell r="F938" t="str">
            <v>APRIL</v>
          </cell>
          <cell r="G938">
            <v>25.699996948242188</v>
          </cell>
        </row>
        <row r="939">
          <cell r="F939">
            <v>25.699996948242188</v>
          </cell>
          <cell r="G939">
            <v>25.699996948242188</v>
          </cell>
        </row>
        <row r="940">
          <cell r="F940" t="str">
            <v>BB</v>
          </cell>
          <cell r="G940" t="str">
            <v>TTD</v>
          </cell>
        </row>
        <row r="941">
          <cell r="F941">
            <v>25.699996948242188</v>
          </cell>
          <cell r="G941">
            <v>25.699996948242188</v>
          </cell>
        </row>
        <row r="942">
          <cell r="E942">
            <v>25</v>
          </cell>
          <cell r="F942">
            <v>24</v>
          </cell>
          <cell r="G942">
            <v>23.451002870250118</v>
          </cell>
        </row>
        <row r="943">
          <cell r="E943">
            <v>26.5</v>
          </cell>
          <cell r="F943">
            <v>24.8</v>
          </cell>
          <cell r="G943">
            <v>23.962845394990499</v>
          </cell>
        </row>
        <row r="944">
          <cell r="E944">
            <v>28.6</v>
          </cell>
          <cell r="F944">
            <v>25.4</v>
          </cell>
          <cell r="G944">
            <v>23.933335820614669</v>
          </cell>
        </row>
        <row r="945">
          <cell r="E945">
            <v>29.8</v>
          </cell>
          <cell r="F945">
            <v>25.9</v>
          </cell>
          <cell r="G945">
            <v>24.166033320489955</v>
          </cell>
        </row>
        <row r="946">
          <cell r="E946">
            <v>30.9</v>
          </cell>
          <cell r="F946">
            <v>26.3</v>
          </cell>
          <cell r="G946">
            <v>24.299465883179703</v>
          </cell>
        </row>
        <row r="947">
          <cell r="E947">
            <v>31.5</v>
          </cell>
          <cell r="F947">
            <v>26.7</v>
          </cell>
          <cell r="G947">
            <v>24.655334127386521</v>
          </cell>
        </row>
        <row r="948">
          <cell r="E948">
            <v>31.8</v>
          </cell>
          <cell r="F948">
            <v>26.3</v>
          </cell>
          <cell r="G948">
            <v>23.904555701586645</v>
          </cell>
        </row>
        <row r="949">
          <cell r="E949">
            <v>32.299999999999997</v>
          </cell>
          <cell r="F949">
            <v>26.8</v>
          </cell>
          <cell r="G949">
            <v>24.466869674357302</v>
          </cell>
        </row>
        <row r="950">
          <cell r="E950">
            <v>27.5</v>
          </cell>
          <cell r="F950">
            <v>25.1</v>
          </cell>
          <cell r="G950">
            <v>23.967735840764366</v>
          </cell>
        </row>
        <row r="951">
          <cell r="E951">
            <v>25.8</v>
          </cell>
          <cell r="F951">
            <v>24.3</v>
          </cell>
          <cell r="G951">
            <v>23.53345562574048</v>
          </cell>
        </row>
        <row r="952">
          <cell r="E952">
            <v>26.2</v>
          </cell>
          <cell r="F952">
            <v>24.5</v>
          </cell>
          <cell r="G952">
            <v>23.650914038370296</v>
          </cell>
        </row>
        <row r="953">
          <cell r="E953">
            <v>26.2</v>
          </cell>
          <cell r="F953">
            <v>25</v>
          </cell>
          <cell r="G953">
            <v>24.388027271235554</v>
          </cell>
        </row>
        <row r="954">
          <cell r="E954">
            <v>25.8</v>
          </cell>
          <cell r="F954">
            <v>24.8</v>
          </cell>
          <cell r="G954">
            <v>24.269737574447021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25.8</v>
          </cell>
          <cell r="G966">
            <v>25.79998779296875</v>
          </cell>
        </row>
        <row r="967">
          <cell r="F967">
            <v>25.79998779296875</v>
          </cell>
          <cell r="G967">
            <v>25.79998779296875</v>
          </cell>
        </row>
        <row r="968">
          <cell r="F968">
            <v>25.79998779296875</v>
          </cell>
          <cell r="G968">
            <v>25.79998779296875</v>
          </cell>
        </row>
        <row r="969">
          <cell r="F969" t="str">
            <v>WXREV</v>
          </cell>
          <cell r="G969">
            <v>25.79998779296875</v>
          </cell>
        </row>
        <row r="970">
          <cell r="F970">
            <v>25.79998779296875</v>
          </cell>
          <cell r="G970">
            <v>25.79998779296875</v>
          </cell>
        </row>
        <row r="971">
          <cell r="F971">
            <v>25.79998779296875</v>
          </cell>
          <cell r="G971">
            <v>25.79998779296875</v>
          </cell>
        </row>
        <row r="972">
          <cell r="F972">
            <v>25.79998779296875</v>
          </cell>
          <cell r="G972">
            <v>25.79998779296875</v>
          </cell>
        </row>
        <row r="973">
          <cell r="F973">
            <v>25.79998779296875</v>
          </cell>
          <cell r="G973">
            <v>25.79998779296875</v>
          </cell>
        </row>
        <row r="974">
          <cell r="F974" t="str">
            <v>APRIL</v>
          </cell>
          <cell r="G974">
            <v>25.79998779296875</v>
          </cell>
        </row>
        <row r="975">
          <cell r="F975">
            <v>25.79998779296875</v>
          </cell>
          <cell r="G975">
            <v>25.79998779296875</v>
          </cell>
        </row>
        <row r="976">
          <cell r="F976" t="str">
            <v>BB</v>
          </cell>
          <cell r="G976" t="str">
            <v>TTD</v>
          </cell>
        </row>
        <row r="977">
          <cell r="F977">
            <v>25.79998779296875</v>
          </cell>
          <cell r="G977">
            <v>25.79998779296875</v>
          </cell>
        </row>
        <row r="978">
          <cell r="E978">
            <v>25.2</v>
          </cell>
          <cell r="F978">
            <v>23.9</v>
          </cell>
          <cell r="G978">
            <v>23.211169684950409</v>
          </cell>
        </row>
        <row r="979">
          <cell r="E979">
            <v>26.4</v>
          </cell>
          <cell r="F979">
            <v>24.6</v>
          </cell>
          <cell r="G979">
            <v>23.710183186275557</v>
          </cell>
        </row>
        <row r="980">
          <cell r="E980">
            <v>27.6</v>
          </cell>
          <cell r="F980">
            <v>25.1</v>
          </cell>
          <cell r="G980">
            <v>23.92349895424092</v>
          </cell>
        </row>
        <row r="981">
          <cell r="E981">
            <v>29</v>
          </cell>
          <cell r="F981">
            <v>25.4</v>
          </cell>
          <cell r="G981">
            <v>23.755443039226666</v>
          </cell>
        </row>
        <row r="982">
          <cell r="E982">
            <v>30.4</v>
          </cell>
          <cell r="F982">
            <v>26</v>
          </cell>
          <cell r="G982">
            <v>24.056216238791031</v>
          </cell>
        </row>
        <row r="983">
          <cell r="E983">
            <v>30.8</v>
          </cell>
          <cell r="F983">
            <v>25.5</v>
          </cell>
          <cell r="G983">
            <v>23.093131946882178</v>
          </cell>
        </row>
        <row r="984">
          <cell r="E984">
            <v>31.2</v>
          </cell>
          <cell r="F984">
            <v>25.6</v>
          </cell>
          <cell r="G984">
            <v>23.067431591333683</v>
          </cell>
        </row>
        <row r="985">
          <cell r="E985">
            <v>30.1</v>
          </cell>
          <cell r="F985">
            <v>25.9</v>
          </cell>
          <cell r="G985">
            <v>24.034386138060192</v>
          </cell>
        </row>
        <row r="986">
          <cell r="E986">
            <v>29.3</v>
          </cell>
          <cell r="F986">
            <v>26.1</v>
          </cell>
          <cell r="G986">
            <v>24.683963941731744</v>
          </cell>
        </row>
        <row r="987">
          <cell r="E987">
            <v>28.8</v>
          </cell>
          <cell r="F987">
            <v>25</v>
          </cell>
          <cell r="G987">
            <v>23.229747355809128</v>
          </cell>
        </row>
        <row r="988">
          <cell r="E988">
            <v>28.4</v>
          </cell>
          <cell r="F988">
            <v>24.8</v>
          </cell>
          <cell r="G988">
            <v>23.104030876414406</v>
          </cell>
        </row>
        <row r="989">
          <cell r="E989">
            <v>27.8</v>
          </cell>
          <cell r="F989">
            <v>25.3</v>
          </cell>
          <cell r="G989">
            <v>24.135010324008682</v>
          </cell>
        </row>
        <row r="990">
          <cell r="E990">
            <v>27.1</v>
          </cell>
          <cell r="F990">
            <v>24.9</v>
          </cell>
          <cell r="G990">
            <v>23.845716181625463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27.1</v>
          </cell>
          <cell r="G1002">
            <v>27.099990844726563</v>
          </cell>
        </row>
        <row r="1003">
          <cell r="F1003">
            <v>27.099990844726563</v>
          </cell>
          <cell r="G1003">
            <v>27.099990844726563</v>
          </cell>
        </row>
        <row r="1004">
          <cell r="F1004">
            <v>27.099990844726563</v>
          </cell>
          <cell r="G1004">
            <v>27.099990844726563</v>
          </cell>
        </row>
        <row r="1005">
          <cell r="F1005" t="str">
            <v>WXREV</v>
          </cell>
          <cell r="G1005">
            <v>27.099990844726563</v>
          </cell>
        </row>
        <row r="1006">
          <cell r="F1006">
            <v>27.099990844726563</v>
          </cell>
          <cell r="G1006">
            <v>27.099990844726563</v>
          </cell>
        </row>
        <row r="1007">
          <cell r="F1007">
            <v>27.099990844726563</v>
          </cell>
          <cell r="G1007">
            <v>27.099990844726563</v>
          </cell>
        </row>
        <row r="1008">
          <cell r="F1008">
            <v>27.099990844726563</v>
          </cell>
          <cell r="G1008">
            <v>27.099990844726563</v>
          </cell>
        </row>
        <row r="1009">
          <cell r="F1009">
            <v>27.099990844726563</v>
          </cell>
          <cell r="G1009">
            <v>27.099990844726563</v>
          </cell>
        </row>
        <row r="1010">
          <cell r="F1010" t="str">
            <v>APRIL</v>
          </cell>
          <cell r="G1010">
            <v>27.099990844726563</v>
          </cell>
        </row>
        <row r="1011">
          <cell r="F1011">
            <v>27.099990844726563</v>
          </cell>
          <cell r="G1011">
            <v>27.099990844726563</v>
          </cell>
        </row>
        <row r="1012">
          <cell r="F1012" t="str">
            <v>BB</v>
          </cell>
          <cell r="G1012" t="str">
            <v>TTD</v>
          </cell>
        </row>
        <row r="1013">
          <cell r="F1013">
            <v>27.099990844726563</v>
          </cell>
          <cell r="G1013">
            <v>27.099990844726563</v>
          </cell>
        </row>
        <row r="1014">
          <cell r="E1014">
            <v>25.8</v>
          </cell>
          <cell r="F1014">
            <v>24</v>
          </cell>
          <cell r="G1014">
            <v>23.084297681296647</v>
          </cell>
        </row>
        <row r="1015">
          <cell r="E1015">
            <v>27.6</v>
          </cell>
          <cell r="F1015">
            <v>24.6</v>
          </cell>
          <cell r="G1015">
            <v>23.165015271595813</v>
          </cell>
        </row>
        <row r="1016">
          <cell r="E1016">
            <v>28.4</v>
          </cell>
          <cell r="F1016">
            <v>24.8</v>
          </cell>
          <cell r="G1016">
            <v>23.104030876414406</v>
          </cell>
        </row>
        <row r="1017">
          <cell r="E1017">
            <v>28.8</v>
          </cell>
          <cell r="F1017">
            <v>24.7</v>
          </cell>
          <cell r="G1017">
            <v>22.761299877426222</v>
          </cell>
        </row>
        <row r="1018">
          <cell r="E1018">
            <v>30.4</v>
          </cell>
          <cell r="F1018">
            <v>25.2</v>
          </cell>
          <cell r="G1018">
            <v>22.801298714331175</v>
          </cell>
        </row>
        <row r="1019">
          <cell r="E1019">
            <v>30.8</v>
          </cell>
          <cell r="F1019">
            <v>25.4</v>
          </cell>
          <cell r="G1019">
            <v>22.933659924886598</v>
          </cell>
        </row>
        <row r="1020">
          <cell r="E1020">
            <v>30.8</v>
          </cell>
          <cell r="F1020">
            <v>25.4</v>
          </cell>
          <cell r="G1020">
            <v>22.933659924886598</v>
          </cell>
        </row>
        <row r="1021">
          <cell r="E1021">
            <v>30.6</v>
          </cell>
          <cell r="F1021">
            <v>25.7</v>
          </cell>
          <cell r="G1021">
            <v>23.500621985768088</v>
          </cell>
        </row>
        <row r="1022">
          <cell r="E1022">
            <v>29.4</v>
          </cell>
          <cell r="F1022">
            <v>25.3</v>
          </cell>
          <cell r="G1022">
            <v>23.420993532505424</v>
          </cell>
        </row>
        <row r="1023">
          <cell r="E1023">
            <v>29</v>
          </cell>
          <cell r="F1023">
            <v>25.1</v>
          </cell>
          <cell r="G1023">
            <v>23.293141559911223</v>
          </cell>
        </row>
        <row r="1024">
          <cell r="E1024">
            <v>28.2</v>
          </cell>
          <cell r="F1024">
            <v>25</v>
          </cell>
          <cell r="G1024">
            <v>23.503366381695525</v>
          </cell>
        </row>
        <row r="1025">
          <cell r="E1025">
            <v>27.2</v>
          </cell>
          <cell r="F1025">
            <v>25.2</v>
          </cell>
          <cell r="G1025">
            <v>24.248231050640438</v>
          </cell>
        </row>
        <row r="1026">
          <cell r="E1026">
            <v>27.1</v>
          </cell>
          <cell r="F1026">
            <v>25.4</v>
          </cell>
          <cell r="G1026">
            <v>24.58605205707164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27.1</v>
          </cell>
          <cell r="G1038">
            <v>27.099990844726563</v>
          </cell>
        </row>
        <row r="1039">
          <cell r="F1039">
            <v>27.099990844726563</v>
          </cell>
          <cell r="G1039">
            <v>27.099990844726563</v>
          </cell>
        </row>
        <row r="1040">
          <cell r="F1040">
            <v>27.099990844726563</v>
          </cell>
          <cell r="G1040">
            <v>27.099990844726563</v>
          </cell>
        </row>
        <row r="1041">
          <cell r="F1041" t="str">
            <v>WXREV</v>
          </cell>
          <cell r="G1041">
            <v>27.099990844726563</v>
          </cell>
        </row>
        <row r="1042">
          <cell r="F1042">
            <v>27.099990844726563</v>
          </cell>
          <cell r="G1042">
            <v>27.099990844726563</v>
          </cell>
        </row>
        <row r="1043">
          <cell r="F1043">
            <v>27.099990844726563</v>
          </cell>
          <cell r="G1043">
            <v>27.099990844726563</v>
          </cell>
        </row>
        <row r="1044">
          <cell r="F1044">
            <v>27.099990844726563</v>
          </cell>
          <cell r="G1044">
            <v>27.099990844726563</v>
          </cell>
        </row>
        <row r="1045">
          <cell r="F1045">
            <v>27.099990844726563</v>
          </cell>
          <cell r="G1045">
            <v>27.099990844726563</v>
          </cell>
        </row>
        <row r="1046">
          <cell r="F1046" t="str">
            <v>APRIL</v>
          </cell>
          <cell r="G1046">
            <v>27.099990844726563</v>
          </cell>
        </row>
        <row r="1047">
          <cell r="F1047">
            <v>27.099990844726563</v>
          </cell>
          <cell r="G1047">
            <v>27.099990844726563</v>
          </cell>
        </row>
        <row r="1048">
          <cell r="F1048" t="str">
            <v>BB</v>
          </cell>
          <cell r="G1048" t="str">
            <v>TTD</v>
          </cell>
        </row>
        <row r="1049">
          <cell r="F1049">
            <v>27.099990844726563</v>
          </cell>
          <cell r="G1049">
            <v>27.099990844726563</v>
          </cell>
        </row>
        <row r="1050">
          <cell r="E1050">
            <v>25.6</v>
          </cell>
          <cell r="F1050">
            <v>24.8</v>
          </cell>
          <cell r="G1050">
            <v>24.356523392753029</v>
          </cell>
        </row>
        <row r="1051">
          <cell r="E1051">
            <v>27</v>
          </cell>
          <cell r="F1051">
            <v>25.2</v>
          </cell>
          <cell r="G1051">
            <v>24.335116740668042</v>
          </cell>
        </row>
        <row r="1052">
          <cell r="E1052">
            <v>28</v>
          </cell>
          <cell r="F1052">
            <v>25.4</v>
          </cell>
          <cell r="G1052">
            <v>24.197102507728658</v>
          </cell>
        </row>
        <row r="1053">
          <cell r="E1053">
            <v>28.3</v>
          </cell>
          <cell r="F1053">
            <v>25.3</v>
          </cell>
          <cell r="G1053">
            <v>23.914740778292778</v>
          </cell>
        </row>
        <row r="1054">
          <cell r="E1054">
            <v>29.8</v>
          </cell>
          <cell r="F1054">
            <v>25.8</v>
          </cell>
          <cell r="G1054">
            <v>24.013096932917858</v>
          </cell>
        </row>
        <row r="1055">
          <cell r="E1055">
            <v>30.2</v>
          </cell>
          <cell r="F1055">
            <v>26</v>
          </cell>
          <cell r="G1055">
            <v>24.14398223668147</v>
          </cell>
        </row>
        <row r="1056">
          <cell r="E1056">
            <v>31.6</v>
          </cell>
          <cell r="F1056">
            <v>26.5</v>
          </cell>
          <cell r="G1056">
            <v>24.304200185171791</v>
          </cell>
        </row>
        <row r="1057">
          <cell r="E1057">
            <v>31.9</v>
          </cell>
          <cell r="F1057">
            <v>26.4</v>
          </cell>
          <cell r="G1057">
            <v>24.017186615618527</v>
          </cell>
        </row>
        <row r="1058">
          <cell r="E1058">
            <v>29.8</v>
          </cell>
          <cell r="F1058">
            <v>26.5</v>
          </cell>
          <cell r="G1058">
            <v>25.070220276081645</v>
          </cell>
        </row>
        <row r="1059">
          <cell r="E1059">
            <v>25.7</v>
          </cell>
          <cell r="F1059">
            <v>23.3</v>
          </cell>
          <cell r="G1059">
            <v>22.061937957629123</v>
          </cell>
        </row>
        <row r="1060">
          <cell r="E1060">
            <v>25.2</v>
          </cell>
          <cell r="F1060">
            <v>23.4</v>
          </cell>
          <cell r="G1060">
            <v>22.45741703757486</v>
          </cell>
        </row>
        <row r="1061">
          <cell r="E1061">
            <v>24.9</v>
          </cell>
          <cell r="F1061">
            <v>23.6</v>
          </cell>
          <cell r="G1061">
            <v>22.901607473693023</v>
          </cell>
        </row>
        <row r="1062">
          <cell r="E1062">
            <v>24.8</v>
          </cell>
          <cell r="F1062">
            <v>23.6</v>
          </cell>
          <cell r="G1062">
            <v>22.948281918843517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24.8</v>
          </cell>
          <cell r="G1074">
            <v>24.79998779296875</v>
          </cell>
        </row>
        <row r="1075">
          <cell r="F1075">
            <v>24.79998779296875</v>
          </cell>
          <cell r="G1075">
            <v>24.79998779296875</v>
          </cell>
        </row>
        <row r="1076">
          <cell r="F1076">
            <v>24.79998779296875</v>
          </cell>
          <cell r="G1076">
            <v>24.79998779296875</v>
          </cell>
        </row>
        <row r="1077">
          <cell r="F1077" t="str">
            <v>WXREV</v>
          </cell>
          <cell r="G1077">
            <v>24.79998779296875</v>
          </cell>
        </row>
        <row r="1078">
          <cell r="F1078">
            <v>24.79998779296875</v>
          </cell>
          <cell r="G1078">
            <v>24.79998779296875</v>
          </cell>
        </row>
        <row r="1079">
          <cell r="F1079">
            <v>24.79998779296875</v>
          </cell>
          <cell r="G1079">
            <v>24.79998779296875</v>
          </cell>
        </row>
        <row r="1080">
          <cell r="F1080">
            <v>24.79998779296875</v>
          </cell>
          <cell r="G1080">
            <v>24.79998779296875</v>
          </cell>
        </row>
        <row r="1081">
          <cell r="F1081">
            <v>24.79998779296875</v>
          </cell>
          <cell r="G1081">
            <v>24.79998779296875</v>
          </cell>
        </row>
        <row r="1082">
          <cell r="F1082" t="str">
            <v>APRIL</v>
          </cell>
          <cell r="G1082">
            <v>24.79998779296875</v>
          </cell>
        </row>
        <row r="1083">
          <cell r="F1083">
            <v>24.79998779296875</v>
          </cell>
          <cell r="G1083">
            <v>24.79998779296875</v>
          </cell>
        </row>
        <row r="1084">
          <cell r="F1084" t="str">
            <v>BB</v>
          </cell>
          <cell r="G1084" t="str">
            <v>TTD</v>
          </cell>
        </row>
        <row r="1085">
          <cell r="F1085">
            <v>24.79998779296875</v>
          </cell>
          <cell r="G1085">
            <v>24.79998779296875</v>
          </cell>
        </row>
        <row r="1086">
          <cell r="F1086">
            <v>24.79998779296875</v>
          </cell>
          <cell r="G1086">
            <v>-0.10045269760431656</v>
          </cell>
        </row>
        <row r="1087">
          <cell r="F1087">
            <v>-0.10045266151428223</v>
          </cell>
          <cell r="G1087">
            <v>-0.10045269760431656</v>
          </cell>
        </row>
        <row r="1088">
          <cell r="F1088">
            <v>-0.10045266151428223</v>
          </cell>
          <cell r="G1088">
            <v>-0.10045269760431656</v>
          </cell>
        </row>
        <row r="1089">
          <cell r="F1089">
            <v>-0.10045266151428223</v>
          </cell>
          <cell r="G1089">
            <v>-0.10045269760431656</v>
          </cell>
        </row>
        <row r="1090">
          <cell r="F1090">
            <v>-0.10045266151428223</v>
          </cell>
          <cell r="G1090">
            <v>-0.10045269760431656</v>
          </cell>
        </row>
        <row r="1091">
          <cell r="F1091">
            <v>-0.10045266151428223</v>
          </cell>
          <cell r="G1091">
            <v>-0.10045269760431656</v>
          </cell>
        </row>
        <row r="1092">
          <cell r="F1092">
            <v>-0.10045266151428223</v>
          </cell>
          <cell r="G1092">
            <v>-0.10045269760431656</v>
          </cell>
        </row>
        <row r="1093">
          <cell r="F1093">
            <v>-0.10045266151428223</v>
          </cell>
          <cell r="G1093">
            <v>-0.10045269760431656</v>
          </cell>
        </row>
        <row r="1094">
          <cell r="F1094">
            <v>-0.10045266151428223</v>
          </cell>
          <cell r="G1094">
            <v>-0.10045269760431656</v>
          </cell>
        </row>
        <row r="1095">
          <cell r="F1095">
            <v>-0.10045266151428223</v>
          </cell>
          <cell r="G1095">
            <v>-0.10045269760431656</v>
          </cell>
        </row>
        <row r="1096">
          <cell r="F1096">
            <v>-0.10045266151428223</v>
          </cell>
          <cell r="G1096">
            <v>-0.10045269760431656</v>
          </cell>
        </row>
        <row r="1097">
          <cell r="F1097">
            <v>-0.10045266151428223</v>
          </cell>
          <cell r="G1097">
            <v>-0.10045269760431656</v>
          </cell>
        </row>
        <row r="1098">
          <cell r="F1098">
            <v>-0.10045266151428223</v>
          </cell>
          <cell r="G1098">
            <v>-0.10045269760431656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  <row r="1121">
          <cell r="R1121" t="str">
            <v xml:space="preserve">TIM PEMBUAT LAPORAN </v>
          </cell>
        </row>
        <row r="1136">
          <cell r="C1136" t="str">
            <v>STASIUN KLIMATOLOGI KL. IV SLEMAN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April 2022</v>
          </cell>
        </row>
      </sheetData>
      <sheetData sheetId="20" refreshError="1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4">
          <cell r="C44" t="str">
            <v>Sleman Yogyakarta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JUNI</v>
          </cell>
        </row>
        <row r="4">
          <cell r="F4" t="str">
            <v>BB</v>
          </cell>
          <cell r="G4" t="str">
            <v>TTD</v>
          </cell>
        </row>
        <row r="6">
          <cell r="E6">
            <v>23.6</v>
          </cell>
          <cell r="F6">
            <v>23.2</v>
          </cell>
          <cell r="G6">
            <v>22.913634274744748</v>
          </cell>
        </row>
        <row r="7">
          <cell r="E7">
            <v>24.5</v>
          </cell>
          <cell r="F7">
            <v>23.8</v>
          </cell>
          <cell r="G7">
            <v>23.383347698406446</v>
          </cell>
        </row>
        <row r="8">
          <cell r="E8">
            <v>26.2</v>
          </cell>
          <cell r="F8">
            <v>24</v>
          </cell>
          <cell r="G8">
            <v>22.898249002326494</v>
          </cell>
        </row>
        <row r="9">
          <cell r="E9">
            <v>26.3</v>
          </cell>
          <cell r="F9">
            <v>24.8</v>
          </cell>
          <cell r="G9">
            <v>24.051033335618328</v>
          </cell>
        </row>
        <row r="10">
          <cell r="E10">
            <v>27</v>
          </cell>
          <cell r="F10">
            <v>24</v>
          </cell>
          <cell r="G10">
            <v>22.520565860984291</v>
          </cell>
        </row>
        <row r="11">
          <cell r="E11">
            <v>28.8</v>
          </cell>
          <cell r="F11">
            <v>25.4</v>
          </cell>
          <cell r="G11">
            <v>23.844597001278153</v>
          </cell>
        </row>
        <row r="12">
          <cell r="E12">
            <v>29.2</v>
          </cell>
          <cell r="F12">
            <v>24.8</v>
          </cell>
          <cell r="G12">
            <v>22.730458944972405</v>
          </cell>
        </row>
        <row r="13">
          <cell r="E13">
            <v>29.6</v>
          </cell>
          <cell r="F13">
            <v>25.2</v>
          </cell>
          <cell r="G13">
            <v>23.173497959213115</v>
          </cell>
        </row>
        <row r="14">
          <cell r="E14">
            <v>29.2</v>
          </cell>
          <cell r="F14">
            <v>25.1</v>
          </cell>
          <cell r="G14">
            <v>23.201358712999465</v>
          </cell>
        </row>
        <row r="15">
          <cell r="E15">
            <v>29.3</v>
          </cell>
          <cell r="F15">
            <v>26</v>
          </cell>
          <cell r="G15">
            <v>24.534018519692285</v>
          </cell>
        </row>
        <row r="16">
          <cell r="E16">
            <v>28.4</v>
          </cell>
          <cell r="F16">
            <v>25.3</v>
          </cell>
          <cell r="G16">
            <v>23.870380015471763</v>
          </cell>
        </row>
        <row r="17">
          <cell r="E17">
            <v>27.1</v>
          </cell>
          <cell r="F17">
            <v>25.2</v>
          </cell>
          <cell r="G17">
            <v>24.291723235351295</v>
          </cell>
        </row>
        <row r="18">
          <cell r="E18">
            <v>26.4</v>
          </cell>
          <cell r="F18">
            <v>24.4</v>
          </cell>
          <cell r="G18">
            <v>23.41088917767016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26.4</v>
          </cell>
        </row>
        <row r="33">
          <cell r="F33" t="str">
            <v>WXREV</v>
          </cell>
        </row>
        <row r="38">
          <cell r="F38" t="str">
            <v>JUNI</v>
          </cell>
        </row>
        <row r="40">
          <cell r="F40" t="str">
            <v>BB</v>
          </cell>
          <cell r="G40" t="str">
            <v>TTD</v>
          </cell>
        </row>
        <row r="42">
          <cell r="E42">
            <v>24</v>
          </cell>
          <cell r="F42">
            <v>23</v>
          </cell>
          <cell r="G42">
            <v>22.426257580226199</v>
          </cell>
        </row>
        <row r="43">
          <cell r="E43">
            <v>27</v>
          </cell>
          <cell r="F43">
            <v>24</v>
          </cell>
          <cell r="G43">
            <v>22.520565860984291</v>
          </cell>
        </row>
        <row r="44">
          <cell r="E44">
            <v>28.5</v>
          </cell>
          <cell r="F44">
            <v>24.3</v>
          </cell>
          <cell r="G44">
            <v>22.2719012665546</v>
          </cell>
        </row>
        <row r="45">
          <cell r="E45">
            <v>29.1</v>
          </cell>
          <cell r="F45">
            <v>24.7</v>
          </cell>
          <cell r="G45">
            <v>22.619517945782292</v>
          </cell>
        </row>
        <row r="46">
          <cell r="E46">
            <v>29.3</v>
          </cell>
          <cell r="F46">
            <v>25</v>
          </cell>
          <cell r="G46">
            <v>22.998676685198461</v>
          </cell>
        </row>
        <row r="47">
          <cell r="E47">
            <v>30.4</v>
          </cell>
          <cell r="F47">
            <v>25.4</v>
          </cell>
          <cell r="G47">
            <v>23.119379698708254</v>
          </cell>
        </row>
        <row r="48">
          <cell r="E48">
            <v>30</v>
          </cell>
          <cell r="F48">
            <v>26</v>
          </cell>
          <cell r="G48">
            <v>24.231346865433</v>
          </cell>
        </row>
        <row r="49">
          <cell r="E49">
            <v>30.2</v>
          </cell>
          <cell r="F49">
            <v>26.2</v>
          </cell>
          <cell r="G49">
            <v>24.449360428169875</v>
          </cell>
        </row>
        <row r="50">
          <cell r="E50">
            <v>29</v>
          </cell>
          <cell r="F50">
            <v>25.6</v>
          </cell>
          <cell r="G50">
            <v>24.060288665251548</v>
          </cell>
        </row>
        <row r="51">
          <cell r="E51">
            <v>28.4</v>
          </cell>
          <cell r="F51">
            <v>25.2</v>
          </cell>
          <cell r="G51">
            <v>23.718447763009451</v>
          </cell>
        </row>
        <row r="52">
          <cell r="E52">
            <v>27.8</v>
          </cell>
          <cell r="F52">
            <v>25</v>
          </cell>
          <cell r="G52">
            <v>23.683614162726549</v>
          </cell>
        </row>
        <row r="53">
          <cell r="E53">
            <v>27</v>
          </cell>
          <cell r="F53">
            <v>24.8</v>
          </cell>
          <cell r="G53">
            <v>23.740574438114979</v>
          </cell>
        </row>
        <row r="54">
          <cell r="E54">
            <v>26.4</v>
          </cell>
          <cell r="F54">
            <v>24.6</v>
          </cell>
          <cell r="G54">
            <v>23.710183186275557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26.4</v>
          </cell>
        </row>
        <row r="69">
          <cell r="F69" t="str">
            <v>WXREV</v>
          </cell>
        </row>
        <row r="74">
          <cell r="F74" t="str">
            <v>JUNI</v>
          </cell>
        </row>
        <row r="76">
          <cell r="F76" t="str">
            <v>BB</v>
          </cell>
          <cell r="G76" t="str">
            <v>TTD</v>
          </cell>
        </row>
        <row r="78">
          <cell r="E78">
            <v>25.1</v>
          </cell>
          <cell r="F78">
            <v>24</v>
          </cell>
          <cell r="G78">
            <v>23.405550429464302</v>
          </cell>
        </row>
        <row r="79">
          <cell r="E79">
            <v>26.8</v>
          </cell>
          <cell r="F79">
            <v>24</v>
          </cell>
          <cell r="G79">
            <v>22.615697420007322</v>
          </cell>
        </row>
        <row r="80">
          <cell r="E80">
            <v>27.3</v>
          </cell>
          <cell r="F80">
            <v>24.1</v>
          </cell>
          <cell r="G80">
            <v>22.533025414360566</v>
          </cell>
        </row>
        <row r="81">
          <cell r="E81">
            <v>28.2</v>
          </cell>
          <cell r="F81">
            <v>24.2</v>
          </cell>
          <cell r="G81">
            <v>22.258119917094085</v>
          </cell>
        </row>
        <row r="82">
          <cell r="E82">
            <v>28</v>
          </cell>
          <cell r="F82">
            <v>24.6</v>
          </cell>
          <cell r="G82">
            <v>22.979754663101517</v>
          </cell>
        </row>
        <row r="83">
          <cell r="E83">
            <v>28.2</v>
          </cell>
          <cell r="F83">
            <v>24.8</v>
          </cell>
          <cell r="G83">
            <v>23.196283144013933</v>
          </cell>
        </row>
        <row r="84">
          <cell r="E84">
            <v>28.3</v>
          </cell>
          <cell r="F84">
            <v>24.5</v>
          </cell>
          <cell r="G84">
            <v>22.683237188132594</v>
          </cell>
        </row>
        <row r="85">
          <cell r="E85">
            <v>28.8</v>
          </cell>
          <cell r="F85">
            <v>25</v>
          </cell>
          <cell r="G85">
            <v>23.229747355809128</v>
          </cell>
        </row>
        <row r="86">
          <cell r="E86">
            <v>28.6</v>
          </cell>
          <cell r="F86">
            <v>25.4</v>
          </cell>
          <cell r="G86">
            <v>23.933335820614669</v>
          </cell>
        </row>
        <row r="87">
          <cell r="E87">
            <v>28.4</v>
          </cell>
          <cell r="F87">
            <v>24.8</v>
          </cell>
          <cell r="G87">
            <v>23.104030876414406</v>
          </cell>
        </row>
        <row r="88">
          <cell r="E88">
            <v>27.2</v>
          </cell>
          <cell r="F88">
            <v>24.6</v>
          </cell>
          <cell r="G88">
            <v>23.348482445095115</v>
          </cell>
        </row>
        <row r="89">
          <cell r="E89">
            <v>26.6</v>
          </cell>
          <cell r="F89">
            <v>24.4</v>
          </cell>
          <cell r="G89">
            <v>23.319679814146195</v>
          </cell>
        </row>
        <row r="90">
          <cell r="E90">
            <v>26</v>
          </cell>
          <cell r="F90">
            <v>24.2</v>
          </cell>
          <cell r="G90">
            <v>23.293034575471221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26</v>
          </cell>
        </row>
        <row r="105">
          <cell r="F105" t="str">
            <v>WXREV</v>
          </cell>
        </row>
        <row r="110">
          <cell r="F110" t="str">
            <v>JUNI</v>
          </cell>
        </row>
        <row r="112">
          <cell r="F112" t="str">
            <v>BB</v>
          </cell>
          <cell r="G112" t="str">
            <v>TTD</v>
          </cell>
        </row>
        <row r="114">
          <cell r="E114">
            <v>24</v>
          </cell>
          <cell r="F114">
            <v>22.6</v>
          </cell>
          <cell r="G114">
            <v>21.818982335509961</v>
          </cell>
        </row>
        <row r="115">
          <cell r="E115">
            <v>26.2</v>
          </cell>
          <cell r="F115">
            <v>23.7</v>
          </cell>
          <cell r="G115">
            <v>22.438681032241561</v>
          </cell>
        </row>
        <row r="116">
          <cell r="E116">
            <v>27</v>
          </cell>
          <cell r="F116">
            <v>24.2</v>
          </cell>
          <cell r="G116">
            <v>22.829633194937365</v>
          </cell>
        </row>
        <row r="117">
          <cell r="E117">
            <v>28.2</v>
          </cell>
          <cell r="F117">
            <v>25</v>
          </cell>
          <cell r="G117">
            <v>23.503366381695525</v>
          </cell>
        </row>
        <row r="118">
          <cell r="E118">
            <v>28.8</v>
          </cell>
          <cell r="F118">
            <v>24.7</v>
          </cell>
          <cell r="G118">
            <v>22.761299877426222</v>
          </cell>
        </row>
        <row r="119">
          <cell r="E119">
            <v>29.2</v>
          </cell>
          <cell r="F119">
            <v>24.7</v>
          </cell>
          <cell r="G119">
            <v>22.572019626566767</v>
          </cell>
        </row>
        <row r="120">
          <cell r="E120">
            <v>29.5</v>
          </cell>
          <cell r="F120">
            <v>24.9</v>
          </cell>
          <cell r="G120">
            <v>22.74732283045806</v>
          </cell>
        </row>
        <row r="121">
          <cell r="E121">
            <v>29.5</v>
          </cell>
          <cell r="F121">
            <v>25.6</v>
          </cell>
          <cell r="G121">
            <v>23.839145063199307</v>
          </cell>
        </row>
        <row r="122">
          <cell r="E122">
            <v>29.3</v>
          </cell>
          <cell r="F122">
            <v>25.4</v>
          </cell>
          <cell r="G122">
            <v>23.620924488861387</v>
          </cell>
        </row>
        <row r="123">
          <cell r="E123">
            <v>28.3</v>
          </cell>
          <cell r="F123">
            <v>25.1</v>
          </cell>
          <cell r="G123">
            <v>23.610931425374602</v>
          </cell>
        </row>
        <row r="124">
          <cell r="E124">
            <v>26.9</v>
          </cell>
          <cell r="F124">
            <v>24.5</v>
          </cell>
          <cell r="G124">
            <v>23.333810841264086</v>
          </cell>
        </row>
        <row r="125">
          <cell r="E125">
            <v>26</v>
          </cell>
          <cell r="F125">
            <v>24.8</v>
          </cell>
          <cell r="G125">
            <v>24.182556068191992</v>
          </cell>
        </row>
        <row r="126">
          <cell r="E126">
            <v>25.7</v>
          </cell>
          <cell r="F126">
            <v>24.8</v>
          </cell>
          <cell r="G126">
            <v>24.313179702823806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25.7</v>
          </cell>
        </row>
        <row r="141">
          <cell r="F141" t="str">
            <v>WXREV</v>
          </cell>
        </row>
        <row r="146">
          <cell r="F146" t="str">
            <v>JUNI</v>
          </cell>
        </row>
        <row r="148">
          <cell r="F148" t="str">
            <v>BB</v>
          </cell>
          <cell r="G148" t="str">
            <v>TTD</v>
          </cell>
        </row>
        <row r="150">
          <cell r="E150">
            <v>24.8</v>
          </cell>
          <cell r="F150">
            <v>24.2</v>
          </cell>
          <cell r="G150">
            <v>23.834579423059534</v>
          </cell>
        </row>
        <row r="151">
          <cell r="E151">
            <v>25.5</v>
          </cell>
          <cell r="F151">
            <v>24.4</v>
          </cell>
          <cell r="G151">
            <v>23.815999648741762</v>
          </cell>
        </row>
        <row r="152">
          <cell r="E152">
            <v>26.8</v>
          </cell>
          <cell r="F152">
            <v>24.8</v>
          </cell>
          <cell r="G152">
            <v>23.829794165744062</v>
          </cell>
        </row>
        <row r="153">
          <cell r="E153">
            <v>27.9</v>
          </cell>
          <cell r="F153">
            <v>25</v>
          </cell>
          <cell r="G153">
            <v>23.638712100099621</v>
          </cell>
        </row>
        <row r="154">
          <cell r="E154">
            <v>29.2</v>
          </cell>
          <cell r="F154">
            <v>25.5</v>
          </cell>
          <cell r="G154">
            <v>23.819337756018118</v>
          </cell>
        </row>
        <row r="155">
          <cell r="E155">
            <v>29.9</v>
          </cell>
          <cell r="F155">
            <v>25.4</v>
          </cell>
          <cell r="G155">
            <v>23.348998535378588</v>
          </cell>
        </row>
        <row r="156">
          <cell r="E156">
            <v>29.8</v>
          </cell>
          <cell r="F156">
            <v>25.9</v>
          </cell>
          <cell r="G156">
            <v>24.166033320489955</v>
          </cell>
        </row>
        <row r="157">
          <cell r="E157">
            <v>30</v>
          </cell>
          <cell r="F157">
            <v>25.4</v>
          </cell>
          <cell r="G157">
            <v>23.303296611588866</v>
          </cell>
        </row>
        <row r="158">
          <cell r="E158">
            <v>29.2</v>
          </cell>
          <cell r="F158">
            <v>25.6</v>
          </cell>
          <cell r="G158">
            <v>23.972138646793855</v>
          </cell>
        </row>
        <row r="159">
          <cell r="E159">
            <v>24.8</v>
          </cell>
          <cell r="F159">
            <v>23.2</v>
          </cell>
          <cell r="G159">
            <v>22.344736198934232</v>
          </cell>
        </row>
        <row r="160">
          <cell r="E160">
            <v>26.6</v>
          </cell>
          <cell r="F160">
            <v>24.4</v>
          </cell>
          <cell r="G160">
            <v>23.319679814146195</v>
          </cell>
        </row>
        <row r="161">
          <cell r="E161">
            <v>24.8</v>
          </cell>
          <cell r="F161">
            <v>23.6</v>
          </cell>
          <cell r="G161">
            <v>22.948281918843517</v>
          </cell>
        </row>
        <row r="162">
          <cell r="E162">
            <v>24.4</v>
          </cell>
          <cell r="F162">
            <v>23.4</v>
          </cell>
          <cell r="G162">
            <v>22.836338621391949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24.4</v>
          </cell>
        </row>
        <row r="177">
          <cell r="F177" t="str">
            <v>WXREV</v>
          </cell>
        </row>
        <row r="182">
          <cell r="F182" t="str">
            <v>JUNI</v>
          </cell>
        </row>
        <row r="184">
          <cell r="F184" t="str">
            <v>BB</v>
          </cell>
          <cell r="G184" t="str">
            <v>TTD</v>
          </cell>
        </row>
        <row r="186">
          <cell r="E186">
            <v>24.4</v>
          </cell>
          <cell r="F186">
            <v>23.2</v>
          </cell>
          <cell r="G186">
            <v>22.536281516172753</v>
          </cell>
        </row>
        <row r="187">
          <cell r="E187">
            <v>26</v>
          </cell>
          <cell r="F187">
            <v>24</v>
          </cell>
          <cell r="G187">
            <v>22.991501967304046</v>
          </cell>
        </row>
        <row r="188">
          <cell r="E188">
            <v>28</v>
          </cell>
          <cell r="F188">
            <v>24.8</v>
          </cell>
          <cell r="G188">
            <v>23.28808865472617</v>
          </cell>
        </row>
        <row r="189">
          <cell r="E189">
            <v>28.6</v>
          </cell>
          <cell r="F189">
            <v>24.8</v>
          </cell>
          <cell r="G189">
            <v>23.011327145203094</v>
          </cell>
        </row>
        <row r="190">
          <cell r="E190">
            <v>30.2</v>
          </cell>
          <cell r="F190">
            <v>25.4</v>
          </cell>
          <cell r="G190">
            <v>23.211561155971527</v>
          </cell>
        </row>
        <row r="191">
          <cell r="E191">
            <v>29.6</v>
          </cell>
          <cell r="F191">
            <v>25.4</v>
          </cell>
          <cell r="G191">
            <v>23.485447924589423</v>
          </cell>
        </row>
        <row r="192">
          <cell r="E192">
            <v>29.2</v>
          </cell>
          <cell r="F192">
            <v>25.4</v>
          </cell>
          <cell r="G192">
            <v>23.665869730219789</v>
          </cell>
        </row>
        <row r="193">
          <cell r="E193">
            <v>25.8</v>
          </cell>
          <cell r="F193">
            <v>24.2</v>
          </cell>
          <cell r="G193">
            <v>23.384370540910407</v>
          </cell>
        </row>
        <row r="194">
          <cell r="E194">
            <v>25.4</v>
          </cell>
          <cell r="F194">
            <v>23.4</v>
          </cell>
          <cell r="G194">
            <v>22.361484869154971</v>
          </cell>
        </row>
        <row r="195">
          <cell r="E195">
            <v>25.2</v>
          </cell>
          <cell r="F195">
            <v>23.4</v>
          </cell>
          <cell r="G195">
            <v>22.45741703757486</v>
          </cell>
        </row>
        <row r="196">
          <cell r="E196">
            <v>24.6</v>
          </cell>
          <cell r="F196">
            <v>23</v>
          </cell>
          <cell r="G196">
            <v>22.13650602405399</v>
          </cell>
        </row>
        <row r="197">
          <cell r="E197">
            <v>23.8</v>
          </cell>
          <cell r="F197">
            <v>22.8</v>
          </cell>
          <cell r="G197">
            <v>22.221122917405996</v>
          </cell>
        </row>
        <row r="198">
          <cell r="E198">
            <v>23.6</v>
          </cell>
          <cell r="F198">
            <v>23</v>
          </cell>
          <cell r="G198">
            <v>22.616977894785251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23.6</v>
          </cell>
        </row>
        <row r="213">
          <cell r="F213" t="str">
            <v>WXREV</v>
          </cell>
        </row>
        <row r="218">
          <cell r="F218" t="str">
            <v>JUNI</v>
          </cell>
        </row>
        <row r="220">
          <cell r="F220" t="str">
            <v>BB</v>
          </cell>
          <cell r="G220" t="str">
            <v>TTD</v>
          </cell>
        </row>
        <row r="222">
          <cell r="E222">
            <v>23.2</v>
          </cell>
          <cell r="F222">
            <v>22.6</v>
          </cell>
          <cell r="G222">
            <v>22.210821758183659</v>
          </cell>
        </row>
        <row r="223">
          <cell r="E223">
            <v>25.3</v>
          </cell>
          <cell r="F223">
            <v>23.3</v>
          </cell>
          <cell r="G223">
            <v>22.256369744847241</v>
          </cell>
        </row>
        <row r="224">
          <cell r="E224">
            <v>26.8</v>
          </cell>
          <cell r="F224">
            <v>24.5</v>
          </cell>
          <cell r="G224">
            <v>23.379436669800825</v>
          </cell>
        </row>
        <row r="225">
          <cell r="E225">
            <v>29.2</v>
          </cell>
          <cell r="F225">
            <v>25.2</v>
          </cell>
          <cell r="G225">
            <v>23.356890846549941</v>
          </cell>
        </row>
        <row r="226">
          <cell r="E226">
            <v>30.1</v>
          </cell>
          <cell r="F226">
            <v>25</v>
          </cell>
          <cell r="G226">
            <v>22.622991398306905</v>
          </cell>
        </row>
        <row r="227">
          <cell r="E227">
            <v>30.4</v>
          </cell>
          <cell r="F227">
            <v>24.5</v>
          </cell>
          <cell r="G227">
            <v>21.663260375206157</v>
          </cell>
        </row>
        <row r="228">
          <cell r="E228">
            <v>31.3</v>
          </cell>
          <cell r="F228">
            <v>24.8</v>
          </cell>
          <cell r="G228">
            <v>21.713090782217442</v>
          </cell>
        </row>
        <row r="229">
          <cell r="E229">
            <v>31.2</v>
          </cell>
          <cell r="F229">
            <v>24.8</v>
          </cell>
          <cell r="G229">
            <v>21.762806904664341</v>
          </cell>
        </row>
        <row r="230">
          <cell r="E230">
            <v>30.8</v>
          </cell>
          <cell r="F230">
            <v>24.3</v>
          </cell>
          <cell r="G230">
            <v>21.12624143647675</v>
          </cell>
        </row>
        <row r="231">
          <cell r="E231">
            <v>30.6</v>
          </cell>
          <cell r="F231">
            <v>24.8</v>
          </cell>
          <cell r="G231">
            <v>22.058366904828024</v>
          </cell>
        </row>
        <row r="232">
          <cell r="E232">
            <v>29</v>
          </cell>
          <cell r="F232">
            <v>26.3</v>
          </cell>
          <cell r="G232">
            <v>25.107343636585934</v>
          </cell>
        </row>
        <row r="233">
          <cell r="E233">
            <v>27.6</v>
          </cell>
          <cell r="F233">
            <v>25.6</v>
          </cell>
          <cell r="G233">
            <v>24.666213473453418</v>
          </cell>
        </row>
        <row r="234">
          <cell r="E234">
            <v>27</v>
          </cell>
          <cell r="F234">
            <v>25.2</v>
          </cell>
          <cell r="G234">
            <v>24.335116740668042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27</v>
          </cell>
        </row>
        <row r="249">
          <cell r="F249" t="str">
            <v>WXREV</v>
          </cell>
        </row>
        <row r="254">
          <cell r="F254" t="str">
            <v>JUNI</v>
          </cell>
        </row>
        <row r="256">
          <cell r="F256" t="str">
            <v>BB</v>
          </cell>
          <cell r="G256" t="str">
            <v>TTD</v>
          </cell>
        </row>
        <row r="258">
          <cell r="E258">
            <v>25</v>
          </cell>
          <cell r="F258">
            <v>23.8</v>
          </cell>
          <cell r="G258">
            <v>23.154171566343187</v>
          </cell>
        </row>
        <row r="259">
          <cell r="E259">
            <v>27</v>
          </cell>
          <cell r="F259">
            <v>24.4</v>
          </cell>
          <cell r="G259">
            <v>23.135934889422426</v>
          </cell>
        </row>
        <row r="260">
          <cell r="E260">
            <v>28.3</v>
          </cell>
          <cell r="F260">
            <v>24.8</v>
          </cell>
          <cell r="G260">
            <v>23.15021314722178</v>
          </cell>
        </row>
        <row r="261">
          <cell r="E261">
            <v>29.8</v>
          </cell>
          <cell r="F261">
            <v>25.2</v>
          </cell>
          <cell r="G261">
            <v>23.081131949841016</v>
          </cell>
        </row>
        <row r="262">
          <cell r="E262">
            <v>30.6</v>
          </cell>
          <cell r="F262">
            <v>25.2</v>
          </cell>
          <cell r="G262">
            <v>22.707092960719798</v>
          </cell>
        </row>
        <row r="263">
          <cell r="E263">
            <v>31.8</v>
          </cell>
          <cell r="F263">
            <v>25.8</v>
          </cell>
          <cell r="G263">
            <v>23.110371218160086</v>
          </cell>
        </row>
        <row r="264">
          <cell r="E264">
            <v>32</v>
          </cell>
          <cell r="F264">
            <v>26</v>
          </cell>
          <cell r="G264">
            <v>23.33914678575648</v>
          </cell>
        </row>
        <row r="265">
          <cell r="E265">
            <v>29.8</v>
          </cell>
          <cell r="F265">
            <v>26.4</v>
          </cell>
          <cell r="G265">
            <v>24.921074218465066</v>
          </cell>
        </row>
        <row r="266">
          <cell r="E266">
            <v>28.7</v>
          </cell>
          <cell r="F266">
            <v>26.3</v>
          </cell>
          <cell r="G266">
            <v>25.231854951335155</v>
          </cell>
        </row>
        <row r="267">
          <cell r="E267">
            <v>23.5</v>
          </cell>
          <cell r="F267">
            <v>22.8</v>
          </cell>
          <cell r="G267">
            <v>22.365904409973691</v>
          </cell>
        </row>
        <row r="268">
          <cell r="E268">
            <v>23.1</v>
          </cell>
          <cell r="F268">
            <v>22.6</v>
          </cell>
          <cell r="G268">
            <v>22.259232010125956</v>
          </cell>
        </row>
        <row r="269">
          <cell r="E269">
            <v>23.3</v>
          </cell>
          <cell r="F269">
            <v>22.8</v>
          </cell>
          <cell r="G269">
            <v>22.461810497075199</v>
          </cell>
        </row>
        <row r="270">
          <cell r="E270">
            <v>23.2</v>
          </cell>
          <cell r="F270">
            <v>23</v>
          </cell>
          <cell r="G270">
            <v>22.805789529148537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23.1</v>
          </cell>
        </row>
        <row r="285">
          <cell r="F285" t="str">
            <v>WXREV</v>
          </cell>
        </row>
        <row r="290">
          <cell r="F290" t="str">
            <v>JUNI</v>
          </cell>
        </row>
        <row r="292">
          <cell r="F292" t="str">
            <v>BB</v>
          </cell>
          <cell r="G292" t="str">
            <v>TTD</v>
          </cell>
        </row>
        <row r="294">
          <cell r="E294">
            <v>23.5</v>
          </cell>
          <cell r="F294">
            <v>23</v>
          </cell>
          <cell r="G294">
            <v>22.664358131383011</v>
          </cell>
        </row>
        <row r="295">
          <cell r="E295">
            <v>25</v>
          </cell>
          <cell r="F295">
            <v>24</v>
          </cell>
          <cell r="G295">
            <v>23.451002870250118</v>
          </cell>
        </row>
        <row r="296">
          <cell r="E296">
            <v>26.6</v>
          </cell>
          <cell r="F296">
            <v>24.6</v>
          </cell>
          <cell r="G296">
            <v>23.620401055617794</v>
          </cell>
        </row>
        <row r="297">
          <cell r="E297">
            <v>27.4</v>
          </cell>
          <cell r="F297">
            <v>24.6</v>
          </cell>
          <cell r="G297">
            <v>23.256970699803183</v>
          </cell>
        </row>
        <row r="298">
          <cell r="E298">
            <v>28.2</v>
          </cell>
          <cell r="F298">
            <v>24.8</v>
          </cell>
          <cell r="G298">
            <v>23.196283144013933</v>
          </cell>
        </row>
        <row r="299">
          <cell r="E299">
            <v>28.6</v>
          </cell>
          <cell r="F299">
            <v>24.8</v>
          </cell>
          <cell r="G299">
            <v>23.011327145203094</v>
          </cell>
        </row>
        <row r="300">
          <cell r="E300">
            <v>29</v>
          </cell>
          <cell r="F300">
            <v>25</v>
          </cell>
          <cell r="G300">
            <v>23.13765699199967</v>
          </cell>
        </row>
        <row r="301">
          <cell r="E301">
            <v>29.8</v>
          </cell>
          <cell r="F301">
            <v>25.8</v>
          </cell>
          <cell r="G301">
            <v>24.013096932917858</v>
          </cell>
        </row>
        <row r="302">
          <cell r="E302">
            <v>29.8</v>
          </cell>
          <cell r="F302">
            <v>25.8</v>
          </cell>
          <cell r="G302">
            <v>24.013096932917858</v>
          </cell>
        </row>
        <row r="303">
          <cell r="E303">
            <v>29</v>
          </cell>
          <cell r="F303">
            <v>25.8</v>
          </cell>
          <cell r="G303">
            <v>24.362543776675032</v>
          </cell>
        </row>
        <row r="304">
          <cell r="E304">
            <v>28</v>
          </cell>
          <cell r="F304">
            <v>26</v>
          </cell>
          <cell r="G304">
            <v>25.083754616146514</v>
          </cell>
        </row>
        <row r="305">
          <cell r="E305">
            <v>26.8</v>
          </cell>
          <cell r="F305">
            <v>25.6</v>
          </cell>
          <cell r="G305">
            <v>25.004046888190331</v>
          </cell>
        </row>
        <row r="306">
          <cell r="E306">
            <v>26</v>
          </cell>
          <cell r="F306">
            <v>25</v>
          </cell>
          <cell r="G306">
            <v>24.474280736128826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26</v>
          </cell>
        </row>
        <row r="321">
          <cell r="F321" t="str">
            <v>WXREV</v>
          </cell>
        </row>
        <row r="326">
          <cell r="F326" t="str">
            <v>JUNI</v>
          </cell>
        </row>
        <row r="328">
          <cell r="F328" t="str">
            <v>BB</v>
          </cell>
          <cell r="G328" t="str">
            <v>TTD</v>
          </cell>
        </row>
        <row r="330">
          <cell r="E330">
            <v>23.6</v>
          </cell>
          <cell r="F330">
            <v>22.8</v>
          </cell>
          <cell r="G330">
            <v>22.317767571519479</v>
          </cell>
        </row>
        <row r="331">
          <cell r="E331">
            <v>25</v>
          </cell>
          <cell r="F331">
            <v>24</v>
          </cell>
          <cell r="G331">
            <v>23.451002870250118</v>
          </cell>
        </row>
        <row r="332">
          <cell r="E332">
            <v>26.8</v>
          </cell>
          <cell r="F332">
            <v>24</v>
          </cell>
          <cell r="G332">
            <v>22.615697420007322</v>
          </cell>
        </row>
        <row r="333">
          <cell r="E333">
            <v>28.3</v>
          </cell>
          <cell r="F333">
            <v>24.3</v>
          </cell>
          <cell r="G333">
            <v>22.368295271271318</v>
          </cell>
        </row>
        <row r="334">
          <cell r="E334">
            <v>29.6</v>
          </cell>
          <cell r="F334">
            <v>24.8</v>
          </cell>
          <cell r="G334">
            <v>22.540866348822316</v>
          </cell>
        </row>
        <row r="335">
          <cell r="E335">
            <v>29.8</v>
          </cell>
          <cell r="F335">
            <v>25</v>
          </cell>
          <cell r="G335">
            <v>22.764750111093644</v>
          </cell>
        </row>
        <row r="336">
          <cell r="E336">
            <v>30</v>
          </cell>
          <cell r="F336">
            <v>25.3</v>
          </cell>
          <cell r="G336">
            <v>23.146169992834317</v>
          </cell>
        </row>
        <row r="337">
          <cell r="E337">
            <v>30.5</v>
          </cell>
          <cell r="F337">
            <v>25.6</v>
          </cell>
          <cell r="G337">
            <v>23.38900195668537</v>
          </cell>
        </row>
        <row r="338">
          <cell r="E338">
            <v>30.7</v>
          </cell>
          <cell r="F338">
            <v>25.9</v>
          </cell>
          <cell r="G338">
            <v>23.768335035597001</v>
          </cell>
        </row>
        <row r="339">
          <cell r="E339">
            <v>29.2</v>
          </cell>
          <cell r="F339">
            <v>25.2</v>
          </cell>
          <cell r="G339">
            <v>23.356890846549941</v>
          </cell>
        </row>
        <row r="340">
          <cell r="E340">
            <v>28.2</v>
          </cell>
          <cell r="F340">
            <v>25.2</v>
          </cell>
          <cell r="G340">
            <v>23.807773416804665</v>
          </cell>
        </row>
        <row r="341">
          <cell r="E341">
            <v>27.4</v>
          </cell>
          <cell r="F341">
            <v>25.3</v>
          </cell>
          <cell r="G341">
            <v>24.309414993591773</v>
          </cell>
        </row>
        <row r="342">
          <cell r="E342">
            <v>27.2</v>
          </cell>
          <cell r="F342">
            <v>25.6</v>
          </cell>
          <cell r="G342">
            <v>24.835872856569932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27.2</v>
          </cell>
        </row>
        <row r="357">
          <cell r="F357" t="str">
            <v>WXREV</v>
          </cell>
        </row>
        <row r="362">
          <cell r="F362" t="str">
            <v>JUNI</v>
          </cell>
        </row>
        <row r="364">
          <cell r="F364" t="str">
            <v>BB</v>
          </cell>
          <cell r="G364" t="str">
            <v>TTD</v>
          </cell>
        </row>
        <row r="366">
          <cell r="E366">
            <v>24.9</v>
          </cell>
          <cell r="F366">
            <v>23.4</v>
          </cell>
          <cell r="G366">
            <v>22.600405815370323</v>
          </cell>
        </row>
        <row r="367">
          <cell r="E367">
            <v>26.7</v>
          </cell>
          <cell r="F367">
            <v>23.4</v>
          </cell>
          <cell r="G367">
            <v>21.725702399335123</v>
          </cell>
        </row>
        <row r="368">
          <cell r="E368">
            <v>28.2</v>
          </cell>
          <cell r="F368">
            <v>25</v>
          </cell>
          <cell r="G368">
            <v>23.503366381695525</v>
          </cell>
        </row>
        <row r="369">
          <cell r="E369">
            <v>29.6</v>
          </cell>
          <cell r="F369">
            <v>25</v>
          </cell>
          <cell r="G369">
            <v>22.858668311959782</v>
          </cell>
        </row>
        <row r="370">
          <cell r="E370">
            <v>30.4</v>
          </cell>
          <cell r="F370">
            <v>25.5</v>
          </cell>
          <cell r="G370">
            <v>23.277303667603046</v>
          </cell>
        </row>
        <row r="371">
          <cell r="E371">
            <v>30.8</v>
          </cell>
          <cell r="F371">
            <v>26</v>
          </cell>
          <cell r="G371">
            <v>23.879464107884509</v>
          </cell>
        </row>
        <row r="372">
          <cell r="E372">
            <v>31.6</v>
          </cell>
          <cell r="F372">
            <v>25.7</v>
          </cell>
          <cell r="G372">
            <v>23.042283468686726</v>
          </cell>
        </row>
        <row r="373">
          <cell r="E373">
            <v>31</v>
          </cell>
          <cell r="F373">
            <v>25.8</v>
          </cell>
          <cell r="G373">
            <v>23.476621444388034</v>
          </cell>
        </row>
        <row r="374">
          <cell r="E374">
            <v>28.2</v>
          </cell>
          <cell r="F374">
            <v>25.8</v>
          </cell>
          <cell r="G374">
            <v>24.705723804490532</v>
          </cell>
        </row>
        <row r="375">
          <cell r="E375">
            <v>26.2</v>
          </cell>
          <cell r="F375">
            <v>24.2</v>
          </cell>
          <cell r="G375">
            <v>23.201256751926248</v>
          </cell>
        </row>
        <row r="376">
          <cell r="E376">
            <v>25.4</v>
          </cell>
          <cell r="F376">
            <v>24.6</v>
          </cell>
          <cell r="G376">
            <v>24.152855495117279</v>
          </cell>
        </row>
        <row r="377">
          <cell r="E377">
            <v>24.8</v>
          </cell>
          <cell r="F377">
            <v>24</v>
          </cell>
          <cell r="G377">
            <v>23.541582806104632</v>
          </cell>
        </row>
        <row r="378">
          <cell r="E378">
            <v>24.8</v>
          </cell>
          <cell r="F378">
            <v>24</v>
          </cell>
          <cell r="G378">
            <v>23.541582806104632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24.8</v>
          </cell>
        </row>
        <row r="393">
          <cell r="F393" t="str">
            <v>WXREV</v>
          </cell>
        </row>
        <row r="398">
          <cell r="F398" t="str">
            <v>JUNI</v>
          </cell>
        </row>
        <row r="400">
          <cell r="F400" t="str">
            <v>BB</v>
          </cell>
          <cell r="G400" t="str">
            <v>TTD</v>
          </cell>
        </row>
        <row r="402">
          <cell r="E402">
            <v>23.9</v>
          </cell>
          <cell r="F402">
            <v>23.4</v>
          </cell>
          <cell r="G402">
            <v>23.069362589016496</v>
          </cell>
        </row>
        <row r="403">
          <cell r="E403">
            <v>25.6</v>
          </cell>
          <cell r="F403">
            <v>23.9</v>
          </cell>
          <cell r="G403">
            <v>23.026370764979553</v>
          </cell>
        </row>
        <row r="404">
          <cell r="E404">
            <v>27</v>
          </cell>
          <cell r="F404">
            <v>23.9</v>
          </cell>
          <cell r="G404">
            <v>22.364967773946255</v>
          </cell>
        </row>
        <row r="405">
          <cell r="E405">
            <v>29</v>
          </cell>
          <cell r="F405">
            <v>24.8</v>
          </cell>
          <cell r="G405">
            <v>22.824546080853771</v>
          </cell>
        </row>
        <row r="406">
          <cell r="E406">
            <v>29.7</v>
          </cell>
          <cell r="F406">
            <v>25</v>
          </cell>
          <cell r="G406">
            <v>22.811767552763925</v>
          </cell>
        </row>
        <row r="407">
          <cell r="E407">
            <v>30.6</v>
          </cell>
          <cell r="F407">
            <v>25.4</v>
          </cell>
          <cell r="G407">
            <v>23.026747545268133</v>
          </cell>
        </row>
        <row r="408">
          <cell r="E408">
            <v>30.8</v>
          </cell>
          <cell r="F408">
            <v>24.6</v>
          </cell>
          <cell r="G408">
            <v>21.629341608776524</v>
          </cell>
        </row>
        <row r="409">
          <cell r="E409">
            <v>29.9</v>
          </cell>
          <cell r="F409">
            <v>25.6</v>
          </cell>
          <cell r="G409">
            <v>23.66036389064061</v>
          </cell>
        </row>
        <row r="410">
          <cell r="E410">
            <v>28.2</v>
          </cell>
          <cell r="F410">
            <v>25.9</v>
          </cell>
          <cell r="G410">
            <v>24.853252730292759</v>
          </cell>
        </row>
        <row r="411">
          <cell r="E411">
            <v>27.7</v>
          </cell>
          <cell r="F411">
            <v>25.1</v>
          </cell>
          <cell r="G411">
            <v>23.879159206070124</v>
          </cell>
        </row>
        <row r="412">
          <cell r="E412">
            <v>27.2</v>
          </cell>
          <cell r="F412">
            <v>25</v>
          </cell>
          <cell r="G412">
            <v>23.950825647173037</v>
          </cell>
        </row>
        <row r="413">
          <cell r="E413">
            <v>26.9</v>
          </cell>
          <cell r="F413">
            <v>25.2</v>
          </cell>
          <cell r="G413">
            <v>24.378412047418134</v>
          </cell>
        </row>
        <row r="414">
          <cell r="E414">
            <v>26.4</v>
          </cell>
          <cell r="F414">
            <v>25.1</v>
          </cell>
          <cell r="G414">
            <v>24.447696529014969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26.4</v>
          </cell>
        </row>
        <row r="429">
          <cell r="F429" t="str">
            <v>WXREV</v>
          </cell>
        </row>
        <row r="434">
          <cell r="F434" t="str">
            <v>JUNI</v>
          </cell>
        </row>
        <row r="436">
          <cell r="F436" t="str">
            <v>BB</v>
          </cell>
          <cell r="G436" t="str">
            <v>TTD</v>
          </cell>
        </row>
        <row r="438">
          <cell r="E438">
            <v>24.2</v>
          </cell>
          <cell r="F438">
            <v>23.3</v>
          </cell>
          <cell r="G438">
            <v>22.780930742954624</v>
          </cell>
        </row>
        <row r="439">
          <cell r="E439">
            <v>26</v>
          </cell>
          <cell r="F439">
            <v>24.2</v>
          </cell>
          <cell r="G439">
            <v>23.293034575471221</v>
          </cell>
        </row>
        <row r="440">
          <cell r="E440">
            <v>27.5</v>
          </cell>
          <cell r="F440">
            <v>24.8</v>
          </cell>
          <cell r="G440">
            <v>23.51567808679572</v>
          </cell>
        </row>
        <row r="441">
          <cell r="E441">
            <v>28.2</v>
          </cell>
          <cell r="F441">
            <v>25.2</v>
          </cell>
          <cell r="G441">
            <v>23.807773416804665</v>
          </cell>
        </row>
        <row r="442">
          <cell r="E442">
            <v>28.4</v>
          </cell>
          <cell r="F442">
            <v>25.7</v>
          </cell>
          <cell r="G442">
            <v>24.471718851012717</v>
          </cell>
        </row>
        <row r="443">
          <cell r="E443">
            <v>28.5</v>
          </cell>
          <cell r="F443">
            <v>25.8</v>
          </cell>
          <cell r="G443">
            <v>24.577750330162949</v>
          </cell>
        </row>
        <row r="444">
          <cell r="E444">
            <v>22.6</v>
          </cell>
          <cell r="F444">
            <v>22.4</v>
          </cell>
          <cell r="G444">
            <v>22.202667252878626</v>
          </cell>
        </row>
        <row r="445">
          <cell r="E445">
            <v>23.3</v>
          </cell>
          <cell r="F445">
            <v>22.6</v>
          </cell>
          <cell r="G445">
            <v>22.162286557115888</v>
          </cell>
        </row>
        <row r="446">
          <cell r="E446">
            <v>23.2</v>
          </cell>
          <cell r="F446">
            <v>23</v>
          </cell>
          <cell r="G446">
            <v>22.805789529148537</v>
          </cell>
        </row>
        <row r="447">
          <cell r="E447">
            <v>23.1</v>
          </cell>
          <cell r="F447">
            <v>23</v>
          </cell>
          <cell r="G447">
            <v>22.852698999072828</v>
          </cell>
        </row>
        <row r="448">
          <cell r="E448">
            <v>23.3</v>
          </cell>
          <cell r="F448">
            <v>23.1</v>
          </cell>
          <cell r="G448">
            <v>22.906299592291269</v>
          </cell>
        </row>
        <row r="449">
          <cell r="E449">
            <v>23.1</v>
          </cell>
          <cell r="F449">
            <v>22.9</v>
          </cell>
          <cell r="G449">
            <v>22.705276554090879</v>
          </cell>
        </row>
        <row r="450">
          <cell r="E450">
            <v>23.1</v>
          </cell>
          <cell r="F450">
            <v>22.9</v>
          </cell>
          <cell r="G450">
            <v>22.705276554090879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23.1</v>
          </cell>
        </row>
        <row r="465">
          <cell r="F465" t="str">
            <v>WXREV</v>
          </cell>
        </row>
        <row r="470">
          <cell r="F470" t="str">
            <v>JUNI</v>
          </cell>
        </row>
        <row r="472">
          <cell r="F472" t="str">
            <v>BB</v>
          </cell>
          <cell r="G472" t="str">
            <v>TTD</v>
          </cell>
        </row>
        <row r="474">
          <cell r="E474">
            <v>23.4</v>
          </cell>
          <cell r="F474">
            <v>22.8</v>
          </cell>
          <cell r="G474">
            <v>22.413918494565792</v>
          </cell>
        </row>
        <row r="475">
          <cell r="E475">
            <v>25</v>
          </cell>
          <cell r="F475">
            <v>23.6</v>
          </cell>
          <cell r="G475">
            <v>22.854817544971361</v>
          </cell>
        </row>
        <row r="476">
          <cell r="E476">
            <v>27</v>
          </cell>
          <cell r="F476">
            <v>24.4</v>
          </cell>
          <cell r="G476">
            <v>23.135934889422426</v>
          </cell>
        </row>
        <row r="477">
          <cell r="E477">
            <v>28</v>
          </cell>
          <cell r="F477">
            <v>24.2</v>
          </cell>
          <cell r="G477">
            <v>22.354583733692817</v>
          </cell>
        </row>
        <row r="478">
          <cell r="E478">
            <v>28.2</v>
          </cell>
          <cell r="F478">
            <v>24.6</v>
          </cell>
          <cell r="G478">
            <v>22.886439940964369</v>
          </cell>
        </row>
        <row r="479">
          <cell r="E479">
            <v>26.2</v>
          </cell>
          <cell r="F479">
            <v>24.2</v>
          </cell>
          <cell r="G479">
            <v>23.201256751926248</v>
          </cell>
        </row>
        <row r="480">
          <cell r="E480">
            <v>29.2</v>
          </cell>
          <cell r="F480">
            <v>25.6</v>
          </cell>
          <cell r="G480">
            <v>23.972138646793855</v>
          </cell>
        </row>
        <row r="481">
          <cell r="E481">
            <v>27.1</v>
          </cell>
          <cell r="F481">
            <v>24.3</v>
          </cell>
          <cell r="G481">
            <v>22.93653381188777</v>
          </cell>
        </row>
        <row r="482">
          <cell r="E482">
            <v>25.8</v>
          </cell>
          <cell r="F482">
            <v>23.5</v>
          </cell>
          <cell r="G482">
            <v>22.322554705614401</v>
          </cell>
        </row>
        <row r="483">
          <cell r="E483">
            <v>26.2</v>
          </cell>
          <cell r="F483">
            <v>24</v>
          </cell>
          <cell r="G483">
            <v>22.898249002326494</v>
          </cell>
        </row>
        <row r="484">
          <cell r="E484">
            <v>25.8</v>
          </cell>
          <cell r="F484">
            <v>24</v>
          </cell>
          <cell r="G484">
            <v>23.084297681296647</v>
          </cell>
        </row>
        <row r="485">
          <cell r="E485">
            <v>25.4</v>
          </cell>
          <cell r="F485">
            <v>23.8</v>
          </cell>
          <cell r="G485">
            <v>22.968814165589823</v>
          </cell>
        </row>
        <row r="486">
          <cell r="E486">
            <v>25</v>
          </cell>
          <cell r="F486">
            <v>23.6</v>
          </cell>
          <cell r="G486">
            <v>22.854817544971361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25</v>
          </cell>
        </row>
        <row r="501">
          <cell r="F501" t="str">
            <v>WXREV</v>
          </cell>
        </row>
        <row r="506">
          <cell r="F506" t="str">
            <v>JUNI</v>
          </cell>
        </row>
        <row r="508">
          <cell r="F508" t="str">
            <v>BB</v>
          </cell>
          <cell r="G508" t="str">
            <v>TTD</v>
          </cell>
        </row>
        <row r="510">
          <cell r="E510">
            <v>24.4</v>
          </cell>
          <cell r="F510">
            <v>23.2</v>
          </cell>
          <cell r="G510">
            <v>22.536281516172753</v>
          </cell>
        </row>
        <row r="511">
          <cell r="E511">
            <v>26.1</v>
          </cell>
          <cell r="F511">
            <v>24.3</v>
          </cell>
          <cell r="G511">
            <v>23.397362074909108</v>
          </cell>
        </row>
        <row r="512">
          <cell r="E512">
            <v>27.4</v>
          </cell>
          <cell r="F512">
            <v>24.9</v>
          </cell>
          <cell r="G512">
            <v>23.7118407810832</v>
          </cell>
        </row>
        <row r="513">
          <cell r="E513">
            <v>28.6</v>
          </cell>
          <cell r="F513">
            <v>24.8</v>
          </cell>
          <cell r="G513">
            <v>23.011327145203094</v>
          </cell>
        </row>
        <row r="514">
          <cell r="E514">
            <v>30.1</v>
          </cell>
          <cell r="F514">
            <v>25.2</v>
          </cell>
          <cell r="G514">
            <v>22.941732713579075</v>
          </cell>
        </row>
        <row r="515">
          <cell r="E515">
            <v>31.1</v>
          </cell>
          <cell r="F515">
            <v>25.4</v>
          </cell>
          <cell r="G515">
            <v>22.793163865594536</v>
          </cell>
        </row>
        <row r="516">
          <cell r="E516">
            <v>31.8</v>
          </cell>
          <cell r="F516">
            <v>25.4</v>
          </cell>
          <cell r="G516">
            <v>22.461217290434405</v>
          </cell>
        </row>
        <row r="517">
          <cell r="E517">
            <v>31.6</v>
          </cell>
          <cell r="F517">
            <v>25.2</v>
          </cell>
          <cell r="G517">
            <v>22.228875201649902</v>
          </cell>
        </row>
        <row r="518">
          <cell r="E518">
            <v>29.4</v>
          </cell>
          <cell r="F518">
            <v>26.2</v>
          </cell>
          <cell r="G518">
            <v>24.791013339087943</v>
          </cell>
        </row>
        <row r="519">
          <cell r="E519">
            <v>28.6</v>
          </cell>
          <cell r="F519">
            <v>26.2</v>
          </cell>
          <cell r="G519">
            <v>25.126693789475187</v>
          </cell>
        </row>
        <row r="520">
          <cell r="E520">
            <v>27.6</v>
          </cell>
          <cell r="F520">
            <v>25.8</v>
          </cell>
          <cell r="G520">
            <v>24.959139380333962</v>
          </cell>
        </row>
        <row r="521">
          <cell r="E521">
            <v>27.4</v>
          </cell>
          <cell r="F521">
            <v>25.6</v>
          </cell>
          <cell r="G521">
            <v>24.751230598214192</v>
          </cell>
        </row>
        <row r="522">
          <cell r="E522">
            <v>26.6</v>
          </cell>
          <cell r="F522">
            <v>25.4</v>
          </cell>
          <cell r="G522">
            <v>24.798771745606889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26.6</v>
          </cell>
        </row>
        <row r="537">
          <cell r="F537" t="str">
            <v>WXREV</v>
          </cell>
        </row>
        <row r="542">
          <cell r="F542" t="str">
            <v>JUNI</v>
          </cell>
        </row>
        <row r="544">
          <cell r="F544" t="str">
            <v>BB</v>
          </cell>
          <cell r="G544" t="str">
            <v>TTD</v>
          </cell>
        </row>
        <row r="546">
          <cell r="E546">
            <v>24</v>
          </cell>
          <cell r="F546">
            <v>23.2</v>
          </cell>
          <cell r="G546">
            <v>22.725900467116261</v>
          </cell>
        </row>
        <row r="547">
          <cell r="E547">
            <v>24.8</v>
          </cell>
          <cell r="F547">
            <v>23.8</v>
          </cell>
          <cell r="G547">
            <v>23.246174595512937</v>
          </cell>
        </row>
        <row r="548">
          <cell r="E548">
            <v>26.6</v>
          </cell>
          <cell r="F548">
            <v>24.2</v>
          </cell>
          <cell r="G548">
            <v>23.016356945678069</v>
          </cell>
        </row>
        <row r="549">
          <cell r="E549">
            <v>28.6</v>
          </cell>
          <cell r="F549">
            <v>24.4</v>
          </cell>
          <cell r="G549">
            <v>22.382571693636379</v>
          </cell>
        </row>
        <row r="550">
          <cell r="E550">
            <v>29.1</v>
          </cell>
          <cell r="F550">
            <v>24.7</v>
          </cell>
          <cell r="G550">
            <v>22.619517945782292</v>
          </cell>
        </row>
        <row r="551">
          <cell r="E551">
            <v>30.6</v>
          </cell>
          <cell r="F551">
            <v>25.4</v>
          </cell>
          <cell r="G551">
            <v>23.026747545268133</v>
          </cell>
        </row>
        <row r="552">
          <cell r="E552">
            <v>30.4</v>
          </cell>
          <cell r="F552">
            <v>25.8</v>
          </cell>
          <cell r="G552">
            <v>23.746748358606883</v>
          </cell>
        </row>
        <row r="553">
          <cell r="E553">
            <v>30.2</v>
          </cell>
          <cell r="F553">
            <v>25.7</v>
          </cell>
          <cell r="G553">
            <v>23.680904262603566</v>
          </cell>
        </row>
        <row r="554">
          <cell r="E554">
            <v>25</v>
          </cell>
          <cell r="F554">
            <v>24</v>
          </cell>
          <cell r="G554">
            <v>23.451002870250118</v>
          </cell>
        </row>
        <row r="555">
          <cell r="E555">
            <v>25.3</v>
          </cell>
          <cell r="F555">
            <v>24.1</v>
          </cell>
          <cell r="G555">
            <v>23.462870826766924</v>
          </cell>
        </row>
        <row r="556">
          <cell r="E556">
            <v>25.1</v>
          </cell>
          <cell r="F556">
            <v>24</v>
          </cell>
          <cell r="G556">
            <v>23.405550429464302</v>
          </cell>
        </row>
        <row r="557">
          <cell r="E557">
            <v>24.6</v>
          </cell>
          <cell r="F557">
            <v>23.5</v>
          </cell>
          <cell r="G557">
            <v>22.892122789540583</v>
          </cell>
        </row>
        <row r="558">
          <cell r="E558">
            <v>24.3</v>
          </cell>
          <cell r="F558">
            <v>23.6</v>
          </cell>
          <cell r="G558">
            <v>23.179943131895257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24.3</v>
          </cell>
        </row>
        <row r="573">
          <cell r="F573" t="str">
            <v>WXREV</v>
          </cell>
        </row>
        <row r="578">
          <cell r="F578" t="str">
            <v>JUNI</v>
          </cell>
        </row>
        <row r="580">
          <cell r="F580" t="str">
            <v>BB</v>
          </cell>
          <cell r="G580" t="str">
            <v>TTD</v>
          </cell>
        </row>
        <row r="582">
          <cell r="E582">
            <v>23.2</v>
          </cell>
          <cell r="F582">
            <v>22.8</v>
          </cell>
          <cell r="G582">
            <v>22.509581083658311</v>
          </cell>
        </row>
        <row r="583">
          <cell r="E583">
            <v>25.2</v>
          </cell>
          <cell r="F583">
            <v>23.2</v>
          </cell>
          <cell r="G583">
            <v>22.151221893264331</v>
          </cell>
        </row>
        <row r="584">
          <cell r="E584">
            <v>26.4</v>
          </cell>
          <cell r="F584">
            <v>24.2</v>
          </cell>
          <cell r="G584">
            <v>23.109032442757304</v>
          </cell>
        </row>
        <row r="585">
          <cell r="E585">
            <v>27.1</v>
          </cell>
          <cell r="F585">
            <v>24.5</v>
          </cell>
          <cell r="G585">
            <v>23.242228744545454</v>
          </cell>
        </row>
        <row r="586">
          <cell r="E586">
            <v>28.3</v>
          </cell>
          <cell r="F586">
            <v>25</v>
          </cell>
          <cell r="G586">
            <v>23.458036142724641</v>
          </cell>
        </row>
        <row r="587">
          <cell r="E587">
            <v>28.6</v>
          </cell>
          <cell r="F587">
            <v>24.6</v>
          </cell>
          <cell r="G587">
            <v>22.698417218039328</v>
          </cell>
        </row>
        <row r="588">
          <cell r="E588">
            <v>29.7</v>
          </cell>
          <cell r="F588">
            <v>25</v>
          </cell>
          <cell r="G588">
            <v>22.811767552763925</v>
          </cell>
        </row>
        <row r="589">
          <cell r="E589">
            <v>29.2</v>
          </cell>
          <cell r="F589">
            <v>25.8</v>
          </cell>
          <cell r="G589">
            <v>24.275779153816018</v>
          </cell>
        </row>
        <row r="590">
          <cell r="E590">
            <v>26.2</v>
          </cell>
          <cell r="F590">
            <v>25.4</v>
          </cell>
          <cell r="G590">
            <v>24.967266857285168</v>
          </cell>
        </row>
        <row r="591">
          <cell r="E591">
            <v>24.8</v>
          </cell>
          <cell r="F591">
            <v>24.8</v>
          </cell>
          <cell r="G591">
            <v>24.699785870883705</v>
          </cell>
        </row>
        <row r="592">
          <cell r="E592">
            <v>24.5</v>
          </cell>
          <cell r="F592">
            <v>23.6</v>
          </cell>
          <cell r="G592">
            <v>23.087618446210271</v>
          </cell>
        </row>
        <row r="593">
          <cell r="E593">
            <v>24.2</v>
          </cell>
          <cell r="F593">
            <v>23.6</v>
          </cell>
          <cell r="G593">
            <v>23.225937351919136</v>
          </cell>
        </row>
        <row r="594">
          <cell r="E594">
            <v>24</v>
          </cell>
          <cell r="F594">
            <v>23.4</v>
          </cell>
          <cell r="G594">
            <v>23.022986804446777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24</v>
          </cell>
        </row>
        <row r="609">
          <cell r="F609" t="str">
            <v>WXREV</v>
          </cell>
        </row>
        <row r="614">
          <cell r="F614" t="str">
            <v>JUNI</v>
          </cell>
        </row>
        <row r="616">
          <cell r="F616" t="str">
            <v>BB</v>
          </cell>
          <cell r="G616" t="str">
            <v>TTD</v>
          </cell>
        </row>
        <row r="618">
          <cell r="E618">
            <v>24.2</v>
          </cell>
          <cell r="F618">
            <v>23.4</v>
          </cell>
          <cell r="G618">
            <v>22.929892936995007</v>
          </cell>
        </row>
        <row r="619">
          <cell r="E619">
            <v>26.4</v>
          </cell>
          <cell r="F619">
            <v>24.6</v>
          </cell>
          <cell r="G619">
            <v>23.710183186275557</v>
          </cell>
        </row>
        <row r="620">
          <cell r="E620">
            <v>27.8</v>
          </cell>
          <cell r="F620">
            <v>24.8</v>
          </cell>
          <cell r="G620">
            <v>23.379452040413032</v>
          </cell>
        </row>
        <row r="621">
          <cell r="E621">
            <v>28.4</v>
          </cell>
          <cell r="F621">
            <v>25</v>
          </cell>
          <cell r="G621">
            <v>23.412597481878489</v>
          </cell>
        </row>
        <row r="622">
          <cell r="E622">
            <v>28.8</v>
          </cell>
          <cell r="F622">
            <v>25.3</v>
          </cell>
          <cell r="G622">
            <v>23.691896911833854</v>
          </cell>
        </row>
        <row r="623">
          <cell r="E623">
            <v>29.4</v>
          </cell>
          <cell r="F623">
            <v>25.4</v>
          </cell>
          <cell r="G623">
            <v>23.575872804337322</v>
          </cell>
        </row>
        <row r="624">
          <cell r="E624">
            <v>28.2</v>
          </cell>
          <cell r="F624">
            <v>25</v>
          </cell>
          <cell r="G624">
            <v>23.503366381695525</v>
          </cell>
        </row>
        <row r="625">
          <cell r="E625">
            <v>28.2</v>
          </cell>
          <cell r="F625">
            <v>24.8</v>
          </cell>
          <cell r="G625">
            <v>23.196283144013933</v>
          </cell>
        </row>
        <row r="626">
          <cell r="E626">
            <v>27.4</v>
          </cell>
          <cell r="F626">
            <v>24.2</v>
          </cell>
          <cell r="G626">
            <v>22.64104632271264</v>
          </cell>
        </row>
        <row r="627">
          <cell r="E627">
            <v>25.6</v>
          </cell>
          <cell r="F627">
            <v>23.8</v>
          </cell>
          <cell r="G627">
            <v>22.875450234951316</v>
          </cell>
        </row>
        <row r="628">
          <cell r="E628">
            <v>25</v>
          </cell>
          <cell r="F628">
            <v>23.4</v>
          </cell>
          <cell r="G628">
            <v>22.552863273036831</v>
          </cell>
        </row>
        <row r="629">
          <cell r="E629">
            <v>24.8</v>
          </cell>
          <cell r="F629">
            <v>23.4</v>
          </cell>
          <cell r="G629">
            <v>22.647828842860125</v>
          </cell>
        </row>
        <row r="630">
          <cell r="E630">
            <v>24</v>
          </cell>
          <cell r="F630">
            <v>23</v>
          </cell>
          <cell r="G630">
            <v>22.426257580226199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24</v>
          </cell>
        </row>
        <row r="645">
          <cell r="F645" t="str">
            <v>WXREV</v>
          </cell>
        </row>
        <row r="650">
          <cell r="F650" t="str">
            <v>JUNI</v>
          </cell>
        </row>
        <row r="652">
          <cell r="F652" t="str">
            <v>BB</v>
          </cell>
          <cell r="G652" t="str">
            <v>TTD</v>
          </cell>
        </row>
        <row r="654">
          <cell r="E654">
            <v>23.7</v>
          </cell>
          <cell r="F654">
            <v>22.7</v>
          </cell>
          <cell r="G654">
            <v>22.118531649149201</v>
          </cell>
        </row>
        <row r="655">
          <cell r="E655">
            <v>25.7</v>
          </cell>
          <cell r="F655">
            <v>23.9</v>
          </cell>
          <cell r="G655">
            <v>22.979887879905885</v>
          </cell>
        </row>
        <row r="656">
          <cell r="E656">
            <v>26.7</v>
          </cell>
          <cell r="F656">
            <v>24.4</v>
          </cell>
          <cell r="G656">
            <v>23.273910219606915</v>
          </cell>
        </row>
        <row r="657">
          <cell r="E657">
            <v>28.3</v>
          </cell>
          <cell r="F657">
            <v>25</v>
          </cell>
          <cell r="G657">
            <v>23.458036142724641</v>
          </cell>
        </row>
        <row r="658">
          <cell r="E658">
            <v>29.1</v>
          </cell>
          <cell r="F658">
            <v>25</v>
          </cell>
          <cell r="G658">
            <v>23.091443449890949</v>
          </cell>
        </row>
        <row r="659">
          <cell r="E659">
            <v>29.6</v>
          </cell>
          <cell r="F659">
            <v>25.1</v>
          </cell>
          <cell r="G659">
            <v>23.016448789361732</v>
          </cell>
        </row>
        <row r="660">
          <cell r="E660">
            <v>30.1</v>
          </cell>
          <cell r="F660">
            <v>25.5</v>
          </cell>
          <cell r="G660">
            <v>23.414268349656943</v>
          </cell>
        </row>
        <row r="661">
          <cell r="E661">
            <v>30</v>
          </cell>
          <cell r="F661">
            <v>25.7</v>
          </cell>
          <cell r="G661">
            <v>23.770408878818561</v>
          </cell>
        </row>
        <row r="662">
          <cell r="E662">
            <v>29.2</v>
          </cell>
          <cell r="F662">
            <v>25.9</v>
          </cell>
          <cell r="G662">
            <v>24.426638316096405</v>
          </cell>
        </row>
        <row r="663">
          <cell r="E663">
            <v>27.9</v>
          </cell>
          <cell r="F663">
            <v>25.5</v>
          </cell>
          <cell r="G663">
            <v>24.389647873477603</v>
          </cell>
        </row>
        <row r="664">
          <cell r="E664">
            <v>26.9</v>
          </cell>
          <cell r="F664">
            <v>25</v>
          </cell>
          <cell r="G664">
            <v>24.083040017724613</v>
          </cell>
        </row>
        <row r="665">
          <cell r="E665">
            <v>25.7</v>
          </cell>
          <cell r="F665">
            <v>24.5</v>
          </cell>
          <cell r="G665">
            <v>23.874222865361531</v>
          </cell>
        </row>
        <row r="666">
          <cell r="E666">
            <v>25.2</v>
          </cell>
          <cell r="F666">
            <v>24.3</v>
          </cell>
          <cell r="G666">
            <v>23.802754997291437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25.2</v>
          </cell>
        </row>
        <row r="681">
          <cell r="F681" t="str">
            <v>WXREV</v>
          </cell>
        </row>
        <row r="686">
          <cell r="F686" t="str">
            <v>JUNI</v>
          </cell>
        </row>
        <row r="688">
          <cell r="F688" t="str">
            <v>BB</v>
          </cell>
          <cell r="G688" t="str">
            <v>TTD</v>
          </cell>
        </row>
        <row r="690">
          <cell r="E690">
            <v>24.1</v>
          </cell>
          <cell r="F690">
            <v>23.4</v>
          </cell>
          <cell r="G690">
            <v>22.976497121725625</v>
          </cell>
        </row>
        <row r="691">
          <cell r="E691">
            <v>25.6</v>
          </cell>
          <cell r="F691">
            <v>24.3</v>
          </cell>
          <cell r="G691">
            <v>23.623646261428956</v>
          </cell>
        </row>
        <row r="692">
          <cell r="E692">
            <v>27</v>
          </cell>
          <cell r="F692">
            <v>24.3</v>
          </cell>
          <cell r="G692">
            <v>22.983124403430299</v>
          </cell>
        </row>
        <row r="693">
          <cell r="E693">
            <v>28.9</v>
          </cell>
          <cell r="F693">
            <v>24.3</v>
          </cell>
          <cell r="G693">
            <v>22.07761858552043</v>
          </cell>
        </row>
        <row r="694">
          <cell r="E694">
            <v>30.3</v>
          </cell>
          <cell r="F694">
            <v>25.1</v>
          </cell>
          <cell r="G694">
            <v>22.688443801576025</v>
          </cell>
        </row>
        <row r="695">
          <cell r="E695">
            <v>29.9</v>
          </cell>
          <cell r="F695">
            <v>24.6</v>
          </cell>
          <cell r="G695">
            <v>22.07406509164646</v>
          </cell>
        </row>
        <row r="696">
          <cell r="E696">
            <v>30.9</v>
          </cell>
          <cell r="F696">
            <v>25.1</v>
          </cell>
          <cell r="G696">
            <v>22.402689186927148</v>
          </cell>
        </row>
        <row r="697">
          <cell r="E697">
            <v>30.6</v>
          </cell>
          <cell r="F697">
            <v>25.6</v>
          </cell>
          <cell r="G697">
            <v>23.343395747115117</v>
          </cell>
        </row>
        <row r="698">
          <cell r="E698">
            <v>29.8</v>
          </cell>
          <cell r="F698">
            <v>25</v>
          </cell>
          <cell r="G698">
            <v>22.764750111093644</v>
          </cell>
        </row>
        <row r="699">
          <cell r="E699">
            <v>28.9</v>
          </cell>
          <cell r="F699">
            <v>24.3</v>
          </cell>
          <cell r="G699">
            <v>22.07761858552043</v>
          </cell>
        </row>
        <row r="700">
          <cell r="E700">
            <v>27.2</v>
          </cell>
          <cell r="F700">
            <v>24</v>
          </cell>
          <cell r="G700">
            <v>22.424951840849836</v>
          </cell>
        </row>
        <row r="701">
          <cell r="E701">
            <v>26.2</v>
          </cell>
          <cell r="F701">
            <v>24</v>
          </cell>
          <cell r="G701">
            <v>22.898249002326494</v>
          </cell>
        </row>
        <row r="702">
          <cell r="E702">
            <v>25.4</v>
          </cell>
          <cell r="F702">
            <v>23.8</v>
          </cell>
          <cell r="G702">
            <v>22.968814165589823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25.4</v>
          </cell>
        </row>
        <row r="717">
          <cell r="F717" t="str">
            <v>WXREV</v>
          </cell>
        </row>
        <row r="722">
          <cell r="F722" t="str">
            <v>JUNI</v>
          </cell>
        </row>
        <row r="724">
          <cell r="F724" t="str">
            <v>BB</v>
          </cell>
          <cell r="G724" t="str">
            <v>TTD</v>
          </cell>
        </row>
        <row r="726">
          <cell r="E726">
            <v>24</v>
          </cell>
          <cell r="F726">
            <v>22.6</v>
          </cell>
          <cell r="G726">
            <v>21.818982335509961</v>
          </cell>
        </row>
        <row r="727">
          <cell r="E727">
            <v>25.5</v>
          </cell>
          <cell r="F727">
            <v>23.4</v>
          </cell>
          <cell r="G727">
            <v>22.313334889750408</v>
          </cell>
        </row>
        <row r="728">
          <cell r="E728">
            <v>27</v>
          </cell>
          <cell r="F728">
            <v>24</v>
          </cell>
          <cell r="G728">
            <v>22.520565860984291</v>
          </cell>
        </row>
        <row r="729">
          <cell r="E729">
            <v>29.2</v>
          </cell>
          <cell r="F729">
            <v>23.8</v>
          </cell>
          <cell r="G729">
            <v>21.110504772755601</v>
          </cell>
        </row>
        <row r="730">
          <cell r="E730">
            <v>30.4</v>
          </cell>
          <cell r="F730">
            <v>24.2</v>
          </cell>
          <cell r="G730">
            <v>21.162935778277308</v>
          </cell>
        </row>
        <row r="731">
          <cell r="E731">
            <v>30.8</v>
          </cell>
          <cell r="F731">
            <v>24.7</v>
          </cell>
          <cell r="G731">
            <v>21.795280440319502</v>
          </cell>
        </row>
        <row r="732">
          <cell r="E732">
            <v>30.8</v>
          </cell>
          <cell r="F732">
            <v>24.3</v>
          </cell>
          <cell r="G732">
            <v>21.12624143647675</v>
          </cell>
        </row>
        <row r="733">
          <cell r="E733">
            <v>30.8</v>
          </cell>
          <cell r="F733">
            <v>24.4</v>
          </cell>
          <cell r="G733">
            <v>21.294837240921414</v>
          </cell>
        </row>
        <row r="734">
          <cell r="E734">
            <v>30.8</v>
          </cell>
          <cell r="F734">
            <v>24.4</v>
          </cell>
          <cell r="G734">
            <v>21.294837240921414</v>
          </cell>
        </row>
        <row r="735">
          <cell r="E735">
            <v>30.4</v>
          </cell>
          <cell r="F735">
            <v>24.2</v>
          </cell>
          <cell r="G735">
            <v>21.162935778277308</v>
          </cell>
        </row>
        <row r="736">
          <cell r="E736">
            <v>28.6</v>
          </cell>
          <cell r="F736">
            <v>24.6</v>
          </cell>
          <cell r="G736">
            <v>22.698417218039328</v>
          </cell>
        </row>
        <row r="737">
          <cell r="E737">
            <v>27.6</v>
          </cell>
          <cell r="F737">
            <v>24.6</v>
          </cell>
          <cell r="G737">
            <v>23.165015271595813</v>
          </cell>
        </row>
        <row r="738">
          <cell r="E738">
            <v>27.4</v>
          </cell>
          <cell r="F738">
            <v>24.4</v>
          </cell>
          <cell r="G738">
            <v>22.950390620266091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27.4</v>
          </cell>
        </row>
        <row r="753">
          <cell r="F753" t="str">
            <v>WXREV</v>
          </cell>
        </row>
        <row r="758">
          <cell r="F758" t="str">
            <v>JUNI</v>
          </cell>
        </row>
        <row r="760">
          <cell r="F760" t="str">
            <v>BB</v>
          </cell>
          <cell r="G760" t="str">
            <v>TTD</v>
          </cell>
        </row>
        <row r="762">
          <cell r="E762">
            <v>24.6</v>
          </cell>
          <cell r="F762">
            <v>22.8</v>
          </cell>
          <cell r="G762">
            <v>21.829495781399554</v>
          </cell>
        </row>
        <row r="763">
          <cell r="E763">
            <v>26.2</v>
          </cell>
          <cell r="F763">
            <v>23.8</v>
          </cell>
          <cell r="G763">
            <v>22.592558509173742</v>
          </cell>
        </row>
        <row r="764">
          <cell r="E764">
            <v>28</v>
          </cell>
          <cell r="F764">
            <v>24.2</v>
          </cell>
          <cell r="G764">
            <v>22.354583733692817</v>
          </cell>
        </row>
        <row r="765">
          <cell r="E765">
            <v>29.2</v>
          </cell>
          <cell r="F765">
            <v>24.6</v>
          </cell>
          <cell r="G765">
            <v>22.412824160138996</v>
          </cell>
        </row>
        <row r="766">
          <cell r="E766">
            <v>29.2</v>
          </cell>
          <cell r="F766">
            <v>24</v>
          </cell>
          <cell r="G766">
            <v>21.44106467360707</v>
          </cell>
        </row>
        <row r="767">
          <cell r="E767">
            <v>30.2</v>
          </cell>
          <cell r="F767">
            <v>24.2</v>
          </cell>
          <cell r="G767">
            <v>21.265190011597987</v>
          </cell>
        </row>
        <row r="768">
          <cell r="E768">
            <v>30.8</v>
          </cell>
          <cell r="F768">
            <v>24.3</v>
          </cell>
          <cell r="G768">
            <v>21.12624143647675</v>
          </cell>
        </row>
        <row r="769">
          <cell r="E769">
            <v>31</v>
          </cell>
          <cell r="F769">
            <v>24</v>
          </cell>
          <cell r="G769">
            <v>20.508989309109545</v>
          </cell>
        </row>
        <row r="770">
          <cell r="E770">
            <v>31</v>
          </cell>
          <cell r="F770">
            <v>24</v>
          </cell>
          <cell r="G770">
            <v>20.508989309109545</v>
          </cell>
        </row>
        <row r="771">
          <cell r="E771">
            <v>30.3</v>
          </cell>
          <cell r="F771">
            <v>24.6</v>
          </cell>
          <cell r="G771">
            <v>21.877711058482507</v>
          </cell>
        </row>
        <row r="772">
          <cell r="E772">
            <v>28.9</v>
          </cell>
          <cell r="F772">
            <v>24.4</v>
          </cell>
          <cell r="G772">
            <v>22.23790416583001</v>
          </cell>
        </row>
        <row r="773">
          <cell r="E773">
            <v>27.5</v>
          </cell>
          <cell r="F773">
            <v>24</v>
          </cell>
          <cell r="G773">
            <v>22.280614582943233</v>
          </cell>
        </row>
        <row r="774">
          <cell r="E774">
            <v>27</v>
          </cell>
          <cell r="F774">
            <v>23.6</v>
          </cell>
          <cell r="G774">
            <v>21.893778896731295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27</v>
          </cell>
        </row>
        <row r="789">
          <cell r="F789" t="str">
            <v>WXREV</v>
          </cell>
        </row>
        <row r="794">
          <cell r="F794" t="str">
            <v>JUNI</v>
          </cell>
        </row>
        <row r="796">
          <cell r="F796" t="str">
            <v>BB</v>
          </cell>
          <cell r="G796" t="str">
            <v>TTD</v>
          </cell>
        </row>
        <row r="798">
          <cell r="E798">
            <v>23.7</v>
          </cell>
          <cell r="F798">
            <v>22.1</v>
          </cell>
          <cell r="G798">
            <v>21.198152323005178</v>
          </cell>
        </row>
        <row r="799">
          <cell r="E799">
            <v>25.1</v>
          </cell>
          <cell r="F799">
            <v>22.8</v>
          </cell>
          <cell r="G799">
            <v>21.580509743183754</v>
          </cell>
        </row>
        <row r="800">
          <cell r="E800">
            <v>27</v>
          </cell>
          <cell r="F800">
            <v>24</v>
          </cell>
          <cell r="G800">
            <v>22.520565860984291</v>
          </cell>
        </row>
        <row r="801">
          <cell r="E801">
            <v>29.2</v>
          </cell>
          <cell r="F801">
            <v>24.7</v>
          </cell>
          <cell r="G801">
            <v>22.572019626566767</v>
          </cell>
        </row>
        <row r="802">
          <cell r="E802">
            <v>29.3</v>
          </cell>
          <cell r="F802">
            <v>25</v>
          </cell>
          <cell r="G802">
            <v>22.998676685198461</v>
          </cell>
        </row>
        <row r="803">
          <cell r="E803">
            <v>29.6</v>
          </cell>
          <cell r="F803">
            <v>25</v>
          </cell>
          <cell r="G803">
            <v>22.858668311959782</v>
          </cell>
        </row>
        <row r="804">
          <cell r="E804">
            <v>30.8</v>
          </cell>
          <cell r="F804">
            <v>25.1</v>
          </cell>
          <cell r="G804">
            <v>22.450616739376258</v>
          </cell>
        </row>
        <row r="805">
          <cell r="E805">
            <v>29.9</v>
          </cell>
          <cell r="F805">
            <v>24.4</v>
          </cell>
          <cell r="G805">
            <v>21.747474325005232</v>
          </cell>
        </row>
        <row r="806">
          <cell r="E806">
            <v>29.7</v>
          </cell>
          <cell r="F806">
            <v>25</v>
          </cell>
          <cell r="G806">
            <v>22.811767552763925</v>
          </cell>
        </row>
        <row r="807">
          <cell r="E807">
            <v>28.5</v>
          </cell>
          <cell r="F807">
            <v>24.3</v>
          </cell>
          <cell r="G807">
            <v>22.2719012665546</v>
          </cell>
        </row>
        <row r="808">
          <cell r="E808">
            <v>27.3</v>
          </cell>
          <cell r="F808">
            <v>24.3</v>
          </cell>
          <cell r="G808">
            <v>22.843006922506021</v>
          </cell>
        </row>
        <row r="809">
          <cell r="E809">
            <v>26.3</v>
          </cell>
          <cell r="F809">
            <v>23.9</v>
          </cell>
          <cell r="G809">
            <v>22.698565399467725</v>
          </cell>
        </row>
        <row r="810">
          <cell r="E810">
            <v>25.2</v>
          </cell>
          <cell r="F810">
            <v>23.9</v>
          </cell>
          <cell r="G810">
            <v>23.211169684950409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25.2</v>
          </cell>
        </row>
        <row r="825">
          <cell r="F825" t="str">
            <v>WXREV</v>
          </cell>
        </row>
        <row r="830">
          <cell r="F830" t="str">
            <v>JUNI</v>
          </cell>
        </row>
        <row r="832">
          <cell r="F832" t="str">
            <v>BB</v>
          </cell>
          <cell r="G832" t="str">
            <v>TTD</v>
          </cell>
        </row>
        <row r="834">
          <cell r="E834">
            <v>24</v>
          </cell>
          <cell r="F834">
            <v>23</v>
          </cell>
          <cell r="G834">
            <v>22.426257580226199</v>
          </cell>
        </row>
        <row r="835">
          <cell r="E835">
            <v>25.7</v>
          </cell>
          <cell r="F835">
            <v>23.7</v>
          </cell>
          <cell r="G835">
            <v>22.676636327438867</v>
          </cell>
        </row>
        <row r="836">
          <cell r="E836">
            <v>27.1</v>
          </cell>
          <cell r="F836">
            <v>23.8</v>
          </cell>
          <cell r="G836">
            <v>22.160100545770419</v>
          </cell>
        </row>
        <row r="837">
          <cell r="E837">
            <v>28.8</v>
          </cell>
          <cell r="F837">
            <v>24.3</v>
          </cell>
          <cell r="G837">
            <v>22.126377822990293</v>
          </cell>
        </row>
        <row r="838">
          <cell r="E838">
            <v>29.4</v>
          </cell>
          <cell r="F838">
            <v>24.2</v>
          </cell>
          <cell r="G838">
            <v>21.668699112332721</v>
          </cell>
        </row>
        <row r="839">
          <cell r="E839">
            <v>29.7</v>
          </cell>
          <cell r="F839">
            <v>24.4</v>
          </cell>
          <cell r="G839">
            <v>21.84659101508656</v>
          </cell>
        </row>
        <row r="840">
          <cell r="E840">
            <v>29.6</v>
          </cell>
          <cell r="F840">
            <v>24.5</v>
          </cell>
          <cell r="G840">
            <v>22.058377213189214</v>
          </cell>
        </row>
        <row r="841">
          <cell r="E841">
            <v>29.6</v>
          </cell>
          <cell r="F841">
            <v>24.2</v>
          </cell>
          <cell r="G841">
            <v>21.568635253270578</v>
          </cell>
        </row>
        <row r="842">
          <cell r="E842">
            <v>29</v>
          </cell>
          <cell r="F842">
            <v>24.2</v>
          </cell>
          <cell r="G842">
            <v>21.867237103039482</v>
          </cell>
        </row>
        <row r="843">
          <cell r="E843">
            <v>28.6</v>
          </cell>
          <cell r="F843">
            <v>23.8</v>
          </cell>
          <cell r="G843">
            <v>21.416446175167959</v>
          </cell>
        </row>
        <row r="844">
          <cell r="E844">
            <v>27.6</v>
          </cell>
          <cell r="F844">
            <v>24</v>
          </cell>
          <cell r="G844">
            <v>22.232255136844188</v>
          </cell>
        </row>
        <row r="845">
          <cell r="E845">
            <v>26.8</v>
          </cell>
          <cell r="F845">
            <v>23.8</v>
          </cell>
          <cell r="G845">
            <v>22.305359709723426</v>
          </cell>
        </row>
        <row r="846">
          <cell r="E846">
            <v>26.2</v>
          </cell>
          <cell r="F846">
            <v>23.6</v>
          </cell>
          <cell r="G846">
            <v>22.284100970206715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26.2</v>
          </cell>
        </row>
        <row r="861">
          <cell r="F861" t="str">
            <v>WXREV</v>
          </cell>
        </row>
        <row r="866">
          <cell r="F866" t="str">
            <v>JUNI</v>
          </cell>
        </row>
        <row r="868">
          <cell r="F868" t="str">
            <v>BB</v>
          </cell>
          <cell r="G868" t="str">
            <v>TTD</v>
          </cell>
        </row>
        <row r="870">
          <cell r="E870">
            <v>24</v>
          </cell>
          <cell r="F870">
            <v>22.4</v>
          </cell>
          <cell r="G870">
            <v>21.511181316989337</v>
          </cell>
        </row>
        <row r="871">
          <cell r="E871">
            <v>25.2</v>
          </cell>
          <cell r="F871">
            <v>23.2</v>
          </cell>
          <cell r="G871">
            <v>22.151221893264331</v>
          </cell>
        </row>
        <row r="872">
          <cell r="E872">
            <v>26.4</v>
          </cell>
          <cell r="F872">
            <v>23.6</v>
          </cell>
          <cell r="G872">
            <v>22.18727787108098</v>
          </cell>
        </row>
        <row r="873">
          <cell r="E873">
            <v>27.8</v>
          </cell>
          <cell r="F873">
            <v>24</v>
          </cell>
          <cell r="G873">
            <v>22.135161586316389</v>
          </cell>
        </row>
        <row r="874">
          <cell r="E874">
            <v>29.4</v>
          </cell>
          <cell r="F874">
            <v>24.6</v>
          </cell>
          <cell r="G874">
            <v>22.316656612844575</v>
          </cell>
        </row>
        <row r="875">
          <cell r="E875">
            <v>29.8</v>
          </cell>
          <cell r="F875">
            <v>24.6</v>
          </cell>
          <cell r="G875">
            <v>22.122834462404985</v>
          </cell>
        </row>
        <row r="876">
          <cell r="E876">
            <v>29.8</v>
          </cell>
          <cell r="F876">
            <v>24.9</v>
          </cell>
          <cell r="G876">
            <v>22.605433638695846</v>
          </cell>
        </row>
        <row r="877">
          <cell r="E877">
            <v>29.6</v>
          </cell>
          <cell r="F877">
            <v>25.4</v>
          </cell>
          <cell r="G877">
            <v>23.485447924589423</v>
          </cell>
        </row>
        <row r="878">
          <cell r="E878">
            <v>28.9</v>
          </cell>
          <cell r="F878">
            <v>25.6</v>
          </cell>
          <cell r="G878">
            <v>24.104211487776798</v>
          </cell>
        </row>
        <row r="879">
          <cell r="E879">
            <v>28.6</v>
          </cell>
          <cell r="F879">
            <v>25</v>
          </cell>
          <cell r="G879">
            <v>23.321392650725961</v>
          </cell>
        </row>
        <row r="880">
          <cell r="E880">
            <v>27.6</v>
          </cell>
          <cell r="F880">
            <v>24</v>
          </cell>
          <cell r="G880">
            <v>22.232255136844188</v>
          </cell>
        </row>
        <row r="881">
          <cell r="E881">
            <v>27.1</v>
          </cell>
          <cell r="F881">
            <v>24</v>
          </cell>
          <cell r="G881">
            <v>22.472819487579862</v>
          </cell>
        </row>
        <row r="882">
          <cell r="E882">
            <v>26.2</v>
          </cell>
          <cell r="F882">
            <v>24</v>
          </cell>
          <cell r="G882">
            <v>22.898249002326494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26.2</v>
          </cell>
        </row>
        <row r="897">
          <cell r="F897" t="str">
            <v>WXREV</v>
          </cell>
        </row>
        <row r="902">
          <cell r="F902" t="str">
            <v>JUNI</v>
          </cell>
        </row>
        <row r="904">
          <cell r="F904" t="str">
            <v>BB</v>
          </cell>
          <cell r="G904" t="str">
            <v>TTD</v>
          </cell>
        </row>
        <row r="906">
          <cell r="E906">
            <v>24</v>
          </cell>
          <cell r="F906">
            <v>23</v>
          </cell>
          <cell r="G906">
            <v>22.426257580226199</v>
          </cell>
        </row>
        <row r="907">
          <cell r="E907">
            <v>25.6</v>
          </cell>
          <cell r="F907">
            <v>23.8</v>
          </cell>
          <cell r="G907">
            <v>22.875450234951316</v>
          </cell>
        </row>
        <row r="908">
          <cell r="E908">
            <v>26.8</v>
          </cell>
          <cell r="F908">
            <v>24</v>
          </cell>
          <cell r="G908">
            <v>22.615697420007322</v>
          </cell>
        </row>
        <row r="909">
          <cell r="E909">
            <v>28.4</v>
          </cell>
          <cell r="F909">
            <v>24.5</v>
          </cell>
          <cell r="G909">
            <v>22.635899802692006</v>
          </cell>
        </row>
        <row r="910">
          <cell r="E910">
            <v>29.2</v>
          </cell>
          <cell r="F910">
            <v>24.5</v>
          </cell>
          <cell r="G910">
            <v>22.25286027093837</v>
          </cell>
        </row>
        <row r="911">
          <cell r="E911">
            <v>28.2</v>
          </cell>
          <cell r="F911">
            <v>24.3</v>
          </cell>
          <cell r="G911">
            <v>22.416307835567977</v>
          </cell>
        </row>
        <row r="912">
          <cell r="E912">
            <v>29</v>
          </cell>
          <cell r="F912">
            <v>25</v>
          </cell>
          <cell r="G912">
            <v>23.13765699199967</v>
          </cell>
        </row>
        <row r="913">
          <cell r="E913">
            <v>27.8</v>
          </cell>
          <cell r="F913">
            <v>24.8</v>
          </cell>
          <cell r="G913">
            <v>23.379452040413032</v>
          </cell>
        </row>
        <row r="914">
          <cell r="E914">
            <v>27</v>
          </cell>
          <cell r="F914">
            <v>24.4</v>
          </cell>
          <cell r="G914">
            <v>23.135934889422426</v>
          </cell>
        </row>
        <row r="915">
          <cell r="E915">
            <v>26</v>
          </cell>
          <cell r="F915">
            <v>24.4</v>
          </cell>
          <cell r="G915">
            <v>23.592004375769026</v>
          </cell>
        </row>
        <row r="916">
          <cell r="E916">
            <v>25.8</v>
          </cell>
          <cell r="F916">
            <v>24.2</v>
          </cell>
          <cell r="G916">
            <v>23.384370540910407</v>
          </cell>
        </row>
        <row r="917">
          <cell r="E917">
            <v>25.4</v>
          </cell>
          <cell r="F917">
            <v>24</v>
          </cell>
          <cell r="G917">
            <v>23.268536476619335</v>
          </cell>
        </row>
        <row r="918">
          <cell r="E918">
            <v>24.8</v>
          </cell>
          <cell r="F918">
            <v>23.4</v>
          </cell>
          <cell r="G918">
            <v>22.647828842860125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24.8</v>
          </cell>
        </row>
        <row r="933">
          <cell r="F933" t="str">
            <v>WXREV</v>
          </cell>
        </row>
        <row r="938">
          <cell r="F938" t="str">
            <v>JUNI</v>
          </cell>
        </row>
        <row r="940">
          <cell r="F940" t="str">
            <v>BB</v>
          </cell>
          <cell r="G940" t="str">
            <v>TTD</v>
          </cell>
        </row>
        <row r="942">
          <cell r="E942">
            <v>23.8</v>
          </cell>
          <cell r="F942">
            <v>23.2</v>
          </cell>
          <cell r="G942">
            <v>22.82000049036704</v>
          </cell>
        </row>
        <row r="943">
          <cell r="E943">
            <v>25.3</v>
          </cell>
          <cell r="F943">
            <v>24</v>
          </cell>
          <cell r="G943">
            <v>23.314317799816159</v>
          </cell>
        </row>
        <row r="944">
          <cell r="E944">
            <v>26.9</v>
          </cell>
          <cell r="F944">
            <v>24.1</v>
          </cell>
          <cell r="G944">
            <v>22.722687846713878</v>
          </cell>
        </row>
        <row r="945">
          <cell r="E945">
            <v>27.4</v>
          </cell>
          <cell r="F945">
            <v>23.9</v>
          </cell>
          <cell r="G945">
            <v>22.171653956910621</v>
          </cell>
        </row>
        <row r="946">
          <cell r="E946">
            <v>28.2</v>
          </cell>
          <cell r="F946">
            <v>24.2</v>
          </cell>
          <cell r="G946">
            <v>22.258119917094085</v>
          </cell>
        </row>
        <row r="947">
          <cell r="E947">
            <v>28.8</v>
          </cell>
          <cell r="F947">
            <v>24.5</v>
          </cell>
          <cell r="G947">
            <v>22.445353361664548</v>
          </cell>
        </row>
        <row r="948">
          <cell r="E948">
            <v>28</v>
          </cell>
          <cell r="F948">
            <v>24</v>
          </cell>
          <cell r="G948">
            <v>22.037563837182521</v>
          </cell>
        </row>
        <row r="949">
          <cell r="E949">
            <v>27.8</v>
          </cell>
          <cell r="F949">
            <v>23.7</v>
          </cell>
          <cell r="G949">
            <v>21.656344429686591</v>
          </cell>
        </row>
        <row r="950">
          <cell r="E950">
            <v>27.8</v>
          </cell>
          <cell r="F950">
            <v>23.6</v>
          </cell>
          <cell r="G950">
            <v>21.495161498275294</v>
          </cell>
        </row>
        <row r="951">
          <cell r="E951">
            <v>27.6</v>
          </cell>
          <cell r="F951">
            <v>23.4</v>
          </cell>
          <cell r="G951">
            <v>21.272559563855115</v>
          </cell>
        </row>
        <row r="952">
          <cell r="E952">
            <v>26.8</v>
          </cell>
          <cell r="F952">
            <v>23</v>
          </cell>
          <cell r="G952">
            <v>21.034052976354666</v>
          </cell>
        </row>
        <row r="953">
          <cell r="E953">
            <v>26.4</v>
          </cell>
          <cell r="F953">
            <v>22.8</v>
          </cell>
          <cell r="G953">
            <v>20.917179865716676</v>
          </cell>
        </row>
        <row r="954">
          <cell r="E954">
            <v>26.2</v>
          </cell>
          <cell r="F954">
            <v>22.8</v>
          </cell>
          <cell r="G954">
            <v>21.020779142687349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26.2</v>
          </cell>
        </row>
        <row r="969">
          <cell r="F969" t="str">
            <v>WXREV</v>
          </cell>
        </row>
        <row r="974">
          <cell r="F974" t="str">
            <v>JUNI</v>
          </cell>
        </row>
        <row r="976">
          <cell r="F976" t="str">
            <v>BB</v>
          </cell>
          <cell r="G976" t="str">
            <v>TTD</v>
          </cell>
        </row>
        <row r="978">
          <cell r="E978">
            <v>23.2</v>
          </cell>
          <cell r="F978">
            <v>21.6</v>
          </cell>
          <cell r="G978">
            <v>20.675874811421782</v>
          </cell>
        </row>
        <row r="979">
          <cell r="E979">
            <v>25.4</v>
          </cell>
          <cell r="F979">
            <v>21.9</v>
          </cell>
          <cell r="G979">
            <v>19.979277815130907</v>
          </cell>
        </row>
        <row r="980">
          <cell r="E980">
            <v>27</v>
          </cell>
          <cell r="F980">
            <v>22.6</v>
          </cell>
          <cell r="G980">
            <v>20.271748407068376</v>
          </cell>
        </row>
        <row r="981">
          <cell r="E981">
            <v>27.6</v>
          </cell>
          <cell r="F981">
            <v>22.3</v>
          </cell>
          <cell r="G981">
            <v>19.433660472768377</v>
          </cell>
        </row>
        <row r="982">
          <cell r="E982">
            <v>28.6</v>
          </cell>
          <cell r="F982">
            <v>23.2</v>
          </cell>
          <cell r="G982">
            <v>20.420189969101443</v>
          </cell>
        </row>
        <row r="983">
          <cell r="E983">
            <v>28.8</v>
          </cell>
          <cell r="F983">
            <v>23.5</v>
          </cell>
          <cell r="G983">
            <v>20.818121940520413</v>
          </cell>
        </row>
        <row r="984">
          <cell r="E984">
            <v>29.3</v>
          </cell>
          <cell r="F984">
            <v>23.5</v>
          </cell>
          <cell r="G984">
            <v>20.555151902502885</v>
          </cell>
        </row>
        <row r="985">
          <cell r="E985">
            <v>30</v>
          </cell>
          <cell r="F985">
            <v>23.6</v>
          </cell>
          <cell r="G985">
            <v>20.3529113362864</v>
          </cell>
        </row>
        <row r="986">
          <cell r="E986">
            <v>29.2</v>
          </cell>
          <cell r="F986">
            <v>23.1</v>
          </cell>
          <cell r="G986">
            <v>19.925079415693265</v>
          </cell>
        </row>
        <row r="987">
          <cell r="E987">
            <v>28.2</v>
          </cell>
          <cell r="F987">
            <v>22.6</v>
          </cell>
          <cell r="G987">
            <v>19.614827236180819</v>
          </cell>
        </row>
        <row r="988">
          <cell r="E988">
            <v>27.8</v>
          </cell>
          <cell r="F988">
            <v>23</v>
          </cell>
          <cell r="G988">
            <v>20.510558597962596</v>
          </cell>
        </row>
        <row r="989">
          <cell r="E989">
            <v>26.3</v>
          </cell>
          <cell r="F989">
            <v>22.8</v>
          </cell>
          <cell r="G989">
            <v>20.9690515715928</v>
          </cell>
        </row>
        <row r="990">
          <cell r="E990">
            <v>25.3</v>
          </cell>
          <cell r="F990">
            <v>22.7</v>
          </cell>
          <cell r="G990">
            <v>21.322486397648682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25.3</v>
          </cell>
        </row>
        <row r="1005">
          <cell r="F1005" t="str">
            <v>WXREV</v>
          </cell>
        </row>
        <row r="1010">
          <cell r="F1010" t="str">
            <v>JUNI</v>
          </cell>
        </row>
        <row r="1012">
          <cell r="F1012" t="str">
            <v>BB</v>
          </cell>
          <cell r="G1012" t="str">
            <v>TTD</v>
          </cell>
        </row>
        <row r="1014">
          <cell r="E1014">
            <v>21.9</v>
          </cell>
          <cell r="F1014">
            <v>20.399999999999999</v>
          </cell>
          <cell r="G1014">
            <v>19.475623145511683</v>
          </cell>
        </row>
        <row r="1015">
          <cell r="E1015">
            <v>23.8</v>
          </cell>
          <cell r="F1015">
            <v>21.6</v>
          </cell>
          <cell r="G1015">
            <v>20.357443401417399</v>
          </cell>
        </row>
        <row r="1016">
          <cell r="E1016">
            <v>26</v>
          </cell>
          <cell r="F1016">
            <v>22.4</v>
          </cell>
          <cell r="G1016">
            <v>20.476712998006196</v>
          </cell>
        </row>
        <row r="1017">
          <cell r="E1017">
            <v>27</v>
          </cell>
          <cell r="F1017">
            <v>21.8</v>
          </cell>
          <cell r="G1017">
            <v>18.910005539594152</v>
          </cell>
        </row>
        <row r="1018">
          <cell r="E1018">
            <v>28.2</v>
          </cell>
          <cell r="F1018">
            <v>22.8</v>
          </cell>
          <cell r="G1018">
            <v>19.957813261397046</v>
          </cell>
        </row>
        <row r="1019">
          <cell r="E1019">
            <v>29</v>
          </cell>
          <cell r="F1019">
            <v>22.6</v>
          </cell>
          <cell r="G1019">
            <v>19.163493051589338</v>
          </cell>
        </row>
        <row r="1020">
          <cell r="E1020">
            <v>29.2</v>
          </cell>
          <cell r="F1020">
            <v>22.3</v>
          </cell>
          <cell r="G1020">
            <v>18.510307781811029</v>
          </cell>
        </row>
        <row r="1021">
          <cell r="E1021">
            <v>29.6</v>
          </cell>
          <cell r="F1021">
            <v>23.2</v>
          </cell>
          <cell r="G1021">
            <v>19.878805390793993</v>
          </cell>
        </row>
        <row r="1022">
          <cell r="E1022">
            <v>29.6</v>
          </cell>
          <cell r="F1022">
            <v>23.4</v>
          </cell>
          <cell r="G1022">
            <v>20.224288506437016</v>
          </cell>
        </row>
        <row r="1023">
          <cell r="E1023">
            <v>28.3</v>
          </cell>
          <cell r="F1023">
            <v>23.2</v>
          </cell>
          <cell r="G1023">
            <v>20.579565665081724</v>
          </cell>
        </row>
        <row r="1024">
          <cell r="E1024">
            <v>26.7</v>
          </cell>
          <cell r="F1024">
            <v>22.6</v>
          </cell>
          <cell r="G1024">
            <v>20.432394670872537</v>
          </cell>
        </row>
        <row r="1025">
          <cell r="E1025">
            <v>25.4</v>
          </cell>
          <cell r="F1025">
            <v>22.4</v>
          </cell>
          <cell r="G1025">
            <v>20.793135845008763</v>
          </cell>
        </row>
        <row r="1026">
          <cell r="E1026">
            <v>24.2</v>
          </cell>
          <cell r="F1026">
            <v>22</v>
          </cell>
          <cell r="G1026">
            <v>20.782457166703743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24.2</v>
          </cell>
        </row>
        <row r="1041">
          <cell r="F1041" t="str">
            <v>WXREV</v>
          </cell>
        </row>
        <row r="1046">
          <cell r="F1046" t="str">
            <v>JUNI</v>
          </cell>
        </row>
        <row r="1048">
          <cell r="F1048" t="str">
            <v>BB</v>
          </cell>
          <cell r="G1048" t="str">
            <v>TTD</v>
          </cell>
        </row>
        <row r="1050">
          <cell r="E1050">
            <v>22.1</v>
          </cell>
          <cell r="F1050">
            <v>20.6</v>
          </cell>
          <cell r="G1050">
            <v>19.684708719261479</v>
          </cell>
        </row>
        <row r="1051">
          <cell r="E1051">
            <v>24.6</v>
          </cell>
          <cell r="F1051">
            <v>22.5</v>
          </cell>
          <cell r="G1051">
            <v>21.363604163162531</v>
          </cell>
        </row>
        <row r="1052">
          <cell r="E1052">
            <v>26.6</v>
          </cell>
          <cell r="F1052">
            <v>23.3</v>
          </cell>
          <cell r="G1052">
            <v>21.616959657059734</v>
          </cell>
        </row>
        <row r="1053">
          <cell r="E1053">
            <v>27.7</v>
          </cell>
          <cell r="F1053">
            <v>23.4</v>
          </cell>
          <cell r="G1053">
            <v>21.221525162280933</v>
          </cell>
        </row>
        <row r="1054">
          <cell r="E1054">
            <v>27.9</v>
          </cell>
          <cell r="F1054">
            <v>23.1</v>
          </cell>
          <cell r="G1054">
            <v>20.624118491254684</v>
          </cell>
        </row>
        <row r="1055">
          <cell r="E1055">
            <v>29</v>
          </cell>
          <cell r="F1055">
            <v>24.3</v>
          </cell>
          <cell r="G1055">
            <v>22.02873246371059</v>
          </cell>
        </row>
        <row r="1056">
          <cell r="E1056">
            <v>29.6</v>
          </cell>
          <cell r="F1056">
            <v>22.8</v>
          </cell>
          <cell r="G1056">
            <v>19.175591777310267</v>
          </cell>
        </row>
        <row r="1057">
          <cell r="E1057">
            <v>30.4</v>
          </cell>
          <cell r="F1057">
            <v>23.8</v>
          </cell>
          <cell r="G1057">
            <v>20.483117326690671</v>
          </cell>
        </row>
        <row r="1058">
          <cell r="E1058">
            <v>30.2</v>
          </cell>
          <cell r="F1058">
            <v>24.2</v>
          </cell>
          <cell r="G1058">
            <v>21.265190011597987</v>
          </cell>
        </row>
        <row r="1059">
          <cell r="E1059">
            <v>29.2</v>
          </cell>
          <cell r="F1059">
            <v>23.8</v>
          </cell>
          <cell r="G1059">
            <v>21.110504772755601</v>
          </cell>
        </row>
        <row r="1060">
          <cell r="E1060">
            <v>28.4</v>
          </cell>
          <cell r="F1060">
            <v>23.2</v>
          </cell>
          <cell r="G1060">
            <v>20.526592461483798</v>
          </cell>
        </row>
        <row r="1061">
          <cell r="E1061">
            <v>26.8</v>
          </cell>
          <cell r="F1061">
            <v>23.4</v>
          </cell>
          <cell r="G1061">
            <v>21.675891882100515</v>
          </cell>
        </row>
        <row r="1062">
          <cell r="E1062">
            <v>25.2</v>
          </cell>
          <cell r="F1062">
            <v>22.8</v>
          </cell>
          <cell r="G1062">
            <v>21.530312632790274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25.2</v>
          </cell>
        </row>
        <row r="1077">
          <cell r="F1077" t="str">
            <v>WXREV</v>
          </cell>
        </row>
        <row r="1082">
          <cell r="F1082" t="str">
            <v>JUNI</v>
          </cell>
        </row>
        <row r="1084">
          <cell r="F1084" t="str">
            <v>BB</v>
          </cell>
          <cell r="G1084" t="str">
            <v>TTD</v>
          </cell>
        </row>
        <row r="1086">
          <cell r="F1086">
            <v>20.5</v>
          </cell>
          <cell r="G1086">
            <v>19.524267134911941</v>
          </cell>
        </row>
        <row r="1087">
          <cell r="G1087">
            <v>-0.10045269760431656</v>
          </cell>
        </row>
        <row r="1088">
          <cell r="G1088">
            <v>-0.10045269760431656</v>
          </cell>
        </row>
        <row r="1089">
          <cell r="G1089">
            <v>-0.10045269760431656</v>
          </cell>
        </row>
        <row r="1090">
          <cell r="G1090">
            <v>-0.10045269760431656</v>
          </cell>
        </row>
        <row r="1091">
          <cell r="G1091">
            <v>-0.10045269760431656</v>
          </cell>
        </row>
        <row r="1092">
          <cell r="G1092">
            <v>-0.10045269760431656</v>
          </cell>
        </row>
        <row r="1093">
          <cell r="G1093">
            <v>-0.10045269760431656</v>
          </cell>
        </row>
        <row r="1094">
          <cell r="G1094">
            <v>-0.10045269760431656</v>
          </cell>
        </row>
        <row r="1095">
          <cell r="G1095">
            <v>-0.10045269760431656</v>
          </cell>
        </row>
        <row r="1096">
          <cell r="G1096">
            <v>-0.10045269760431656</v>
          </cell>
        </row>
        <row r="1097">
          <cell r="G1097">
            <v>-0.10045269760431656</v>
          </cell>
        </row>
        <row r="1098">
          <cell r="G1098">
            <v>-0.10045269760431656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  <row r="1121">
          <cell r="R1121" t="str">
            <v xml:space="preserve">TIM PEMBUAT LAPORAN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A8" t="str">
            <v>BULAN : JUNI 2022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4">
          <cell r="C44" t="str">
            <v>Sleman Yogyakarta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1"/>
      <sheetData sheetId="22"/>
      <sheetData sheetId="23"/>
      <sheetData sheetId="24"/>
      <sheetData sheetId="25"/>
      <sheetData sheetId="26"/>
      <sheetData sheetId="27">
        <row r="4">
          <cell r="N4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data"/>
      <sheetName val="ME. 48"/>
      <sheetName val="ME. 45"/>
      <sheetName val="MEGAENTRY"/>
      <sheetName val="Sheet1"/>
      <sheetName val="AWAN"/>
      <sheetName val="Piche "/>
      <sheetName val="H.E"/>
      <sheetName val="angin"/>
      <sheetName val="RADIASI"/>
      <sheetName val="FKLIM.71"/>
      <sheetName val="Agm 1a"/>
      <sheetName val="Agm-1b"/>
      <sheetName val="Suhu Tanah"/>
      <sheetName val="REKAP Data"/>
      <sheetName val="Hellman (manual)"/>
      <sheetName val="COVER ME48"/>
      <sheetName val="WXREV"/>
      <sheetName val="WW brmakna"/>
      <sheetName val="GRAFIK"/>
      <sheetName val="QFE"/>
      <sheetName val="QFF"/>
      <sheetName val="Suhu2"/>
      <sheetName val="RH2"/>
      <sheetName val="VIS"/>
      <sheetName val="dddff"/>
      <sheetName val="guntur-ok "/>
      <sheetName val="T.Koreksi (P)"/>
      <sheetName val="tbl rujukan"/>
    </sheetNames>
    <sheetDataSet>
      <sheetData sheetId="0">
        <row r="2">
          <cell r="F2" t="str">
            <v>JULI</v>
          </cell>
          <cell r="G2">
            <v>0</v>
          </cell>
        </row>
        <row r="3">
          <cell r="F3">
            <v>0</v>
          </cell>
          <cell r="G3">
            <v>0</v>
          </cell>
        </row>
        <row r="4">
          <cell r="F4" t="str">
            <v>BB</v>
          </cell>
          <cell r="G4" t="str">
            <v>TTD</v>
          </cell>
        </row>
        <row r="5">
          <cell r="F5">
            <v>0</v>
          </cell>
          <cell r="G5">
            <v>0</v>
          </cell>
        </row>
        <row r="6">
          <cell r="E6">
            <v>22.1</v>
          </cell>
          <cell r="F6">
            <v>20.5</v>
          </cell>
          <cell r="G6">
            <v>19.524267134911941</v>
          </cell>
        </row>
        <row r="7">
          <cell r="E7">
            <v>24.3</v>
          </cell>
          <cell r="F7">
            <v>21.8</v>
          </cell>
          <cell r="G7">
            <v>20.41058687426267</v>
          </cell>
        </row>
        <row r="8">
          <cell r="E8">
            <v>26.2</v>
          </cell>
          <cell r="F8">
            <v>22.9</v>
          </cell>
          <cell r="G8">
            <v>21.181401935232739</v>
          </cell>
        </row>
        <row r="9">
          <cell r="E9">
            <v>28.2</v>
          </cell>
          <cell r="F9">
            <v>23.5</v>
          </cell>
          <cell r="G9">
            <v>21.128854633992113</v>
          </cell>
        </row>
        <row r="10">
          <cell r="E10">
            <v>29.4</v>
          </cell>
          <cell r="F10">
            <v>24</v>
          </cell>
          <cell r="G10">
            <v>21.339773119354938</v>
          </cell>
        </row>
        <row r="11">
          <cell r="E11">
            <v>30.1</v>
          </cell>
          <cell r="F11">
            <v>23.8</v>
          </cell>
          <cell r="G11">
            <v>20.641961104336122</v>
          </cell>
        </row>
        <row r="12">
          <cell r="E12">
            <v>31.1</v>
          </cell>
          <cell r="F12">
            <v>24.7</v>
          </cell>
          <cell r="G12">
            <v>21.645995413462281</v>
          </cell>
        </row>
        <row r="13">
          <cell r="E13">
            <v>30</v>
          </cell>
          <cell r="F13">
            <v>23.8</v>
          </cell>
          <cell r="G13">
            <v>20.694608390520273</v>
          </cell>
        </row>
        <row r="14">
          <cell r="E14">
            <v>29.8</v>
          </cell>
          <cell r="F14">
            <v>24.2</v>
          </cell>
          <cell r="G14">
            <v>21.468033312860303</v>
          </cell>
        </row>
        <row r="15">
          <cell r="E15">
            <v>29.8</v>
          </cell>
          <cell r="F15">
            <v>24.4</v>
          </cell>
          <cell r="G15">
            <v>21.797098187157214</v>
          </cell>
        </row>
        <row r="16">
          <cell r="E16">
            <v>28.4</v>
          </cell>
          <cell r="F16">
            <v>24</v>
          </cell>
          <cell r="G16">
            <v>21.840832967532137</v>
          </cell>
        </row>
        <row r="17">
          <cell r="E17">
            <v>27.1</v>
          </cell>
          <cell r="F17">
            <v>23.1</v>
          </cell>
          <cell r="G17">
            <v>21.041559299292931</v>
          </cell>
        </row>
        <row r="18">
          <cell r="E18">
            <v>26.2</v>
          </cell>
          <cell r="F18">
            <v>23</v>
          </cell>
          <cell r="G18">
            <v>21.341225833058971</v>
          </cell>
        </row>
        <row r="19">
          <cell r="F19" t="str">
            <v>-</v>
          </cell>
          <cell r="G19" t="str">
            <v>-</v>
          </cell>
        </row>
        <row r="20">
          <cell r="F20" t="str">
            <v>-</v>
          </cell>
          <cell r="G20" t="str">
            <v>-</v>
          </cell>
        </row>
        <row r="21">
          <cell r="F21" t="str">
            <v>-</v>
          </cell>
          <cell r="G21" t="str">
            <v>-</v>
          </cell>
        </row>
        <row r="22">
          <cell r="F22" t="str">
            <v>-</v>
          </cell>
          <cell r="G22" t="str">
            <v>-</v>
          </cell>
        </row>
        <row r="23">
          <cell r="F23" t="str">
            <v>-</v>
          </cell>
          <cell r="G23" t="str">
            <v>-</v>
          </cell>
        </row>
        <row r="24">
          <cell r="F24" t="str">
            <v>-</v>
          </cell>
          <cell r="G24" t="str">
            <v>-</v>
          </cell>
        </row>
        <row r="25">
          <cell r="F25" t="str">
            <v>-</v>
          </cell>
          <cell r="G25" t="str">
            <v>-</v>
          </cell>
        </row>
        <row r="26">
          <cell r="F26" t="str">
            <v>-</v>
          </cell>
          <cell r="G26" t="str">
            <v>-</v>
          </cell>
        </row>
        <row r="27">
          <cell r="F27" t="str">
            <v>-</v>
          </cell>
          <cell r="G27" t="str">
            <v>-</v>
          </cell>
        </row>
        <row r="28">
          <cell r="F28" t="str">
            <v>-</v>
          </cell>
          <cell r="G28" t="str">
            <v>-</v>
          </cell>
        </row>
        <row r="29">
          <cell r="F29" t="str">
            <v>-</v>
          </cell>
          <cell r="G29" t="str">
            <v>-</v>
          </cell>
        </row>
        <row r="30">
          <cell r="F30">
            <v>26.2</v>
          </cell>
          <cell r="G30">
            <v>26.199996948242188</v>
          </cell>
        </row>
        <row r="33">
          <cell r="F33" t="str">
            <v>WXREV</v>
          </cell>
        </row>
        <row r="34">
          <cell r="F34">
            <v>26.199996948242188</v>
          </cell>
          <cell r="G34">
            <v>26.199996948242188</v>
          </cell>
        </row>
        <row r="35">
          <cell r="F35">
            <v>26.199996948242188</v>
          </cell>
          <cell r="G35">
            <v>26.199996948242188</v>
          </cell>
        </row>
        <row r="36">
          <cell r="F36">
            <v>26.199996948242188</v>
          </cell>
          <cell r="G36">
            <v>26.199996948242188</v>
          </cell>
        </row>
        <row r="37">
          <cell r="F37">
            <v>26.199996948242188</v>
          </cell>
          <cell r="G37">
            <v>26.199996948242188</v>
          </cell>
        </row>
        <row r="38">
          <cell r="F38" t="str">
            <v>JULI</v>
          </cell>
          <cell r="G38">
            <v>26.199996948242188</v>
          </cell>
        </row>
        <row r="39">
          <cell r="F39">
            <v>26.199996948242188</v>
          </cell>
          <cell r="G39">
            <v>26.199996948242188</v>
          </cell>
        </row>
        <row r="40">
          <cell r="F40" t="str">
            <v>BB</v>
          </cell>
          <cell r="G40" t="str">
            <v>TTD</v>
          </cell>
        </row>
        <row r="41">
          <cell r="F41">
            <v>26.199996948242188</v>
          </cell>
          <cell r="G41">
            <v>26.199996948242188</v>
          </cell>
        </row>
        <row r="42">
          <cell r="E42">
            <v>22.8</v>
          </cell>
          <cell r="F42">
            <v>20.8</v>
          </cell>
          <cell r="G42">
            <v>19.617175595604067</v>
          </cell>
        </row>
        <row r="43">
          <cell r="E43">
            <v>24.6</v>
          </cell>
          <cell r="F43">
            <v>22.8</v>
          </cell>
          <cell r="G43">
            <v>21.829495781399554</v>
          </cell>
        </row>
        <row r="44">
          <cell r="E44">
            <v>26.4</v>
          </cell>
          <cell r="F44">
            <v>23.6</v>
          </cell>
          <cell r="G44">
            <v>22.18727787108098</v>
          </cell>
        </row>
        <row r="45">
          <cell r="E45">
            <v>28.2</v>
          </cell>
          <cell r="F45">
            <v>24</v>
          </cell>
          <cell r="G45">
            <v>21.939456220143654</v>
          </cell>
        </row>
        <row r="46">
          <cell r="E46">
            <v>29.4</v>
          </cell>
          <cell r="F46">
            <v>24.4</v>
          </cell>
          <cell r="G46">
            <v>21.994290685744307</v>
          </cell>
        </row>
        <row r="47">
          <cell r="E47">
            <v>30</v>
          </cell>
          <cell r="F47">
            <v>24.6</v>
          </cell>
          <cell r="G47">
            <v>22.025168782248613</v>
          </cell>
        </row>
        <row r="48">
          <cell r="E48">
            <v>30</v>
          </cell>
          <cell r="F48">
            <v>25.4</v>
          </cell>
          <cell r="G48">
            <v>23.303296611588866</v>
          </cell>
        </row>
        <row r="49">
          <cell r="E49">
            <v>29.3</v>
          </cell>
          <cell r="F49">
            <v>25.5</v>
          </cell>
          <cell r="G49">
            <v>23.774753479633578</v>
          </cell>
        </row>
        <row r="50">
          <cell r="E50">
            <v>26.6</v>
          </cell>
          <cell r="F50">
            <v>24.7</v>
          </cell>
          <cell r="G50">
            <v>23.769810379525076</v>
          </cell>
        </row>
        <row r="51">
          <cell r="E51">
            <v>27</v>
          </cell>
          <cell r="F51">
            <v>25.2</v>
          </cell>
          <cell r="G51">
            <v>24.335116740668042</v>
          </cell>
        </row>
        <row r="52">
          <cell r="E52">
            <v>26.8</v>
          </cell>
          <cell r="F52">
            <v>24.6</v>
          </cell>
          <cell r="G52">
            <v>23.530193147412959</v>
          </cell>
        </row>
        <row r="53">
          <cell r="E53">
            <v>26.2</v>
          </cell>
          <cell r="F53">
            <v>24.2</v>
          </cell>
          <cell r="G53">
            <v>23.201256751926248</v>
          </cell>
        </row>
        <row r="54">
          <cell r="E54">
            <v>26</v>
          </cell>
          <cell r="F54">
            <v>24.2</v>
          </cell>
          <cell r="G54">
            <v>23.293034575471221</v>
          </cell>
        </row>
        <row r="55">
          <cell r="F55" t="str">
            <v>-</v>
          </cell>
          <cell r="G55" t="str">
            <v>-</v>
          </cell>
        </row>
        <row r="56">
          <cell r="F56" t="str">
            <v>-</v>
          </cell>
          <cell r="G56" t="str">
            <v>-</v>
          </cell>
        </row>
        <row r="57">
          <cell r="F57" t="str">
            <v>-</v>
          </cell>
          <cell r="G57" t="str">
            <v>-</v>
          </cell>
        </row>
        <row r="58">
          <cell r="F58" t="str">
            <v>-</v>
          </cell>
          <cell r="G58" t="str">
            <v>-</v>
          </cell>
        </row>
        <row r="59">
          <cell r="F59" t="str">
            <v>-</v>
          </cell>
          <cell r="G59" t="str">
            <v>-</v>
          </cell>
        </row>
        <row r="60">
          <cell r="F60" t="str">
            <v>-</v>
          </cell>
          <cell r="G60" t="str">
            <v>-</v>
          </cell>
        </row>
        <row r="61">
          <cell r="F61" t="str">
            <v>-</v>
          </cell>
          <cell r="G61" t="str">
            <v>-</v>
          </cell>
        </row>
        <row r="62">
          <cell r="F62" t="str">
            <v>-</v>
          </cell>
          <cell r="G62" t="str">
            <v>-</v>
          </cell>
        </row>
        <row r="63">
          <cell r="F63" t="str">
            <v>-</v>
          </cell>
          <cell r="G63" t="str">
            <v>-</v>
          </cell>
        </row>
        <row r="64">
          <cell r="F64" t="str">
            <v>-</v>
          </cell>
          <cell r="G64" t="str">
            <v>-</v>
          </cell>
        </row>
        <row r="65">
          <cell r="F65" t="str">
            <v>-</v>
          </cell>
          <cell r="G65" t="str">
            <v>-</v>
          </cell>
        </row>
        <row r="66">
          <cell r="F66">
            <v>26</v>
          </cell>
          <cell r="G66">
            <v>26</v>
          </cell>
        </row>
        <row r="67">
          <cell r="F67">
            <v>26</v>
          </cell>
          <cell r="G67">
            <v>26</v>
          </cell>
        </row>
        <row r="68">
          <cell r="F68">
            <v>26</v>
          </cell>
          <cell r="G68">
            <v>26</v>
          </cell>
        </row>
        <row r="69">
          <cell r="F69" t="str">
            <v>WXREV</v>
          </cell>
          <cell r="G69">
            <v>26</v>
          </cell>
        </row>
        <row r="70">
          <cell r="F70">
            <v>26</v>
          </cell>
          <cell r="G70">
            <v>26</v>
          </cell>
        </row>
        <row r="71">
          <cell r="F71">
            <v>26</v>
          </cell>
          <cell r="G71">
            <v>26</v>
          </cell>
        </row>
        <row r="72">
          <cell r="F72">
            <v>26</v>
          </cell>
          <cell r="G72">
            <v>26</v>
          </cell>
        </row>
        <row r="73">
          <cell r="F73">
            <v>26</v>
          </cell>
          <cell r="G73">
            <v>26</v>
          </cell>
        </row>
        <row r="74">
          <cell r="F74" t="str">
            <v>JULI</v>
          </cell>
          <cell r="G74">
            <v>26</v>
          </cell>
        </row>
        <row r="75">
          <cell r="F75">
            <v>26</v>
          </cell>
          <cell r="G75">
            <v>26</v>
          </cell>
        </row>
        <row r="76">
          <cell r="F76" t="str">
            <v>BB</v>
          </cell>
          <cell r="G76" t="str">
            <v>TTD</v>
          </cell>
        </row>
        <row r="77">
          <cell r="F77">
            <v>26</v>
          </cell>
          <cell r="G77">
            <v>26</v>
          </cell>
        </row>
        <row r="78">
          <cell r="E78">
            <v>24.8</v>
          </cell>
          <cell r="F78">
            <v>24</v>
          </cell>
          <cell r="G78">
            <v>23.541582806104632</v>
          </cell>
        </row>
        <row r="79">
          <cell r="E79">
            <v>26</v>
          </cell>
          <cell r="F79">
            <v>24.3</v>
          </cell>
          <cell r="G79">
            <v>23.442835009620829</v>
          </cell>
        </row>
        <row r="80">
          <cell r="E80">
            <v>27.2</v>
          </cell>
          <cell r="F80">
            <v>24.5</v>
          </cell>
          <cell r="G80">
            <v>23.196271327670441</v>
          </cell>
        </row>
        <row r="81">
          <cell r="E81">
            <v>28.6</v>
          </cell>
          <cell r="F81">
            <v>25</v>
          </cell>
          <cell r="G81">
            <v>23.321392650725961</v>
          </cell>
        </row>
        <row r="82">
          <cell r="E82">
            <v>29.6</v>
          </cell>
          <cell r="F82">
            <v>25.5</v>
          </cell>
          <cell r="G82">
            <v>23.640370879653982</v>
          </cell>
        </row>
        <row r="83">
          <cell r="E83">
            <v>31</v>
          </cell>
          <cell r="F83">
            <v>26</v>
          </cell>
          <cell r="G83">
            <v>23.79046980665996</v>
          </cell>
        </row>
        <row r="84">
          <cell r="E84">
            <v>31.6</v>
          </cell>
          <cell r="F84">
            <v>25.8</v>
          </cell>
          <cell r="G84">
            <v>23.202598868629106</v>
          </cell>
        </row>
        <row r="85">
          <cell r="E85">
            <v>31.4</v>
          </cell>
          <cell r="F85">
            <v>26.4</v>
          </cell>
          <cell r="G85">
            <v>24.236301083473421</v>
          </cell>
        </row>
        <row r="86">
          <cell r="E86">
            <v>27.8</v>
          </cell>
          <cell r="F86">
            <v>25.6</v>
          </cell>
          <cell r="G86">
            <v>24.580817888895325</v>
          </cell>
        </row>
        <row r="87">
          <cell r="E87">
            <v>27</v>
          </cell>
          <cell r="F87">
            <v>25.6</v>
          </cell>
          <cell r="G87">
            <v>24.920143789821459</v>
          </cell>
        </row>
        <row r="88">
          <cell r="E88">
            <v>26.4</v>
          </cell>
          <cell r="F88">
            <v>25</v>
          </cell>
          <cell r="G88">
            <v>24.301383345836562</v>
          </cell>
        </row>
        <row r="89">
          <cell r="E89">
            <v>26.2</v>
          </cell>
          <cell r="F89">
            <v>25</v>
          </cell>
          <cell r="G89">
            <v>24.388027271235554</v>
          </cell>
        </row>
        <row r="90">
          <cell r="E90">
            <v>25.6</v>
          </cell>
          <cell r="F90">
            <v>24.6</v>
          </cell>
          <cell r="G90">
            <v>24.06513901073685</v>
          </cell>
        </row>
        <row r="91">
          <cell r="F91" t="str">
            <v>-</v>
          </cell>
          <cell r="G91" t="str">
            <v>-</v>
          </cell>
        </row>
        <row r="92">
          <cell r="F92" t="str">
            <v>-</v>
          </cell>
          <cell r="G92" t="str">
            <v>-</v>
          </cell>
        </row>
        <row r="93">
          <cell r="F93" t="str">
            <v>-</v>
          </cell>
          <cell r="G93" t="str">
            <v>-</v>
          </cell>
        </row>
        <row r="94">
          <cell r="F94" t="str">
            <v>-</v>
          </cell>
          <cell r="G94" t="str">
            <v>-</v>
          </cell>
        </row>
        <row r="95">
          <cell r="F95" t="str">
            <v>-</v>
          </cell>
          <cell r="G95" t="str">
            <v>-</v>
          </cell>
        </row>
        <row r="96">
          <cell r="F96" t="str">
            <v>-</v>
          </cell>
          <cell r="G96" t="str">
            <v>-</v>
          </cell>
        </row>
        <row r="97">
          <cell r="F97" t="str">
            <v>-</v>
          </cell>
          <cell r="G97" t="str">
            <v>-</v>
          </cell>
        </row>
        <row r="98">
          <cell r="F98" t="str">
            <v>-</v>
          </cell>
          <cell r="G98" t="str">
            <v>-</v>
          </cell>
        </row>
        <row r="99">
          <cell r="F99" t="str">
            <v>-</v>
          </cell>
          <cell r="G99" t="str">
            <v>-</v>
          </cell>
        </row>
        <row r="100">
          <cell r="F100" t="str">
            <v>-</v>
          </cell>
          <cell r="G100" t="str">
            <v>-</v>
          </cell>
        </row>
        <row r="101">
          <cell r="F101" t="str">
            <v>-</v>
          </cell>
          <cell r="G101" t="str">
            <v>-</v>
          </cell>
        </row>
        <row r="102">
          <cell r="F102">
            <v>25.6</v>
          </cell>
          <cell r="G102">
            <v>25.599990844726563</v>
          </cell>
        </row>
        <row r="103">
          <cell r="F103">
            <v>25.599990844726563</v>
          </cell>
          <cell r="G103">
            <v>25.599990844726563</v>
          </cell>
        </row>
        <row r="104">
          <cell r="F104">
            <v>25.599990844726563</v>
          </cell>
          <cell r="G104">
            <v>25.599990844726563</v>
          </cell>
        </row>
        <row r="105">
          <cell r="F105" t="str">
            <v>WXREV</v>
          </cell>
          <cell r="G105">
            <v>25.599990844726563</v>
          </cell>
        </row>
        <row r="106">
          <cell r="F106">
            <v>25.599990844726563</v>
          </cell>
          <cell r="G106">
            <v>25.599990844726563</v>
          </cell>
        </row>
        <row r="107">
          <cell r="F107">
            <v>25.599990844726563</v>
          </cell>
          <cell r="G107">
            <v>25.599990844726563</v>
          </cell>
        </row>
        <row r="108">
          <cell r="F108">
            <v>25.599990844726563</v>
          </cell>
          <cell r="G108">
            <v>25.599990844726563</v>
          </cell>
        </row>
        <row r="109">
          <cell r="F109">
            <v>25.599990844726563</v>
          </cell>
          <cell r="G109">
            <v>25.599990844726563</v>
          </cell>
        </row>
        <row r="110">
          <cell r="F110" t="str">
            <v>JULI</v>
          </cell>
          <cell r="G110">
            <v>25.599990844726563</v>
          </cell>
        </row>
        <row r="111">
          <cell r="F111">
            <v>25.599990844726563</v>
          </cell>
          <cell r="G111">
            <v>25.599990844726563</v>
          </cell>
        </row>
        <row r="112">
          <cell r="F112" t="str">
            <v>BB</v>
          </cell>
          <cell r="G112" t="str">
            <v>TTD</v>
          </cell>
        </row>
        <row r="113">
          <cell r="F113">
            <v>25.599990844726563</v>
          </cell>
          <cell r="G113">
            <v>25.599990844726563</v>
          </cell>
        </row>
        <row r="114">
          <cell r="E114">
            <v>24.5</v>
          </cell>
          <cell r="F114">
            <v>23.8</v>
          </cell>
          <cell r="G114">
            <v>23.383347698406446</v>
          </cell>
        </row>
        <row r="115">
          <cell r="E115">
            <v>25.5</v>
          </cell>
          <cell r="F115">
            <v>24</v>
          </cell>
          <cell r="G115">
            <v>23.222644384066268</v>
          </cell>
        </row>
        <row r="116">
          <cell r="E116">
            <v>27.2</v>
          </cell>
          <cell r="F116">
            <v>25</v>
          </cell>
          <cell r="G116">
            <v>23.950825647173037</v>
          </cell>
        </row>
        <row r="117">
          <cell r="E117">
            <v>28</v>
          </cell>
          <cell r="F117">
            <v>25.3</v>
          </cell>
          <cell r="G117">
            <v>24.04720732609967</v>
          </cell>
        </row>
        <row r="118">
          <cell r="E118">
            <v>30.2</v>
          </cell>
          <cell r="F118">
            <v>25.5</v>
          </cell>
          <cell r="G118">
            <v>23.368723174366902</v>
          </cell>
        </row>
        <row r="119">
          <cell r="E119">
            <v>30.9</v>
          </cell>
          <cell r="F119">
            <v>26</v>
          </cell>
          <cell r="G119">
            <v>23.835018908079892</v>
          </cell>
        </row>
        <row r="120">
          <cell r="E120">
            <v>31</v>
          </cell>
          <cell r="F120">
            <v>25.6</v>
          </cell>
          <cell r="G120">
            <v>23.159866723625395</v>
          </cell>
        </row>
        <row r="121">
          <cell r="E121">
            <v>31.8</v>
          </cell>
          <cell r="F121">
            <v>25.7</v>
          </cell>
          <cell r="G121">
            <v>22.94927055303986</v>
          </cell>
        </row>
        <row r="122">
          <cell r="E122">
            <v>31.7</v>
          </cell>
          <cell r="F122">
            <v>25.8</v>
          </cell>
          <cell r="G122">
            <v>23.156541144087583</v>
          </cell>
        </row>
        <row r="123">
          <cell r="E123">
            <v>31.8</v>
          </cell>
          <cell r="F123">
            <v>24.6</v>
          </cell>
          <cell r="G123">
            <v>21.1224845283541</v>
          </cell>
        </row>
        <row r="124">
          <cell r="E124">
            <v>30</v>
          </cell>
          <cell r="F124">
            <v>26.4</v>
          </cell>
          <cell r="G124">
            <v>24.836802408045006</v>
          </cell>
        </row>
        <row r="125">
          <cell r="E125">
            <v>28</v>
          </cell>
          <cell r="F125">
            <v>26.3</v>
          </cell>
          <cell r="G125">
            <v>25.519291837086154</v>
          </cell>
        </row>
        <row r="126">
          <cell r="E126">
            <v>26.8</v>
          </cell>
          <cell r="F126">
            <v>25.7</v>
          </cell>
          <cell r="G126">
            <v>25.148253476740489</v>
          </cell>
        </row>
        <row r="127">
          <cell r="F127" t="str">
            <v>-</v>
          </cell>
          <cell r="G127" t="str">
            <v>-</v>
          </cell>
        </row>
        <row r="128">
          <cell r="F128" t="str">
            <v>-</v>
          </cell>
          <cell r="G128" t="str">
            <v>-</v>
          </cell>
        </row>
        <row r="129">
          <cell r="F129" t="str">
            <v>-</v>
          </cell>
          <cell r="G129" t="str">
            <v>-</v>
          </cell>
        </row>
        <row r="130">
          <cell r="F130" t="str">
            <v>-</v>
          </cell>
          <cell r="G130" t="str">
            <v>-</v>
          </cell>
        </row>
        <row r="131">
          <cell r="F131" t="str">
            <v>-</v>
          </cell>
          <cell r="G131" t="str">
            <v>-</v>
          </cell>
        </row>
        <row r="132">
          <cell r="F132" t="str">
            <v>-</v>
          </cell>
          <cell r="G132" t="str">
            <v>-</v>
          </cell>
        </row>
        <row r="133">
          <cell r="F133" t="str">
            <v>-</v>
          </cell>
          <cell r="G133" t="str">
            <v>-</v>
          </cell>
        </row>
        <row r="134">
          <cell r="F134" t="str">
            <v>-</v>
          </cell>
          <cell r="G134" t="str">
            <v>-</v>
          </cell>
        </row>
        <row r="135">
          <cell r="F135" t="str">
            <v>-</v>
          </cell>
          <cell r="G135" t="str">
            <v>-</v>
          </cell>
        </row>
        <row r="136">
          <cell r="F136" t="str">
            <v>-</v>
          </cell>
          <cell r="G136" t="str">
            <v>-</v>
          </cell>
        </row>
        <row r="137">
          <cell r="F137" t="str">
            <v>-</v>
          </cell>
          <cell r="G137" t="str">
            <v>-</v>
          </cell>
        </row>
        <row r="138">
          <cell r="F138">
            <v>26.8</v>
          </cell>
          <cell r="G138">
            <v>26.79998779296875</v>
          </cell>
        </row>
        <row r="139">
          <cell r="F139">
            <v>26.79998779296875</v>
          </cell>
          <cell r="G139">
            <v>26.79998779296875</v>
          </cell>
        </row>
        <row r="140">
          <cell r="F140">
            <v>26.79998779296875</v>
          </cell>
          <cell r="G140">
            <v>26.79998779296875</v>
          </cell>
        </row>
        <row r="141">
          <cell r="F141" t="str">
            <v>WXREV</v>
          </cell>
          <cell r="G141">
            <v>26.79998779296875</v>
          </cell>
        </row>
        <row r="142">
          <cell r="F142">
            <v>26.79998779296875</v>
          </cell>
          <cell r="G142">
            <v>26.79998779296875</v>
          </cell>
        </row>
        <row r="143">
          <cell r="F143">
            <v>26.79998779296875</v>
          </cell>
          <cell r="G143">
            <v>26.79998779296875</v>
          </cell>
        </row>
        <row r="144">
          <cell r="F144">
            <v>26.79998779296875</v>
          </cell>
          <cell r="G144">
            <v>26.79998779296875</v>
          </cell>
        </row>
        <row r="145">
          <cell r="F145">
            <v>26.79998779296875</v>
          </cell>
          <cell r="G145">
            <v>26.79998779296875</v>
          </cell>
        </row>
        <row r="146">
          <cell r="F146" t="str">
            <v>JULI</v>
          </cell>
          <cell r="G146">
            <v>26.79998779296875</v>
          </cell>
        </row>
        <row r="147">
          <cell r="F147">
            <v>26.79998779296875</v>
          </cell>
          <cell r="G147">
            <v>26.79998779296875</v>
          </cell>
        </row>
        <row r="148">
          <cell r="F148" t="str">
            <v>BB</v>
          </cell>
          <cell r="G148" t="str">
            <v>TTD</v>
          </cell>
        </row>
        <row r="149">
          <cell r="F149">
            <v>26.79998779296875</v>
          </cell>
          <cell r="G149">
            <v>26.79998779296875</v>
          </cell>
        </row>
        <row r="150">
          <cell r="E150">
            <v>24.4</v>
          </cell>
          <cell r="F150">
            <v>23.1</v>
          </cell>
          <cell r="G150">
            <v>22.385268849511704</v>
          </cell>
        </row>
        <row r="151">
          <cell r="E151">
            <v>26</v>
          </cell>
          <cell r="F151">
            <v>24</v>
          </cell>
          <cell r="G151">
            <v>22.991501967304046</v>
          </cell>
        </row>
        <row r="152">
          <cell r="E152">
            <v>28.1</v>
          </cell>
          <cell r="F152">
            <v>24.9</v>
          </cell>
          <cell r="G152">
            <v>23.395752252487867</v>
          </cell>
        </row>
        <row r="153">
          <cell r="E153">
            <v>30</v>
          </cell>
          <cell r="F153">
            <v>25.4</v>
          </cell>
          <cell r="G153">
            <v>23.303296611588866</v>
          </cell>
        </row>
        <row r="154">
          <cell r="E154">
            <v>30.6</v>
          </cell>
          <cell r="F154">
            <v>25.6</v>
          </cell>
          <cell r="G154">
            <v>23.343395747115117</v>
          </cell>
        </row>
        <row r="155">
          <cell r="E155">
            <v>31</v>
          </cell>
          <cell r="F155">
            <v>25.8</v>
          </cell>
          <cell r="G155">
            <v>23.476621444388034</v>
          </cell>
        </row>
        <row r="156">
          <cell r="E156">
            <v>31.3</v>
          </cell>
          <cell r="F156">
            <v>26.1</v>
          </cell>
          <cell r="G156">
            <v>23.813153236217548</v>
          </cell>
        </row>
        <row r="157">
          <cell r="E157">
            <v>31.1</v>
          </cell>
          <cell r="F157">
            <v>27.1</v>
          </cell>
          <cell r="G157">
            <v>25.427593939938845</v>
          </cell>
        </row>
        <row r="158">
          <cell r="E158">
            <v>30.1</v>
          </cell>
          <cell r="F158">
            <v>25.9</v>
          </cell>
          <cell r="G158">
            <v>24.034386138060192</v>
          </cell>
        </row>
        <row r="159">
          <cell r="E159">
            <v>29.7</v>
          </cell>
          <cell r="F159">
            <v>26</v>
          </cell>
          <cell r="G159">
            <v>24.361649825750867</v>
          </cell>
        </row>
        <row r="160">
          <cell r="E160">
            <v>28.2</v>
          </cell>
          <cell r="F160">
            <v>25.7</v>
          </cell>
          <cell r="G160">
            <v>24.557601385913394</v>
          </cell>
        </row>
        <row r="161">
          <cell r="E161">
            <v>27.2</v>
          </cell>
          <cell r="F161">
            <v>25.5</v>
          </cell>
          <cell r="G161">
            <v>24.689836838031059</v>
          </cell>
        </row>
        <row r="162">
          <cell r="E162">
            <v>26.9</v>
          </cell>
          <cell r="F162">
            <v>25.4</v>
          </cell>
          <cell r="G162">
            <v>24.671423157602952</v>
          </cell>
        </row>
        <row r="163">
          <cell r="F163" t="str">
            <v>-</v>
          </cell>
          <cell r="G163" t="str">
            <v>-</v>
          </cell>
        </row>
        <row r="164">
          <cell r="F164" t="str">
            <v>-</v>
          </cell>
          <cell r="G164" t="str">
            <v>-</v>
          </cell>
        </row>
        <row r="165">
          <cell r="F165" t="str">
            <v>-</v>
          </cell>
          <cell r="G165" t="str">
            <v>-</v>
          </cell>
        </row>
        <row r="166">
          <cell r="F166" t="str">
            <v>-</v>
          </cell>
          <cell r="G166" t="str">
            <v>-</v>
          </cell>
        </row>
        <row r="167">
          <cell r="F167" t="str">
            <v>-</v>
          </cell>
          <cell r="G167" t="str">
            <v>-</v>
          </cell>
        </row>
        <row r="168">
          <cell r="F168" t="str">
            <v>-</v>
          </cell>
          <cell r="G168" t="str">
            <v>-</v>
          </cell>
        </row>
        <row r="169">
          <cell r="F169" t="str">
            <v>-</v>
          </cell>
          <cell r="G169" t="str">
            <v>-</v>
          </cell>
        </row>
        <row r="170">
          <cell r="F170" t="str">
            <v>-</v>
          </cell>
          <cell r="G170" t="str">
            <v>-</v>
          </cell>
        </row>
        <row r="171">
          <cell r="F171" t="str">
            <v>-</v>
          </cell>
          <cell r="G171" t="str">
            <v>-</v>
          </cell>
        </row>
        <row r="172">
          <cell r="F172" t="str">
            <v>-</v>
          </cell>
          <cell r="G172" t="str">
            <v>-</v>
          </cell>
        </row>
        <row r="173">
          <cell r="F173" t="str">
            <v>-</v>
          </cell>
          <cell r="G173" t="str">
            <v>-</v>
          </cell>
        </row>
        <row r="174">
          <cell r="F174">
            <v>26.9</v>
          </cell>
          <cell r="G174">
            <v>26.899993896484375</v>
          </cell>
        </row>
        <row r="175">
          <cell r="F175">
            <v>26.899993896484375</v>
          </cell>
          <cell r="G175">
            <v>26.899993896484375</v>
          </cell>
        </row>
        <row r="176">
          <cell r="F176">
            <v>26.899993896484375</v>
          </cell>
          <cell r="G176">
            <v>26.899993896484375</v>
          </cell>
        </row>
        <row r="177">
          <cell r="F177" t="str">
            <v>WXREV</v>
          </cell>
          <cell r="G177">
            <v>26.899993896484375</v>
          </cell>
        </row>
        <row r="178">
          <cell r="F178">
            <v>26.899993896484375</v>
          </cell>
          <cell r="G178">
            <v>26.899993896484375</v>
          </cell>
        </row>
        <row r="179">
          <cell r="F179">
            <v>26.899993896484375</v>
          </cell>
          <cell r="G179">
            <v>26.899993896484375</v>
          </cell>
        </row>
        <row r="180">
          <cell r="F180">
            <v>26.899993896484375</v>
          </cell>
          <cell r="G180">
            <v>26.899993896484375</v>
          </cell>
        </row>
        <row r="181">
          <cell r="F181">
            <v>26.899993896484375</v>
          </cell>
          <cell r="G181">
            <v>26.899993896484375</v>
          </cell>
        </row>
        <row r="182">
          <cell r="F182" t="str">
            <v>JULI</v>
          </cell>
          <cell r="G182">
            <v>26.899993896484375</v>
          </cell>
        </row>
        <row r="183">
          <cell r="F183">
            <v>26.899993896484375</v>
          </cell>
          <cell r="G183">
            <v>26.899993896484375</v>
          </cell>
        </row>
        <row r="184">
          <cell r="F184" t="str">
            <v>BB</v>
          </cell>
          <cell r="G184" t="str">
            <v>TTD</v>
          </cell>
        </row>
        <row r="185">
          <cell r="F185">
            <v>26.899993896484375</v>
          </cell>
          <cell r="G185">
            <v>26.899993896484375</v>
          </cell>
        </row>
        <row r="186">
          <cell r="E186">
            <v>24.2</v>
          </cell>
          <cell r="F186">
            <v>23</v>
          </cell>
          <cell r="G186">
            <v>22.330168592037214</v>
          </cell>
        </row>
        <row r="187">
          <cell r="E187">
            <v>25.8</v>
          </cell>
          <cell r="F187">
            <v>24.1</v>
          </cell>
          <cell r="G187">
            <v>23.234654421351522</v>
          </cell>
        </row>
        <row r="188">
          <cell r="E188">
            <v>27.4</v>
          </cell>
          <cell r="F188">
            <v>24.4</v>
          </cell>
          <cell r="G188">
            <v>22.950390620266091</v>
          </cell>
        </row>
        <row r="189">
          <cell r="E189">
            <v>28.3</v>
          </cell>
          <cell r="F189">
            <v>24.9</v>
          </cell>
          <cell r="G189">
            <v>23.304466870995164</v>
          </cell>
        </row>
        <row r="190">
          <cell r="E190">
            <v>27.6</v>
          </cell>
          <cell r="F190">
            <v>24.8</v>
          </cell>
          <cell r="G190">
            <v>23.470377859669266</v>
          </cell>
        </row>
        <row r="191">
          <cell r="E191">
            <v>29.2</v>
          </cell>
          <cell r="F191">
            <v>25</v>
          </cell>
          <cell r="G191">
            <v>23.045116879889999</v>
          </cell>
        </row>
        <row r="192">
          <cell r="E192">
            <v>29.3</v>
          </cell>
          <cell r="F192">
            <v>25</v>
          </cell>
          <cell r="G192">
            <v>22.998676685198461</v>
          </cell>
        </row>
        <row r="193">
          <cell r="E193">
            <v>29.6</v>
          </cell>
          <cell r="F193">
            <v>25</v>
          </cell>
          <cell r="G193">
            <v>22.858668311959782</v>
          </cell>
        </row>
        <row r="194">
          <cell r="E194">
            <v>26.4</v>
          </cell>
          <cell r="F194">
            <v>24.5</v>
          </cell>
          <cell r="G194">
            <v>23.560851708929256</v>
          </cell>
        </row>
        <row r="195">
          <cell r="E195">
            <v>27.2</v>
          </cell>
          <cell r="F195">
            <v>24.8</v>
          </cell>
          <cell r="G195">
            <v>23.650934676208223</v>
          </cell>
        </row>
        <row r="196">
          <cell r="E196">
            <v>26.8</v>
          </cell>
          <cell r="F196">
            <v>24.6</v>
          </cell>
          <cell r="G196">
            <v>23.530193147412959</v>
          </cell>
        </row>
        <row r="197">
          <cell r="E197">
            <v>26.4</v>
          </cell>
          <cell r="F197">
            <v>24.4</v>
          </cell>
          <cell r="G197">
            <v>23.41088917767016</v>
          </cell>
        </row>
        <row r="198">
          <cell r="E198">
            <v>25.5</v>
          </cell>
          <cell r="F198">
            <v>24.2</v>
          </cell>
          <cell r="G198">
            <v>23.520555948119188</v>
          </cell>
        </row>
        <row r="199">
          <cell r="F199" t="str">
            <v>-</v>
          </cell>
          <cell r="G199" t="str">
            <v>-</v>
          </cell>
        </row>
        <row r="200">
          <cell r="F200" t="str">
            <v>-</v>
          </cell>
          <cell r="G200" t="str">
            <v>-</v>
          </cell>
        </row>
        <row r="201">
          <cell r="F201" t="str">
            <v>-</v>
          </cell>
          <cell r="G201" t="str">
            <v>-</v>
          </cell>
        </row>
        <row r="202">
          <cell r="F202" t="str">
            <v>-</v>
          </cell>
          <cell r="G202" t="str">
            <v>-</v>
          </cell>
        </row>
        <row r="203">
          <cell r="F203" t="str">
            <v>-</v>
          </cell>
          <cell r="G203" t="str">
            <v>-</v>
          </cell>
        </row>
        <row r="204">
          <cell r="F204" t="str">
            <v>-</v>
          </cell>
          <cell r="G204" t="str">
            <v>-</v>
          </cell>
        </row>
        <row r="205">
          <cell r="F205" t="str">
            <v>-</v>
          </cell>
          <cell r="G205" t="str">
            <v>-</v>
          </cell>
        </row>
        <row r="206">
          <cell r="F206" t="str">
            <v>-</v>
          </cell>
          <cell r="G206" t="str">
            <v>-</v>
          </cell>
        </row>
        <row r="207">
          <cell r="F207" t="str">
            <v>-</v>
          </cell>
          <cell r="G207" t="str">
            <v>-</v>
          </cell>
        </row>
        <row r="208">
          <cell r="F208" t="str">
            <v>-</v>
          </cell>
          <cell r="G208" t="str">
            <v>-</v>
          </cell>
        </row>
        <row r="209">
          <cell r="F209" t="str">
            <v>-</v>
          </cell>
          <cell r="G209" t="str">
            <v>-</v>
          </cell>
        </row>
        <row r="210">
          <cell r="F210">
            <v>25.5</v>
          </cell>
          <cell r="G210">
            <v>25.5</v>
          </cell>
        </row>
        <row r="211">
          <cell r="F211">
            <v>25.5</v>
          </cell>
          <cell r="G211">
            <v>25.5</v>
          </cell>
        </row>
        <row r="212">
          <cell r="F212">
            <v>25.5</v>
          </cell>
          <cell r="G212">
            <v>25.5</v>
          </cell>
        </row>
        <row r="213">
          <cell r="F213" t="str">
            <v>WXREV</v>
          </cell>
          <cell r="G213">
            <v>25.5</v>
          </cell>
        </row>
        <row r="214">
          <cell r="F214">
            <v>25.5</v>
          </cell>
          <cell r="G214">
            <v>25.5</v>
          </cell>
        </row>
        <row r="215">
          <cell r="F215">
            <v>25.5</v>
          </cell>
          <cell r="G215">
            <v>25.5</v>
          </cell>
        </row>
        <row r="216">
          <cell r="F216">
            <v>25.5</v>
          </cell>
          <cell r="G216">
            <v>25.5</v>
          </cell>
        </row>
        <row r="217">
          <cell r="F217">
            <v>25.5</v>
          </cell>
          <cell r="G217">
            <v>25.5</v>
          </cell>
        </row>
        <row r="218">
          <cell r="F218" t="str">
            <v>JULI</v>
          </cell>
          <cell r="G218">
            <v>25.5</v>
          </cell>
        </row>
        <row r="219">
          <cell r="F219">
            <v>25.5</v>
          </cell>
          <cell r="G219">
            <v>25.5</v>
          </cell>
        </row>
        <row r="220">
          <cell r="F220" t="str">
            <v>BB</v>
          </cell>
          <cell r="G220" t="str">
            <v>TTD</v>
          </cell>
        </row>
        <row r="221">
          <cell r="F221">
            <v>25.5</v>
          </cell>
          <cell r="G221">
            <v>25.5</v>
          </cell>
        </row>
        <row r="222">
          <cell r="E222">
            <v>23.6</v>
          </cell>
          <cell r="F222">
            <v>22.2</v>
          </cell>
          <cell r="G222">
            <v>21.404005287314629</v>
          </cell>
        </row>
        <row r="223">
          <cell r="E223">
            <v>25.2</v>
          </cell>
          <cell r="F223">
            <v>23.3</v>
          </cell>
          <cell r="G223">
            <v>22.304665193949809</v>
          </cell>
        </row>
        <row r="224">
          <cell r="E224">
            <v>26.3</v>
          </cell>
          <cell r="F224">
            <v>22.8</v>
          </cell>
          <cell r="G224">
            <v>20.9690515715928</v>
          </cell>
        </row>
        <row r="225">
          <cell r="E225">
            <v>28.2</v>
          </cell>
          <cell r="F225">
            <v>22.9</v>
          </cell>
          <cell r="G225">
            <v>20.127856522379709</v>
          </cell>
        </row>
        <row r="226">
          <cell r="E226">
            <v>28.4</v>
          </cell>
          <cell r="F226">
            <v>23.4</v>
          </cell>
          <cell r="G226">
            <v>20.860317420053146</v>
          </cell>
        </row>
        <row r="227">
          <cell r="E227">
            <v>29.3</v>
          </cell>
          <cell r="F227">
            <v>24.2</v>
          </cell>
          <cell r="G227">
            <v>21.718531189331355</v>
          </cell>
        </row>
        <row r="228">
          <cell r="E228">
            <v>29.6</v>
          </cell>
          <cell r="F228">
            <v>24.4</v>
          </cell>
          <cell r="G228">
            <v>21.895953551222608</v>
          </cell>
        </row>
        <row r="229">
          <cell r="E229">
            <v>29.3</v>
          </cell>
          <cell r="F229">
            <v>23.6</v>
          </cell>
          <cell r="G229">
            <v>20.724019438580157</v>
          </cell>
        </row>
        <row r="230">
          <cell r="E230">
            <v>29.3</v>
          </cell>
          <cell r="F230">
            <v>23.4</v>
          </cell>
          <cell r="G230">
            <v>20.385352548683432</v>
          </cell>
        </row>
        <row r="231">
          <cell r="E231">
            <v>29.1</v>
          </cell>
          <cell r="F231">
            <v>23.4</v>
          </cell>
          <cell r="G231">
            <v>20.491955832120485</v>
          </cell>
        </row>
        <row r="232">
          <cell r="E232">
            <v>28</v>
          </cell>
          <cell r="F232">
            <v>22.6</v>
          </cell>
          <cell r="G232">
            <v>19.725951341161583</v>
          </cell>
        </row>
        <row r="233">
          <cell r="E233">
            <v>26.4</v>
          </cell>
          <cell r="F233">
            <v>22.3</v>
          </cell>
          <cell r="G233">
            <v>20.09693908876757</v>
          </cell>
        </row>
        <row r="234">
          <cell r="E234">
            <v>25.5</v>
          </cell>
          <cell r="F234">
            <v>22.2</v>
          </cell>
          <cell r="G234">
            <v>20.416842573446026</v>
          </cell>
        </row>
        <row r="235">
          <cell r="F235" t="str">
            <v>-</v>
          </cell>
          <cell r="G235" t="str">
            <v>-</v>
          </cell>
        </row>
        <row r="236">
          <cell r="F236" t="str">
            <v>-</v>
          </cell>
          <cell r="G236" t="str">
            <v>-</v>
          </cell>
        </row>
        <row r="237">
          <cell r="F237" t="str">
            <v>-</v>
          </cell>
          <cell r="G237" t="str">
            <v>-</v>
          </cell>
        </row>
        <row r="238">
          <cell r="F238" t="str">
            <v>-</v>
          </cell>
          <cell r="G238" t="str">
            <v>-</v>
          </cell>
        </row>
        <row r="239">
          <cell r="F239" t="str">
            <v>-</v>
          </cell>
          <cell r="G239" t="str">
            <v>-</v>
          </cell>
        </row>
        <row r="240">
          <cell r="F240" t="str">
            <v>-</v>
          </cell>
          <cell r="G240" t="str">
            <v>-</v>
          </cell>
        </row>
        <row r="241">
          <cell r="F241" t="str">
            <v>-</v>
          </cell>
          <cell r="G241" t="str">
            <v>-</v>
          </cell>
        </row>
        <row r="242">
          <cell r="F242" t="str">
            <v>-</v>
          </cell>
          <cell r="G242" t="str">
            <v>-</v>
          </cell>
        </row>
        <row r="243">
          <cell r="F243" t="str">
            <v>-</v>
          </cell>
          <cell r="G243" t="str">
            <v>-</v>
          </cell>
        </row>
        <row r="244">
          <cell r="F244" t="str">
            <v>-</v>
          </cell>
          <cell r="G244" t="str">
            <v>-</v>
          </cell>
        </row>
        <row r="245">
          <cell r="F245" t="str">
            <v>-</v>
          </cell>
          <cell r="G245" t="str">
            <v>-</v>
          </cell>
        </row>
        <row r="246">
          <cell r="F246">
            <v>25.5</v>
          </cell>
          <cell r="G246">
            <v>25.5</v>
          </cell>
        </row>
        <row r="247">
          <cell r="F247">
            <v>25.5</v>
          </cell>
          <cell r="G247">
            <v>25.5</v>
          </cell>
        </row>
        <row r="248">
          <cell r="F248">
            <v>25.5</v>
          </cell>
          <cell r="G248">
            <v>25.5</v>
          </cell>
        </row>
        <row r="249">
          <cell r="F249" t="str">
            <v>WXREV</v>
          </cell>
          <cell r="G249">
            <v>25.5</v>
          </cell>
        </row>
        <row r="250">
          <cell r="F250">
            <v>25.5</v>
          </cell>
          <cell r="G250">
            <v>25.5</v>
          </cell>
        </row>
        <row r="251">
          <cell r="F251">
            <v>25.5</v>
          </cell>
          <cell r="G251">
            <v>25.5</v>
          </cell>
        </row>
        <row r="252">
          <cell r="F252">
            <v>25.5</v>
          </cell>
          <cell r="G252">
            <v>25.5</v>
          </cell>
        </row>
        <row r="253">
          <cell r="F253">
            <v>25.5</v>
          </cell>
          <cell r="G253">
            <v>25.5</v>
          </cell>
        </row>
        <row r="254">
          <cell r="F254" t="str">
            <v>JULI</v>
          </cell>
          <cell r="G254">
            <v>25.5</v>
          </cell>
        </row>
        <row r="255">
          <cell r="F255">
            <v>25.5</v>
          </cell>
          <cell r="G255">
            <v>25.5</v>
          </cell>
        </row>
        <row r="256">
          <cell r="F256" t="str">
            <v>BB</v>
          </cell>
          <cell r="G256" t="str">
            <v>TTD</v>
          </cell>
        </row>
        <row r="257">
          <cell r="F257">
            <v>25.5</v>
          </cell>
          <cell r="G257">
            <v>25.5</v>
          </cell>
        </row>
        <row r="258">
          <cell r="E258">
            <v>23.2</v>
          </cell>
          <cell r="F258">
            <v>21.6</v>
          </cell>
          <cell r="G258">
            <v>20.675874811421782</v>
          </cell>
        </row>
        <row r="259">
          <cell r="E259">
            <v>24.5</v>
          </cell>
          <cell r="F259">
            <v>22.1</v>
          </cell>
          <cell r="G259">
            <v>20.784273573906436</v>
          </cell>
        </row>
        <row r="260">
          <cell r="E260">
            <v>25.7</v>
          </cell>
          <cell r="F260">
            <v>22.2</v>
          </cell>
          <cell r="G260">
            <v>20.309812403186186</v>
          </cell>
        </row>
        <row r="261">
          <cell r="E261">
            <v>27.3</v>
          </cell>
          <cell r="F261">
            <v>22.3</v>
          </cell>
          <cell r="G261">
            <v>19.601732034444481</v>
          </cell>
        </row>
        <row r="262">
          <cell r="E262">
            <v>27.7</v>
          </cell>
          <cell r="F262">
            <v>22.8</v>
          </cell>
          <cell r="G262">
            <v>20.229325686668286</v>
          </cell>
        </row>
        <row r="263">
          <cell r="E263">
            <v>28.1</v>
          </cell>
          <cell r="F263">
            <v>22.4</v>
          </cell>
          <cell r="G263">
            <v>19.324561419949315</v>
          </cell>
        </row>
        <row r="264">
          <cell r="E264">
            <v>28.4</v>
          </cell>
          <cell r="F264">
            <v>26.8</v>
          </cell>
          <cell r="G264">
            <v>26.076626053025738</v>
          </cell>
        </row>
        <row r="265">
          <cell r="E265">
            <v>28.8</v>
          </cell>
          <cell r="F265">
            <v>22.6</v>
          </cell>
          <cell r="G265">
            <v>19.277370380433652</v>
          </cell>
        </row>
        <row r="266">
          <cell r="E266">
            <v>28</v>
          </cell>
          <cell r="F266">
            <v>22.4</v>
          </cell>
          <cell r="G266">
            <v>19.381090440974649</v>
          </cell>
        </row>
        <row r="267">
          <cell r="E267">
            <v>27</v>
          </cell>
          <cell r="F267">
            <v>22.2</v>
          </cell>
          <cell r="G267">
            <v>19.598589737885593</v>
          </cell>
        </row>
        <row r="268">
          <cell r="E268">
            <v>26.4</v>
          </cell>
          <cell r="F268">
            <v>22.2</v>
          </cell>
          <cell r="G268">
            <v>19.930254394805019</v>
          </cell>
        </row>
        <row r="269">
          <cell r="E269">
            <v>25.6</v>
          </cell>
          <cell r="F269">
            <v>22</v>
          </cell>
          <cell r="G269">
            <v>20.035132975669647</v>
          </cell>
        </row>
        <row r="270">
          <cell r="E270">
            <v>25.4</v>
          </cell>
          <cell r="F270">
            <v>22</v>
          </cell>
          <cell r="G270">
            <v>20.143757994628071</v>
          </cell>
        </row>
        <row r="271">
          <cell r="F271" t="str">
            <v>-</v>
          </cell>
          <cell r="G271" t="str">
            <v>-</v>
          </cell>
        </row>
        <row r="272">
          <cell r="F272" t="str">
            <v>-</v>
          </cell>
          <cell r="G272" t="str">
            <v>-</v>
          </cell>
        </row>
        <row r="273">
          <cell r="F273" t="str">
            <v>-</v>
          </cell>
          <cell r="G273" t="str">
            <v>-</v>
          </cell>
        </row>
        <row r="274">
          <cell r="F274" t="str">
            <v>-</v>
          </cell>
          <cell r="G274" t="str">
            <v>-</v>
          </cell>
        </row>
        <row r="275">
          <cell r="F275" t="str">
            <v>-</v>
          </cell>
          <cell r="G275" t="str">
            <v>-</v>
          </cell>
        </row>
        <row r="276">
          <cell r="F276" t="str">
            <v>-</v>
          </cell>
          <cell r="G276" t="str">
            <v>-</v>
          </cell>
        </row>
        <row r="277">
          <cell r="F277" t="str">
            <v>-</v>
          </cell>
          <cell r="G277" t="str">
            <v>-</v>
          </cell>
        </row>
        <row r="278">
          <cell r="F278" t="str">
            <v>-</v>
          </cell>
          <cell r="G278" t="str">
            <v>-</v>
          </cell>
        </row>
        <row r="279">
          <cell r="F279" t="str">
            <v>-</v>
          </cell>
          <cell r="G279" t="str">
            <v>-</v>
          </cell>
        </row>
        <row r="280">
          <cell r="F280" t="str">
            <v>-</v>
          </cell>
          <cell r="G280" t="str">
            <v>-</v>
          </cell>
        </row>
        <row r="281">
          <cell r="F281" t="str">
            <v>-</v>
          </cell>
          <cell r="G281" t="str">
            <v>-</v>
          </cell>
        </row>
        <row r="282">
          <cell r="F282">
            <v>25.4</v>
          </cell>
          <cell r="G282">
            <v>25.399993896484375</v>
          </cell>
        </row>
        <row r="283">
          <cell r="F283">
            <v>25.399993896484375</v>
          </cell>
          <cell r="G283">
            <v>25.399993896484375</v>
          </cell>
        </row>
        <row r="284">
          <cell r="F284">
            <v>25.399993896484375</v>
          </cell>
          <cell r="G284">
            <v>25.399993896484375</v>
          </cell>
        </row>
        <row r="285">
          <cell r="F285" t="str">
            <v>WXREV</v>
          </cell>
          <cell r="G285">
            <v>25.399993896484375</v>
          </cell>
        </row>
        <row r="286">
          <cell r="F286">
            <v>25.399993896484375</v>
          </cell>
          <cell r="G286">
            <v>25.399993896484375</v>
          </cell>
        </row>
        <row r="287">
          <cell r="F287">
            <v>25.399993896484375</v>
          </cell>
          <cell r="G287">
            <v>25.399993896484375</v>
          </cell>
        </row>
        <row r="288">
          <cell r="F288">
            <v>25.399993896484375</v>
          </cell>
          <cell r="G288">
            <v>25.399993896484375</v>
          </cell>
        </row>
        <row r="289">
          <cell r="F289">
            <v>25.399993896484375</v>
          </cell>
          <cell r="G289">
            <v>25.399993896484375</v>
          </cell>
        </row>
        <row r="290">
          <cell r="F290" t="str">
            <v>JULI</v>
          </cell>
          <cell r="G290">
            <v>25.399993896484375</v>
          </cell>
        </row>
        <row r="291">
          <cell r="F291">
            <v>25.399993896484375</v>
          </cell>
          <cell r="G291">
            <v>25.399993896484375</v>
          </cell>
        </row>
        <row r="292">
          <cell r="F292" t="str">
            <v>BB</v>
          </cell>
          <cell r="G292" t="str">
            <v>TTD</v>
          </cell>
        </row>
        <row r="293">
          <cell r="F293">
            <v>25.399993896484375</v>
          </cell>
          <cell r="G293">
            <v>25.399993896484375</v>
          </cell>
        </row>
        <row r="294">
          <cell r="E294">
            <v>22.4</v>
          </cell>
          <cell r="F294">
            <v>20.2</v>
          </cell>
          <cell r="G294">
            <v>18.864523649272865</v>
          </cell>
        </row>
        <row r="295">
          <cell r="E295">
            <v>24.6</v>
          </cell>
          <cell r="F295">
            <v>21.6</v>
          </cell>
          <cell r="G295">
            <v>19.924166414972749</v>
          </cell>
        </row>
        <row r="296">
          <cell r="E296">
            <v>25.8</v>
          </cell>
          <cell r="F296">
            <v>21.6</v>
          </cell>
          <cell r="G296">
            <v>19.254548197282784</v>
          </cell>
        </row>
        <row r="297">
          <cell r="E297">
            <v>26.9</v>
          </cell>
          <cell r="F297">
            <v>21.8</v>
          </cell>
          <cell r="G297">
            <v>18.967823048859756</v>
          </cell>
        </row>
        <row r="298">
          <cell r="E298">
            <v>28</v>
          </cell>
          <cell r="F298">
            <v>23.2</v>
          </cell>
          <cell r="G298">
            <v>20.737584230106016</v>
          </cell>
        </row>
        <row r="299">
          <cell r="E299">
            <v>27.4</v>
          </cell>
          <cell r="F299">
            <v>23.2</v>
          </cell>
          <cell r="G299">
            <v>21.0496477864498</v>
          </cell>
        </row>
        <row r="300">
          <cell r="E300">
            <v>27.2</v>
          </cell>
          <cell r="F300">
            <v>23.6</v>
          </cell>
          <cell r="G300">
            <v>21.794916962756314</v>
          </cell>
        </row>
        <row r="301">
          <cell r="E301">
            <v>27.2</v>
          </cell>
          <cell r="F301">
            <v>23.4</v>
          </cell>
          <cell r="G301">
            <v>21.47531350306749</v>
          </cell>
        </row>
        <row r="302">
          <cell r="E302">
            <v>26.8</v>
          </cell>
          <cell r="F302">
            <v>23.2</v>
          </cell>
          <cell r="G302">
            <v>21.356569638730033</v>
          </cell>
        </row>
        <row r="303">
          <cell r="E303">
            <v>26.2</v>
          </cell>
          <cell r="F303">
            <v>23.2</v>
          </cell>
          <cell r="G303">
            <v>21.658528701077763</v>
          </cell>
        </row>
        <row r="304">
          <cell r="E304">
            <v>25.4</v>
          </cell>
          <cell r="F304">
            <v>23</v>
          </cell>
          <cell r="G304">
            <v>21.743085824045714</v>
          </cell>
        </row>
        <row r="305">
          <cell r="E305">
            <v>24.4</v>
          </cell>
          <cell r="F305">
            <v>22.6</v>
          </cell>
          <cell r="G305">
            <v>21.619949242231353</v>
          </cell>
        </row>
        <row r="306">
          <cell r="E306">
            <v>24.2</v>
          </cell>
          <cell r="F306">
            <v>22.6</v>
          </cell>
          <cell r="G306">
            <v>21.719730167842847</v>
          </cell>
        </row>
        <row r="307">
          <cell r="F307" t="str">
            <v>-</v>
          </cell>
          <cell r="G307" t="str">
            <v>-</v>
          </cell>
        </row>
        <row r="308">
          <cell r="F308" t="str">
            <v>-</v>
          </cell>
          <cell r="G308" t="str">
            <v>-</v>
          </cell>
        </row>
        <row r="309">
          <cell r="F309" t="str">
            <v>-</v>
          </cell>
          <cell r="G309" t="str">
            <v>-</v>
          </cell>
        </row>
        <row r="310">
          <cell r="F310" t="str">
            <v>-</v>
          </cell>
          <cell r="G310" t="str">
            <v>-</v>
          </cell>
        </row>
        <row r="311">
          <cell r="F311" t="str">
            <v>-</v>
          </cell>
          <cell r="G311" t="str">
            <v>-</v>
          </cell>
        </row>
        <row r="312">
          <cell r="F312" t="str">
            <v>-</v>
          </cell>
          <cell r="G312" t="str">
            <v>-</v>
          </cell>
        </row>
        <row r="313">
          <cell r="F313" t="str">
            <v>-</v>
          </cell>
          <cell r="G313" t="str">
            <v>-</v>
          </cell>
        </row>
        <row r="314">
          <cell r="F314" t="str">
            <v>-</v>
          </cell>
          <cell r="G314" t="str">
            <v>-</v>
          </cell>
        </row>
        <row r="315">
          <cell r="F315" t="str">
            <v>-</v>
          </cell>
          <cell r="G315" t="str">
            <v>-</v>
          </cell>
        </row>
        <row r="316">
          <cell r="F316" t="str">
            <v>-</v>
          </cell>
          <cell r="G316" t="str">
            <v>-</v>
          </cell>
        </row>
        <row r="317">
          <cell r="F317" t="str">
            <v>-</v>
          </cell>
          <cell r="G317" t="str">
            <v>-</v>
          </cell>
        </row>
        <row r="318">
          <cell r="F318">
            <v>24.2</v>
          </cell>
          <cell r="G318">
            <v>24.199996948242188</v>
          </cell>
        </row>
        <row r="319">
          <cell r="F319">
            <v>24.199996948242188</v>
          </cell>
          <cell r="G319">
            <v>24.199996948242188</v>
          </cell>
        </row>
        <row r="320">
          <cell r="F320">
            <v>24.199996948242188</v>
          </cell>
          <cell r="G320">
            <v>24.199996948242188</v>
          </cell>
        </row>
        <row r="321">
          <cell r="F321" t="str">
            <v>WXREV</v>
          </cell>
          <cell r="G321">
            <v>24.199996948242188</v>
          </cell>
        </row>
        <row r="322">
          <cell r="F322">
            <v>24.199996948242188</v>
          </cell>
          <cell r="G322">
            <v>24.199996948242188</v>
          </cell>
        </row>
        <row r="323">
          <cell r="F323">
            <v>24.199996948242188</v>
          </cell>
          <cell r="G323">
            <v>24.199996948242188</v>
          </cell>
        </row>
        <row r="324">
          <cell r="F324">
            <v>24.199996948242188</v>
          </cell>
          <cell r="G324">
            <v>24.199996948242188</v>
          </cell>
        </row>
        <row r="325">
          <cell r="F325">
            <v>24.199996948242188</v>
          </cell>
          <cell r="G325">
            <v>24.199996948242188</v>
          </cell>
        </row>
        <row r="326">
          <cell r="F326" t="str">
            <v>JULI</v>
          </cell>
          <cell r="G326">
            <v>24.199996948242188</v>
          </cell>
        </row>
        <row r="327">
          <cell r="F327">
            <v>24.199996948242188</v>
          </cell>
          <cell r="G327">
            <v>24.199996948242188</v>
          </cell>
        </row>
        <row r="328">
          <cell r="F328" t="str">
            <v>BB</v>
          </cell>
          <cell r="G328" t="str">
            <v>TTD</v>
          </cell>
        </row>
        <row r="329">
          <cell r="F329">
            <v>24.199996948242188</v>
          </cell>
          <cell r="G329">
            <v>24.199996948242188</v>
          </cell>
        </row>
        <row r="330">
          <cell r="E330">
            <v>21.8</v>
          </cell>
          <cell r="F330">
            <v>20</v>
          </cell>
          <cell r="G330">
            <v>18.883957893093026</v>
          </cell>
        </row>
        <row r="331">
          <cell r="E331">
            <v>24.4</v>
          </cell>
          <cell r="F331">
            <v>22</v>
          </cell>
          <cell r="G331">
            <v>20.67752286740204</v>
          </cell>
        </row>
        <row r="332">
          <cell r="E332">
            <v>25.7</v>
          </cell>
          <cell r="F332">
            <v>22.2</v>
          </cell>
          <cell r="G332">
            <v>20.309812403186186</v>
          </cell>
        </row>
        <row r="333">
          <cell r="E333">
            <v>27</v>
          </cell>
          <cell r="F333">
            <v>22.8</v>
          </cell>
          <cell r="G333">
            <v>20.602873681847623</v>
          </cell>
        </row>
        <row r="334">
          <cell r="E334">
            <v>28</v>
          </cell>
          <cell r="F334">
            <v>23.3</v>
          </cell>
          <cell r="G334">
            <v>20.903014541727206</v>
          </cell>
        </row>
        <row r="335">
          <cell r="E335">
            <v>28.2</v>
          </cell>
          <cell r="F335">
            <v>23.2</v>
          </cell>
          <cell r="G335">
            <v>20.632388082150648</v>
          </cell>
        </row>
        <row r="336">
          <cell r="E336">
            <v>28.8</v>
          </cell>
          <cell r="F336">
            <v>23.6</v>
          </cell>
          <cell r="G336">
            <v>20.984629199408523</v>
          </cell>
        </row>
        <row r="337">
          <cell r="E337">
            <v>29.6</v>
          </cell>
          <cell r="F337">
            <v>24.6</v>
          </cell>
          <cell r="G337">
            <v>22.219995210731696</v>
          </cell>
        </row>
        <row r="338">
          <cell r="E338">
            <v>29.4</v>
          </cell>
          <cell r="F338">
            <v>24.2</v>
          </cell>
          <cell r="G338">
            <v>21.668699112332721</v>
          </cell>
        </row>
        <row r="339">
          <cell r="E339">
            <v>29</v>
          </cell>
          <cell r="F339">
            <v>24</v>
          </cell>
          <cell r="G339">
            <v>21.541810194989623</v>
          </cell>
        </row>
        <row r="340">
          <cell r="E340">
            <v>28.6</v>
          </cell>
          <cell r="F340">
            <v>23.8</v>
          </cell>
          <cell r="G340">
            <v>21.416446175167959</v>
          </cell>
        </row>
        <row r="341">
          <cell r="E341">
            <v>27.6</v>
          </cell>
          <cell r="F341">
            <v>23.6</v>
          </cell>
          <cell r="G341">
            <v>21.595614336629087</v>
          </cell>
        </row>
        <row r="342">
          <cell r="E342">
            <v>26.4</v>
          </cell>
          <cell r="F342">
            <v>23.6</v>
          </cell>
          <cell r="G342">
            <v>22.18727787108098</v>
          </cell>
        </row>
        <row r="343">
          <cell r="F343" t="str">
            <v>-</v>
          </cell>
          <cell r="G343" t="str">
            <v>-</v>
          </cell>
        </row>
        <row r="344">
          <cell r="F344" t="str">
            <v>-</v>
          </cell>
          <cell r="G344" t="str">
            <v>-</v>
          </cell>
        </row>
        <row r="345">
          <cell r="F345" t="str">
            <v>-</v>
          </cell>
          <cell r="G345" t="str">
            <v>-</v>
          </cell>
        </row>
        <row r="346">
          <cell r="F346" t="str">
            <v>-</v>
          </cell>
          <cell r="G346" t="str">
            <v>-</v>
          </cell>
        </row>
        <row r="347">
          <cell r="F347" t="str">
            <v>-</v>
          </cell>
          <cell r="G347" t="str">
            <v>-</v>
          </cell>
        </row>
        <row r="348">
          <cell r="F348" t="str">
            <v>-</v>
          </cell>
          <cell r="G348" t="str">
            <v>-</v>
          </cell>
        </row>
        <row r="349">
          <cell r="F349" t="str">
            <v>-</v>
          </cell>
          <cell r="G349" t="str">
            <v>-</v>
          </cell>
        </row>
        <row r="350">
          <cell r="F350" t="str">
            <v>-</v>
          </cell>
          <cell r="G350" t="str">
            <v>-</v>
          </cell>
        </row>
        <row r="351">
          <cell r="F351" t="str">
            <v>-</v>
          </cell>
          <cell r="G351" t="str">
            <v>-</v>
          </cell>
        </row>
        <row r="352">
          <cell r="F352" t="str">
            <v>-</v>
          </cell>
          <cell r="G352" t="str">
            <v>-</v>
          </cell>
        </row>
        <row r="353">
          <cell r="F353" t="str">
            <v>-</v>
          </cell>
          <cell r="G353" t="str">
            <v>-</v>
          </cell>
        </row>
        <row r="354">
          <cell r="F354">
            <v>26.4</v>
          </cell>
          <cell r="G354">
            <v>26.399993896484375</v>
          </cell>
        </row>
        <row r="355">
          <cell r="F355">
            <v>26.399993896484375</v>
          </cell>
          <cell r="G355">
            <v>26.399993896484375</v>
          </cell>
        </row>
        <row r="356">
          <cell r="F356">
            <v>26.399993896484375</v>
          </cell>
          <cell r="G356">
            <v>26.399993896484375</v>
          </cell>
        </row>
        <row r="357">
          <cell r="F357" t="str">
            <v>WXREV</v>
          </cell>
          <cell r="G357">
            <v>26.399993896484375</v>
          </cell>
        </row>
        <row r="358">
          <cell r="F358">
            <v>26.399993896484375</v>
          </cell>
          <cell r="G358">
            <v>26.399993896484375</v>
          </cell>
        </row>
        <row r="359">
          <cell r="F359">
            <v>26.399993896484375</v>
          </cell>
          <cell r="G359">
            <v>26.399993896484375</v>
          </cell>
        </row>
        <row r="360">
          <cell r="F360">
            <v>26.399993896484375</v>
          </cell>
          <cell r="G360">
            <v>26.399993896484375</v>
          </cell>
        </row>
        <row r="361">
          <cell r="F361">
            <v>26.399993896484375</v>
          </cell>
          <cell r="G361">
            <v>26.399993896484375</v>
          </cell>
        </row>
        <row r="362">
          <cell r="F362" t="str">
            <v>JULI</v>
          </cell>
          <cell r="G362">
            <v>26.399993896484375</v>
          </cell>
        </row>
        <row r="363">
          <cell r="F363">
            <v>26.399993896484375</v>
          </cell>
          <cell r="G363">
            <v>26.399993896484375</v>
          </cell>
        </row>
        <row r="364">
          <cell r="F364" t="str">
            <v>BB</v>
          </cell>
          <cell r="G364" t="str">
            <v>TTD</v>
          </cell>
        </row>
        <row r="365">
          <cell r="F365">
            <v>26.399993896484375</v>
          </cell>
          <cell r="G365">
            <v>26.399993896484375</v>
          </cell>
        </row>
        <row r="366">
          <cell r="E366">
            <v>22.8</v>
          </cell>
          <cell r="F366">
            <v>21.8</v>
          </cell>
          <cell r="G366">
            <v>21.194470798905602</v>
          </cell>
        </row>
        <row r="367">
          <cell r="E367">
            <v>24.8</v>
          </cell>
          <cell r="F367">
            <v>22.6</v>
          </cell>
          <cell r="G367">
            <v>21.418776610230672</v>
          </cell>
        </row>
        <row r="368">
          <cell r="E368">
            <v>26.2</v>
          </cell>
          <cell r="F368">
            <v>23.4</v>
          </cell>
          <cell r="G368">
            <v>21.972788358984861</v>
          </cell>
        </row>
        <row r="369">
          <cell r="E369">
            <v>28</v>
          </cell>
          <cell r="F369">
            <v>23.6</v>
          </cell>
          <cell r="G369">
            <v>21.394166031907911</v>
          </cell>
        </row>
        <row r="370">
          <cell r="E370">
            <v>29.7</v>
          </cell>
          <cell r="F370">
            <v>24.1</v>
          </cell>
          <cell r="G370">
            <v>21.353034031232745</v>
          </cell>
        </row>
        <row r="371">
          <cell r="E371">
            <v>30.8</v>
          </cell>
          <cell r="F371">
            <v>24.4</v>
          </cell>
          <cell r="G371">
            <v>21.294837240921414</v>
          </cell>
        </row>
        <row r="372">
          <cell r="E372">
            <v>30.1</v>
          </cell>
          <cell r="F372">
            <v>25.1</v>
          </cell>
          <cell r="G372">
            <v>22.782741762943349</v>
          </cell>
        </row>
        <row r="373">
          <cell r="E373">
            <v>30</v>
          </cell>
          <cell r="F373">
            <v>25.2</v>
          </cell>
          <cell r="G373">
            <v>22.988313287442271</v>
          </cell>
        </row>
        <row r="374">
          <cell r="E374">
            <v>25.4</v>
          </cell>
          <cell r="F374">
            <v>24</v>
          </cell>
          <cell r="G374">
            <v>23.268536476619335</v>
          </cell>
        </row>
        <row r="375">
          <cell r="E375">
            <v>22.4</v>
          </cell>
          <cell r="F375">
            <v>22.3</v>
          </cell>
          <cell r="G375">
            <v>22.150826018661888</v>
          </cell>
        </row>
        <row r="376">
          <cell r="E376">
            <v>23.6</v>
          </cell>
          <cell r="F376">
            <v>23.2</v>
          </cell>
          <cell r="G376">
            <v>22.913634274744748</v>
          </cell>
        </row>
        <row r="377">
          <cell r="E377">
            <v>23.6</v>
          </cell>
          <cell r="F377">
            <v>23.4</v>
          </cell>
          <cell r="G377">
            <v>23.207812519635773</v>
          </cell>
        </row>
        <row r="378">
          <cell r="E378">
            <v>24.2</v>
          </cell>
          <cell r="F378">
            <v>23.8</v>
          </cell>
          <cell r="G378">
            <v>23.519536764728979</v>
          </cell>
        </row>
        <row r="379">
          <cell r="F379" t="str">
            <v>-</v>
          </cell>
          <cell r="G379" t="str">
            <v>-</v>
          </cell>
        </row>
        <row r="380">
          <cell r="F380" t="str">
            <v>-</v>
          </cell>
          <cell r="G380" t="str">
            <v>-</v>
          </cell>
        </row>
        <row r="381">
          <cell r="F381" t="str">
            <v>-</v>
          </cell>
          <cell r="G381" t="str">
            <v>-</v>
          </cell>
        </row>
        <row r="382">
          <cell r="F382" t="str">
            <v>-</v>
          </cell>
          <cell r="G382" t="str">
            <v>-</v>
          </cell>
        </row>
        <row r="383">
          <cell r="F383" t="str">
            <v>-</v>
          </cell>
          <cell r="G383" t="str">
            <v>-</v>
          </cell>
        </row>
        <row r="384">
          <cell r="F384" t="str">
            <v>-</v>
          </cell>
          <cell r="G384" t="str">
            <v>-</v>
          </cell>
        </row>
        <row r="385">
          <cell r="F385" t="str">
            <v>-</v>
          </cell>
          <cell r="G385" t="str">
            <v>-</v>
          </cell>
        </row>
        <row r="386">
          <cell r="F386" t="str">
            <v>-</v>
          </cell>
          <cell r="G386" t="str">
            <v>-</v>
          </cell>
        </row>
        <row r="387">
          <cell r="F387" t="str">
            <v>-</v>
          </cell>
          <cell r="G387" t="str">
            <v>-</v>
          </cell>
        </row>
        <row r="388">
          <cell r="F388" t="str">
            <v>-</v>
          </cell>
          <cell r="G388" t="str">
            <v>-</v>
          </cell>
        </row>
        <row r="389">
          <cell r="F389" t="str">
            <v>-</v>
          </cell>
          <cell r="G389" t="str">
            <v>-</v>
          </cell>
        </row>
        <row r="390">
          <cell r="F390">
            <v>22.4</v>
          </cell>
          <cell r="G390">
            <v>22.399993896484375</v>
          </cell>
        </row>
        <row r="391">
          <cell r="F391">
            <v>22.399993896484375</v>
          </cell>
          <cell r="G391">
            <v>22.399993896484375</v>
          </cell>
        </row>
        <row r="392">
          <cell r="F392">
            <v>22.399993896484375</v>
          </cell>
          <cell r="G392">
            <v>22.399993896484375</v>
          </cell>
        </row>
        <row r="393">
          <cell r="F393" t="str">
            <v>WXREV</v>
          </cell>
          <cell r="G393">
            <v>22.399993896484375</v>
          </cell>
        </row>
        <row r="394">
          <cell r="F394">
            <v>22.399993896484375</v>
          </cell>
          <cell r="G394">
            <v>22.399993896484375</v>
          </cell>
        </row>
        <row r="395">
          <cell r="F395">
            <v>22.399993896484375</v>
          </cell>
          <cell r="G395">
            <v>22.399993896484375</v>
          </cell>
        </row>
        <row r="396">
          <cell r="F396">
            <v>22.399993896484375</v>
          </cell>
          <cell r="G396">
            <v>22.399993896484375</v>
          </cell>
        </row>
        <row r="397">
          <cell r="F397">
            <v>22.399993896484375</v>
          </cell>
          <cell r="G397">
            <v>22.399993896484375</v>
          </cell>
        </row>
        <row r="398">
          <cell r="F398" t="str">
            <v>JULI</v>
          </cell>
          <cell r="G398">
            <v>22.399993896484375</v>
          </cell>
        </row>
        <row r="399">
          <cell r="F399">
            <v>22.399993896484375</v>
          </cell>
          <cell r="G399">
            <v>22.399993896484375</v>
          </cell>
        </row>
        <row r="400">
          <cell r="F400" t="str">
            <v>BB</v>
          </cell>
          <cell r="G400" t="str">
            <v>TTD</v>
          </cell>
        </row>
        <row r="401">
          <cell r="F401">
            <v>22.399993896484375</v>
          </cell>
          <cell r="G401">
            <v>22.399993896484375</v>
          </cell>
        </row>
        <row r="402">
          <cell r="E402">
            <v>23.5</v>
          </cell>
          <cell r="F402">
            <v>23.1</v>
          </cell>
          <cell r="G402">
            <v>22.812629989906107</v>
          </cell>
        </row>
        <row r="403">
          <cell r="E403">
            <v>25.6</v>
          </cell>
          <cell r="F403">
            <v>24.2</v>
          </cell>
          <cell r="G403">
            <v>23.475269202586603</v>
          </cell>
        </row>
        <row r="404">
          <cell r="E404">
            <v>26.4</v>
          </cell>
          <cell r="F404">
            <v>24.2</v>
          </cell>
          <cell r="G404">
            <v>23.109032442757304</v>
          </cell>
        </row>
        <row r="405">
          <cell r="E405">
            <v>28</v>
          </cell>
          <cell r="F405">
            <v>25</v>
          </cell>
          <cell r="G405">
            <v>23.593703811444115</v>
          </cell>
        </row>
        <row r="406">
          <cell r="E406">
            <v>29.5</v>
          </cell>
          <cell r="F406">
            <v>24.6</v>
          </cell>
          <cell r="G406">
            <v>22.268387984669609</v>
          </cell>
        </row>
        <row r="407">
          <cell r="E407">
            <v>30</v>
          </cell>
          <cell r="F407">
            <v>24.5</v>
          </cell>
          <cell r="G407">
            <v>21.861859374764737</v>
          </cell>
        </row>
        <row r="408">
          <cell r="E408">
            <v>30.2</v>
          </cell>
          <cell r="F408">
            <v>24.3</v>
          </cell>
          <cell r="G408">
            <v>21.431936245680912</v>
          </cell>
        </row>
        <row r="409">
          <cell r="E409">
            <v>31.2</v>
          </cell>
          <cell r="F409">
            <v>25.8</v>
          </cell>
          <cell r="G409">
            <v>23.385719390969253</v>
          </cell>
        </row>
        <row r="410">
          <cell r="E410">
            <v>29.6</v>
          </cell>
          <cell r="F410">
            <v>25.5</v>
          </cell>
          <cell r="G410">
            <v>23.640370879653982</v>
          </cell>
        </row>
        <row r="411">
          <cell r="E411">
            <v>28.8</v>
          </cell>
          <cell r="F411">
            <v>25.5</v>
          </cell>
          <cell r="G411">
            <v>23.996639238444871</v>
          </cell>
        </row>
        <row r="412">
          <cell r="E412">
            <v>27.2</v>
          </cell>
          <cell r="F412">
            <v>25</v>
          </cell>
          <cell r="G412">
            <v>23.950825647173037</v>
          </cell>
        </row>
        <row r="413">
          <cell r="E413">
            <v>26.6</v>
          </cell>
          <cell r="F413">
            <v>25.2</v>
          </cell>
          <cell r="G413">
            <v>24.507713530973501</v>
          </cell>
        </row>
        <row r="414">
          <cell r="E414">
            <v>26.2</v>
          </cell>
          <cell r="F414">
            <v>25</v>
          </cell>
          <cell r="G414">
            <v>24.388027271235554</v>
          </cell>
        </row>
        <row r="415">
          <cell r="F415" t="str">
            <v>-</v>
          </cell>
          <cell r="G415" t="str">
            <v>-</v>
          </cell>
        </row>
        <row r="416">
          <cell r="F416" t="str">
            <v>-</v>
          </cell>
          <cell r="G416" t="str">
            <v>-</v>
          </cell>
        </row>
        <row r="417">
          <cell r="F417" t="str">
            <v>-</v>
          </cell>
          <cell r="G417" t="str">
            <v>-</v>
          </cell>
        </row>
        <row r="418">
          <cell r="F418" t="str">
            <v>-</v>
          </cell>
          <cell r="G418" t="str">
            <v>-</v>
          </cell>
        </row>
        <row r="419">
          <cell r="F419" t="str">
            <v>-</v>
          </cell>
          <cell r="G419" t="str">
            <v>-</v>
          </cell>
        </row>
        <row r="420">
          <cell r="F420" t="str">
            <v>-</v>
          </cell>
          <cell r="G420" t="str">
            <v>-</v>
          </cell>
        </row>
        <row r="421">
          <cell r="F421" t="str">
            <v>-</v>
          </cell>
          <cell r="G421" t="str">
            <v>-</v>
          </cell>
        </row>
        <row r="422">
          <cell r="F422" t="str">
            <v>-</v>
          </cell>
          <cell r="G422" t="str">
            <v>-</v>
          </cell>
        </row>
        <row r="423">
          <cell r="F423" t="str">
            <v>-</v>
          </cell>
          <cell r="G423" t="str">
            <v>-</v>
          </cell>
        </row>
        <row r="424">
          <cell r="F424" t="str">
            <v>-</v>
          </cell>
          <cell r="G424" t="str">
            <v>-</v>
          </cell>
        </row>
        <row r="425">
          <cell r="F425" t="str">
            <v>-</v>
          </cell>
          <cell r="G425" t="str">
            <v>-</v>
          </cell>
        </row>
        <row r="426">
          <cell r="F426">
            <v>26.2</v>
          </cell>
          <cell r="G426">
            <v>26.199996948242188</v>
          </cell>
        </row>
        <row r="427">
          <cell r="F427">
            <v>26.199996948242188</v>
          </cell>
          <cell r="G427">
            <v>26.199996948242188</v>
          </cell>
        </row>
        <row r="428">
          <cell r="F428">
            <v>26.199996948242188</v>
          </cell>
          <cell r="G428">
            <v>26.199996948242188</v>
          </cell>
        </row>
        <row r="429">
          <cell r="F429" t="str">
            <v>WXREV</v>
          </cell>
          <cell r="G429">
            <v>26.199996948242188</v>
          </cell>
        </row>
        <row r="430">
          <cell r="F430">
            <v>26.199996948242188</v>
          </cell>
          <cell r="G430">
            <v>26.199996948242188</v>
          </cell>
        </row>
        <row r="431">
          <cell r="F431">
            <v>26.199996948242188</v>
          </cell>
          <cell r="G431">
            <v>26.199996948242188</v>
          </cell>
        </row>
        <row r="432">
          <cell r="F432">
            <v>26.199996948242188</v>
          </cell>
          <cell r="G432">
            <v>26.199996948242188</v>
          </cell>
        </row>
        <row r="433">
          <cell r="F433">
            <v>26.199996948242188</v>
          </cell>
          <cell r="G433">
            <v>26.199996948242188</v>
          </cell>
        </row>
        <row r="434">
          <cell r="F434" t="str">
            <v>JULI</v>
          </cell>
          <cell r="G434">
            <v>26.199996948242188</v>
          </cell>
        </row>
        <row r="435">
          <cell r="F435">
            <v>26.199996948242188</v>
          </cell>
          <cell r="G435">
            <v>26.199996948242188</v>
          </cell>
        </row>
        <row r="436">
          <cell r="F436" t="str">
            <v>BB</v>
          </cell>
          <cell r="G436" t="str">
            <v>TTD</v>
          </cell>
        </row>
        <row r="437">
          <cell r="F437">
            <v>26.199996948242188</v>
          </cell>
          <cell r="G437">
            <v>26.199996948242188</v>
          </cell>
        </row>
        <row r="438">
          <cell r="E438">
            <v>24.4</v>
          </cell>
          <cell r="F438">
            <v>23.7</v>
          </cell>
          <cell r="G438">
            <v>23.281650558659795</v>
          </cell>
        </row>
        <row r="439">
          <cell r="E439">
            <v>26.3</v>
          </cell>
          <cell r="F439">
            <v>23.7</v>
          </cell>
          <cell r="G439">
            <v>22.390727376124811</v>
          </cell>
        </row>
        <row r="440">
          <cell r="E440">
            <v>27.6</v>
          </cell>
          <cell r="F440">
            <v>24.7</v>
          </cell>
          <cell r="G440">
            <v>23.318031457511136</v>
          </cell>
        </row>
        <row r="441">
          <cell r="E441">
            <v>28.5</v>
          </cell>
          <cell r="F441">
            <v>24.9</v>
          </cell>
          <cell r="G441">
            <v>23.212740182238996</v>
          </cell>
        </row>
        <row r="442">
          <cell r="E442">
            <v>29.4</v>
          </cell>
          <cell r="F442">
            <v>25.2</v>
          </cell>
          <cell r="G442">
            <v>23.265416041293889</v>
          </cell>
        </row>
        <row r="443">
          <cell r="E443">
            <v>30.2</v>
          </cell>
          <cell r="F443">
            <v>25.7</v>
          </cell>
          <cell r="G443">
            <v>23.680904262603566</v>
          </cell>
        </row>
        <row r="444">
          <cell r="E444">
            <v>29.8</v>
          </cell>
          <cell r="F444">
            <v>25.4</v>
          </cell>
          <cell r="G444">
            <v>23.394590685489504</v>
          </cell>
        </row>
        <row r="445">
          <cell r="E445">
            <v>29.6</v>
          </cell>
          <cell r="F445">
            <v>25.8</v>
          </cell>
          <cell r="G445">
            <v>24.1010596629962</v>
          </cell>
        </row>
        <row r="446">
          <cell r="E446">
            <v>28.6</v>
          </cell>
          <cell r="F446">
            <v>25.4</v>
          </cell>
          <cell r="G446">
            <v>23.933335820614669</v>
          </cell>
        </row>
        <row r="447">
          <cell r="E447">
            <v>27.8</v>
          </cell>
          <cell r="F447">
            <v>24.6</v>
          </cell>
          <cell r="G447">
            <v>23.072611503492613</v>
          </cell>
        </row>
        <row r="448">
          <cell r="E448">
            <v>27.1</v>
          </cell>
          <cell r="F448">
            <v>24.7</v>
          </cell>
          <cell r="G448">
            <v>23.545262944402548</v>
          </cell>
        </row>
        <row r="449">
          <cell r="E449">
            <v>26.6</v>
          </cell>
          <cell r="F449">
            <v>24.8</v>
          </cell>
          <cell r="G449">
            <v>23.918598073842094</v>
          </cell>
        </row>
        <row r="450">
          <cell r="E450">
            <v>26.1</v>
          </cell>
          <cell r="F450">
            <v>24.2</v>
          </cell>
          <cell r="G450">
            <v>23.247201183448343</v>
          </cell>
        </row>
        <row r="451">
          <cell r="F451" t="str">
            <v>-</v>
          </cell>
          <cell r="G451" t="str">
            <v>-</v>
          </cell>
        </row>
        <row r="452">
          <cell r="F452" t="str">
            <v>-</v>
          </cell>
          <cell r="G452" t="str">
            <v>-</v>
          </cell>
        </row>
        <row r="453">
          <cell r="F453" t="str">
            <v>-</v>
          </cell>
          <cell r="G453" t="str">
            <v>-</v>
          </cell>
        </row>
        <row r="454">
          <cell r="F454" t="str">
            <v>-</v>
          </cell>
          <cell r="G454" t="str">
            <v>-</v>
          </cell>
        </row>
        <row r="455">
          <cell r="F455" t="str">
            <v>-</v>
          </cell>
          <cell r="G455" t="str">
            <v>-</v>
          </cell>
        </row>
        <row r="456">
          <cell r="F456" t="str">
            <v>-</v>
          </cell>
          <cell r="G456" t="str">
            <v>-</v>
          </cell>
        </row>
        <row r="457">
          <cell r="F457" t="str">
            <v>-</v>
          </cell>
          <cell r="G457" t="str">
            <v>-</v>
          </cell>
        </row>
        <row r="458">
          <cell r="F458" t="str">
            <v>-</v>
          </cell>
          <cell r="G458" t="str">
            <v>-</v>
          </cell>
        </row>
        <row r="459">
          <cell r="F459" t="str">
            <v>-</v>
          </cell>
          <cell r="G459" t="str">
            <v>-</v>
          </cell>
        </row>
        <row r="460">
          <cell r="F460" t="str">
            <v>-</v>
          </cell>
          <cell r="G460" t="str">
            <v>-</v>
          </cell>
        </row>
        <row r="461">
          <cell r="F461" t="str">
            <v>-</v>
          </cell>
          <cell r="G461" t="str">
            <v>-</v>
          </cell>
        </row>
        <row r="462">
          <cell r="F462">
            <v>26.1</v>
          </cell>
          <cell r="G462">
            <v>26.099990844726563</v>
          </cell>
        </row>
        <row r="463">
          <cell r="F463">
            <v>26.099990844726563</v>
          </cell>
          <cell r="G463">
            <v>26.099990844726563</v>
          </cell>
        </row>
        <row r="464">
          <cell r="F464">
            <v>26.099990844726563</v>
          </cell>
          <cell r="G464">
            <v>26.099990844726563</v>
          </cell>
        </row>
        <row r="465">
          <cell r="F465" t="str">
            <v>WXREV</v>
          </cell>
          <cell r="G465">
            <v>26.099990844726563</v>
          </cell>
        </row>
        <row r="466">
          <cell r="F466">
            <v>26.099990844726563</v>
          </cell>
          <cell r="G466">
            <v>26.099990844726563</v>
          </cell>
        </row>
        <row r="467">
          <cell r="F467">
            <v>26.099990844726563</v>
          </cell>
          <cell r="G467">
            <v>26.099990844726563</v>
          </cell>
        </row>
        <row r="468">
          <cell r="F468">
            <v>26.099990844726563</v>
          </cell>
          <cell r="G468">
            <v>26.099990844726563</v>
          </cell>
        </row>
        <row r="469">
          <cell r="F469">
            <v>26.099990844726563</v>
          </cell>
          <cell r="G469">
            <v>26.099990844726563</v>
          </cell>
        </row>
        <row r="470">
          <cell r="F470" t="str">
            <v>JULI</v>
          </cell>
          <cell r="G470">
            <v>26.099990844726563</v>
          </cell>
        </row>
        <row r="471">
          <cell r="F471">
            <v>26.099990844726563</v>
          </cell>
          <cell r="G471">
            <v>26.099990844726563</v>
          </cell>
        </row>
        <row r="472">
          <cell r="F472" t="str">
            <v>BB</v>
          </cell>
          <cell r="G472" t="str">
            <v>TTD</v>
          </cell>
        </row>
        <row r="473">
          <cell r="F473">
            <v>26.099990844726563</v>
          </cell>
          <cell r="G473">
            <v>26.099990844726563</v>
          </cell>
        </row>
        <row r="474">
          <cell r="E474">
            <v>24.2</v>
          </cell>
          <cell r="F474">
            <v>23.7</v>
          </cell>
          <cell r="G474">
            <v>23.37303815542662</v>
          </cell>
        </row>
        <row r="475">
          <cell r="E475">
            <v>24.8</v>
          </cell>
          <cell r="F475">
            <v>23.8</v>
          </cell>
          <cell r="G475">
            <v>23.246174595512937</v>
          </cell>
        </row>
        <row r="476">
          <cell r="E476">
            <v>26.7</v>
          </cell>
          <cell r="F476">
            <v>24.6</v>
          </cell>
          <cell r="G476">
            <v>23.575350595291621</v>
          </cell>
        </row>
        <row r="477">
          <cell r="E477">
            <v>27.5</v>
          </cell>
          <cell r="F477">
            <v>24.7</v>
          </cell>
          <cell r="G477">
            <v>23.363695800806138</v>
          </cell>
        </row>
        <row r="478">
          <cell r="E478">
            <v>28.4</v>
          </cell>
          <cell r="F478">
            <v>24.5</v>
          </cell>
          <cell r="G478">
            <v>22.635899802692006</v>
          </cell>
        </row>
        <row r="479">
          <cell r="E479">
            <v>29.2</v>
          </cell>
          <cell r="F479">
            <v>24.8</v>
          </cell>
          <cell r="G479">
            <v>22.730458944972405</v>
          </cell>
        </row>
        <row r="480">
          <cell r="E480">
            <v>29.8</v>
          </cell>
          <cell r="F480">
            <v>24.6</v>
          </cell>
          <cell r="G480">
            <v>22.122834462404985</v>
          </cell>
        </row>
        <row r="481">
          <cell r="E481">
            <v>30.6</v>
          </cell>
          <cell r="F481">
            <v>24.5</v>
          </cell>
          <cell r="G481">
            <v>21.563165499391832</v>
          </cell>
        </row>
        <row r="482">
          <cell r="E482">
            <v>31.3</v>
          </cell>
          <cell r="F482">
            <v>24.7</v>
          </cell>
          <cell r="G482">
            <v>21.545806663132904</v>
          </cell>
        </row>
        <row r="483">
          <cell r="E483">
            <v>30.7</v>
          </cell>
          <cell r="F483">
            <v>24.4</v>
          </cell>
          <cell r="G483">
            <v>21.345674920286211</v>
          </cell>
        </row>
        <row r="484">
          <cell r="E484">
            <v>29.5</v>
          </cell>
          <cell r="F484">
            <v>24.3</v>
          </cell>
          <cell r="G484">
            <v>21.782373423989686</v>
          </cell>
        </row>
        <row r="485">
          <cell r="E485">
            <v>27</v>
          </cell>
          <cell r="F485">
            <v>24.9</v>
          </cell>
          <cell r="G485">
            <v>23.890133080418831</v>
          </cell>
        </row>
        <row r="486">
          <cell r="E486">
            <v>26.3</v>
          </cell>
          <cell r="F486">
            <v>24.5</v>
          </cell>
          <cell r="G486">
            <v>23.605936182140407</v>
          </cell>
        </row>
        <row r="487">
          <cell r="F487" t="str">
            <v>-</v>
          </cell>
          <cell r="G487" t="str">
            <v>-</v>
          </cell>
        </row>
        <row r="488">
          <cell r="F488" t="str">
            <v>-</v>
          </cell>
          <cell r="G488" t="str">
            <v>-</v>
          </cell>
        </row>
        <row r="489">
          <cell r="F489" t="str">
            <v>-</v>
          </cell>
          <cell r="G489" t="str">
            <v>-</v>
          </cell>
        </row>
        <row r="490">
          <cell r="F490" t="str">
            <v>-</v>
          </cell>
          <cell r="G490" t="str">
            <v>-</v>
          </cell>
        </row>
        <row r="491">
          <cell r="F491" t="str">
            <v>-</v>
          </cell>
          <cell r="G491" t="str">
            <v>-</v>
          </cell>
        </row>
        <row r="492">
          <cell r="F492" t="str">
            <v>-</v>
          </cell>
          <cell r="G492" t="str">
            <v>-</v>
          </cell>
        </row>
        <row r="493">
          <cell r="F493" t="str">
            <v>-</v>
          </cell>
          <cell r="G493" t="str">
            <v>-</v>
          </cell>
        </row>
        <row r="494">
          <cell r="F494" t="str">
            <v>-</v>
          </cell>
          <cell r="G494" t="str">
            <v>-</v>
          </cell>
        </row>
        <row r="495">
          <cell r="F495" t="str">
            <v>-</v>
          </cell>
          <cell r="G495" t="str">
            <v>-</v>
          </cell>
        </row>
        <row r="496">
          <cell r="F496" t="str">
            <v>-</v>
          </cell>
          <cell r="G496" t="str">
            <v>-</v>
          </cell>
        </row>
        <row r="497">
          <cell r="F497" t="str">
            <v>-</v>
          </cell>
          <cell r="G497" t="str">
            <v>-</v>
          </cell>
        </row>
        <row r="498">
          <cell r="F498">
            <v>26.3</v>
          </cell>
          <cell r="G498">
            <v>26.29998779296875</v>
          </cell>
        </row>
        <row r="499">
          <cell r="F499">
            <v>26.29998779296875</v>
          </cell>
          <cell r="G499">
            <v>26.29998779296875</v>
          </cell>
        </row>
        <row r="500">
          <cell r="F500">
            <v>26.29998779296875</v>
          </cell>
          <cell r="G500">
            <v>26.29998779296875</v>
          </cell>
        </row>
        <row r="501">
          <cell r="F501" t="str">
            <v>WXREV</v>
          </cell>
          <cell r="G501">
            <v>26.29998779296875</v>
          </cell>
        </row>
        <row r="502">
          <cell r="F502">
            <v>26.29998779296875</v>
          </cell>
          <cell r="G502">
            <v>26.29998779296875</v>
          </cell>
        </row>
        <row r="503">
          <cell r="F503">
            <v>26.29998779296875</v>
          </cell>
          <cell r="G503">
            <v>26.29998779296875</v>
          </cell>
        </row>
        <row r="504">
          <cell r="F504">
            <v>26.29998779296875</v>
          </cell>
          <cell r="G504">
            <v>26.29998779296875</v>
          </cell>
        </row>
        <row r="505">
          <cell r="F505">
            <v>26.29998779296875</v>
          </cell>
          <cell r="G505">
            <v>26.29998779296875</v>
          </cell>
        </row>
        <row r="506">
          <cell r="F506" t="str">
            <v>JULI</v>
          </cell>
          <cell r="G506">
            <v>26.29998779296875</v>
          </cell>
        </row>
        <row r="507">
          <cell r="F507">
            <v>26.29998779296875</v>
          </cell>
          <cell r="G507">
            <v>26.29998779296875</v>
          </cell>
        </row>
        <row r="508">
          <cell r="F508" t="str">
            <v>BB</v>
          </cell>
          <cell r="G508" t="str">
            <v>TTD</v>
          </cell>
        </row>
        <row r="509">
          <cell r="F509">
            <v>26.29998779296875</v>
          </cell>
          <cell r="G509">
            <v>26.29998779296875</v>
          </cell>
        </row>
        <row r="510">
          <cell r="E510">
            <v>24.8</v>
          </cell>
          <cell r="F510">
            <v>23.7</v>
          </cell>
          <cell r="G510">
            <v>23.097543487541294</v>
          </cell>
        </row>
        <row r="511">
          <cell r="E511">
            <v>26</v>
          </cell>
          <cell r="F511">
            <v>24</v>
          </cell>
          <cell r="G511">
            <v>22.991501967304046</v>
          </cell>
        </row>
        <row r="512">
          <cell r="E512">
            <v>27.2</v>
          </cell>
          <cell r="F512">
            <v>24.3</v>
          </cell>
          <cell r="G512">
            <v>22.889828189285673</v>
          </cell>
        </row>
        <row r="513">
          <cell r="E513">
            <v>28</v>
          </cell>
          <cell r="F513">
            <v>24.7</v>
          </cell>
          <cell r="G513">
            <v>23.134266780435102</v>
          </cell>
        </row>
        <row r="514">
          <cell r="E514">
            <v>29.2</v>
          </cell>
          <cell r="F514">
            <v>25.3</v>
          </cell>
          <cell r="G514">
            <v>23.511724268218156</v>
          </cell>
        </row>
        <row r="515">
          <cell r="E515">
            <v>29.4</v>
          </cell>
          <cell r="F515">
            <v>25.2</v>
          </cell>
          <cell r="G515">
            <v>23.265416041293889</v>
          </cell>
        </row>
        <row r="516">
          <cell r="E516">
            <v>29.3</v>
          </cell>
          <cell r="F516">
            <v>25.3</v>
          </cell>
          <cell r="G516">
            <v>23.466413061032977</v>
          </cell>
        </row>
        <row r="517">
          <cell r="E517">
            <v>29</v>
          </cell>
          <cell r="F517">
            <v>25.2</v>
          </cell>
          <cell r="G517">
            <v>23.447926951785295</v>
          </cell>
        </row>
        <row r="518">
          <cell r="E518">
            <v>29</v>
          </cell>
          <cell r="F518">
            <v>25.6</v>
          </cell>
          <cell r="G518">
            <v>24.060288665251548</v>
          </cell>
        </row>
        <row r="519">
          <cell r="E519">
            <v>28.4</v>
          </cell>
          <cell r="F519">
            <v>25</v>
          </cell>
          <cell r="G519">
            <v>23.412597481878489</v>
          </cell>
        </row>
        <row r="520">
          <cell r="E520">
            <v>28.2</v>
          </cell>
          <cell r="F520">
            <v>24.4</v>
          </cell>
          <cell r="G520">
            <v>22.573749319862735</v>
          </cell>
        </row>
        <row r="521">
          <cell r="E521">
            <v>27.2</v>
          </cell>
          <cell r="F521">
            <v>24.4</v>
          </cell>
          <cell r="G521">
            <v>23.043390041601409</v>
          </cell>
        </row>
        <row r="522">
          <cell r="E522">
            <v>26.8</v>
          </cell>
          <cell r="F522">
            <v>24.7</v>
          </cell>
          <cell r="G522">
            <v>23.680309123146266</v>
          </cell>
        </row>
        <row r="523">
          <cell r="F523" t="str">
            <v>-</v>
          </cell>
          <cell r="G523" t="str">
            <v>-</v>
          </cell>
        </row>
        <row r="524">
          <cell r="F524" t="str">
            <v>-</v>
          </cell>
          <cell r="G524" t="str">
            <v>-</v>
          </cell>
        </row>
        <row r="525">
          <cell r="F525" t="str">
            <v>-</v>
          </cell>
          <cell r="G525" t="str">
            <v>-</v>
          </cell>
        </row>
        <row r="526">
          <cell r="F526" t="str">
            <v>-</v>
          </cell>
          <cell r="G526" t="str">
            <v>-</v>
          </cell>
        </row>
        <row r="527">
          <cell r="F527" t="str">
            <v>-</v>
          </cell>
          <cell r="G527" t="str">
            <v>-</v>
          </cell>
        </row>
        <row r="528">
          <cell r="F528" t="str">
            <v>-</v>
          </cell>
          <cell r="G528" t="str">
            <v>-</v>
          </cell>
        </row>
        <row r="529">
          <cell r="F529" t="str">
            <v>-</v>
          </cell>
          <cell r="G529" t="str">
            <v>-</v>
          </cell>
        </row>
        <row r="530">
          <cell r="F530" t="str">
            <v>-</v>
          </cell>
          <cell r="G530" t="str">
            <v>-</v>
          </cell>
        </row>
        <row r="531">
          <cell r="F531" t="str">
            <v>-</v>
          </cell>
          <cell r="G531" t="str">
            <v>-</v>
          </cell>
        </row>
        <row r="532">
          <cell r="F532" t="str">
            <v>-</v>
          </cell>
          <cell r="G532" t="str">
            <v>-</v>
          </cell>
        </row>
        <row r="533">
          <cell r="F533" t="str">
            <v>-</v>
          </cell>
          <cell r="G533" t="str">
            <v>-</v>
          </cell>
        </row>
        <row r="534">
          <cell r="F534">
            <v>26.8</v>
          </cell>
          <cell r="G534">
            <v>26.79998779296875</v>
          </cell>
        </row>
        <row r="535">
          <cell r="F535">
            <v>26.79998779296875</v>
          </cell>
          <cell r="G535">
            <v>26.79998779296875</v>
          </cell>
        </row>
        <row r="536">
          <cell r="F536">
            <v>26.79998779296875</v>
          </cell>
          <cell r="G536">
            <v>26.79998779296875</v>
          </cell>
        </row>
        <row r="537">
          <cell r="F537" t="str">
            <v>WXREV</v>
          </cell>
          <cell r="G537">
            <v>26.79998779296875</v>
          </cell>
        </row>
        <row r="538">
          <cell r="F538">
            <v>26.79998779296875</v>
          </cell>
          <cell r="G538">
            <v>26.79998779296875</v>
          </cell>
        </row>
        <row r="539">
          <cell r="F539">
            <v>26.79998779296875</v>
          </cell>
          <cell r="G539">
            <v>26.79998779296875</v>
          </cell>
        </row>
        <row r="540">
          <cell r="F540">
            <v>26.79998779296875</v>
          </cell>
          <cell r="G540">
            <v>26.79998779296875</v>
          </cell>
        </row>
        <row r="541">
          <cell r="F541">
            <v>26.79998779296875</v>
          </cell>
          <cell r="G541">
            <v>26.79998779296875</v>
          </cell>
        </row>
        <row r="542">
          <cell r="F542" t="str">
            <v>JULI</v>
          </cell>
          <cell r="G542">
            <v>26.79998779296875</v>
          </cell>
        </row>
        <row r="543">
          <cell r="F543">
            <v>26.79998779296875</v>
          </cell>
          <cell r="G543">
            <v>26.79998779296875</v>
          </cell>
        </row>
        <row r="544">
          <cell r="F544" t="str">
            <v>BB</v>
          </cell>
          <cell r="G544" t="str">
            <v>TTD</v>
          </cell>
        </row>
        <row r="545">
          <cell r="F545">
            <v>26.79998779296875</v>
          </cell>
          <cell r="G545">
            <v>26.79998779296875</v>
          </cell>
        </row>
        <row r="546">
          <cell r="E546">
            <v>24</v>
          </cell>
          <cell r="F546">
            <v>23.3</v>
          </cell>
          <cell r="G546">
            <v>22.874758389046743</v>
          </cell>
        </row>
        <row r="547">
          <cell r="E547">
            <v>24.5</v>
          </cell>
          <cell r="F547">
            <v>23.8</v>
          </cell>
          <cell r="G547">
            <v>23.383347698406446</v>
          </cell>
        </row>
        <row r="548">
          <cell r="E548">
            <v>24.8</v>
          </cell>
          <cell r="F548">
            <v>23.8</v>
          </cell>
          <cell r="G548">
            <v>23.246174595512937</v>
          </cell>
        </row>
        <row r="549">
          <cell r="E549">
            <v>25.3</v>
          </cell>
          <cell r="F549">
            <v>23.6</v>
          </cell>
          <cell r="G549">
            <v>22.713748663769724</v>
          </cell>
        </row>
        <row r="550">
          <cell r="E550">
            <v>25.6</v>
          </cell>
          <cell r="F550">
            <v>23.4</v>
          </cell>
          <cell r="G550">
            <v>22.265061411393539</v>
          </cell>
        </row>
        <row r="551">
          <cell r="E551">
            <v>26</v>
          </cell>
          <cell r="F551">
            <v>23.2</v>
          </cell>
          <cell r="G551">
            <v>21.758108440057615</v>
          </cell>
        </row>
        <row r="552">
          <cell r="E552">
            <v>26.5</v>
          </cell>
          <cell r="F552">
            <v>23.3</v>
          </cell>
          <cell r="G552">
            <v>21.66692668789975</v>
          </cell>
        </row>
        <row r="553">
          <cell r="E553">
            <v>27.2</v>
          </cell>
          <cell r="F553">
            <v>24.2</v>
          </cell>
          <cell r="G553">
            <v>22.735575147904516</v>
          </cell>
        </row>
        <row r="554">
          <cell r="E554">
            <v>26</v>
          </cell>
          <cell r="F554">
            <v>22.8</v>
          </cell>
          <cell r="G554">
            <v>21.123805308926201</v>
          </cell>
        </row>
        <row r="555">
          <cell r="E555">
            <v>26.1</v>
          </cell>
          <cell r="F555">
            <v>23.2</v>
          </cell>
          <cell r="G555">
            <v>21.708384753354814</v>
          </cell>
        </row>
        <row r="556">
          <cell r="E556">
            <v>25.8</v>
          </cell>
          <cell r="F556">
            <v>23.6</v>
          </cell>
          <cell r="G556">
            <v>22.476265609365306</v>
          </cell>
        </row>
        <row r="557">
          <cell r="E557">
            <v>25</v>
          </cell>
          <cell r="F557">
            <v>23.5</v>
          </cell>
          <cell r="G557">
            <v>22.704170413916749</v>
          </cell>
        </row>
        <row r="558">
          <cell r="E558">
            <v>24.7</v>
          </cell>
          <cell r="F558">
            <v>23.3</v>
          </cell>
          <cell r="G558">
            <v>22.54430162625011</v>
          </cell>
        </row>
        <row r="559">
          <cell r="F559" t="str">
            <v>-</v>
          </cell>
          <cell r="G559" t="str">
            <v>-</v>
          </cell>
        </row>
        <row r="560">
          <cell r="F560" t="str">
            <v>-</v>
          </cell>
          <cell r="G560" t="str">
            <v>-</v>
          </cell>
        </row>
        <row r="561">
          <cell r="F561" t="str">
            <v>-</v>
          </cell>
          <cell r="G561" t="str">
            <v>-</v>
          </cell>
        </row>
        <row r="562">
          <cell r="F562" t="str">
            <v>-</v>
          </cell>
          <cell r="G562" t="str">
            <v>-</v>
          </cell>
        </row>
        <row r="563">
          <cell r="F563" t="str">
            <v>-</v>
          </cell>
          <cell r="G563" t="str">
            <v>-</v>
          </cell>
        </row>
        <row r="564">
          <cell r="F564" t="str">
            <v>-</v>
          </cell>
          <cell r="G564" t="str">
            <v>-</v>
          </cell>
        </row>
        <row r="565">
          <cell r="F565" t="str">
            <v>-</v>
          </cell>
          <cell r="G565" t="str">
            <v>-</v>
          </cell>
        </row>
        <row r="566">
          <cell r="F566" t="str">
            <v>-</v>
          </cell>
          <cell r="G566" t="str">
            <v>-</v>
          </cell>
        </row>
        <row r="567">
          <cell r="F567" t="str">
            <v>-</v>
          </cell>
          <cell r="G567" t="str">
            <v>-</v>
          </cell>
        </row>
        <row r="568">
          <cell r="F568" t="str">
            <v>-</v>
          </cell>
          <cell r="G568" t="str">
            <v>-</v>
          </cell>
        </row>
        <row r="569">
          <cell r="F569" t="str">
            <v>-</v>
          </cell>
          <cell r="G569" t="str">
            <v>-</v>
          </cell>
        </row>
        <row r="570">
          <cell r="F570">
            <v>24.7</v>
          </cell>
          <cell r="G570">
            <v>24.699996948242188</v>
          </cell>
        </row>
        <row r="571">
          <cell r="F571">
            <v>24.699996948242188</v>
          </cell>
          <cell r="G571">
            <v>24.699996948242188</v>
          </cell>
        </row>
        <row r="572">
          <cell r="F572">
            <v>24.699996948242188</v>
          </cell>
          <cell r="G572">
            <v>24.699996948242188</v>
          </cell>
        </row>
        <row r="573">
          <cell r="F573" t="str">
            <v>WXREV</v>
          </cell>
          <cell r="G573">
            <v>24.699996948242188</v>
          </cell>
        </row>
        <row r="574">
          <cell r="F574">
            <v>24.699996948242188</v>
          </cell>
          <cell r="G574">
            <v>24.699996948242188</v>
          </cell>
        </row>
        <row r="575">
          <cell r="F575">
            <v>24.699996948242188</v>
          </cell>
          <cell r="G575">
            <v>24.699996948242188</v>
          </cell>
        </row>
        <row r="576">
          <cell r="F576">
            <v>24.699996948242188</v>
          </cell>
          <cell r="G576">
            <v>24.699996948242188</v>
          </cell>
        </row>
        <row r="577">
          <cell r="F577">
            <v>24.699996948242188</v>
          </cell>
          <cell r="G577">
            <v>24.699996948242188</v>
          </cell>
        </row>
        <row r="578">
          <cell r="F578" t="str">
            <v>JULI</v>
          </cell>
          <cell r="G578">
            <v>24.699996948242188</v>
          </cell>
        </row>
        <row r="579">
          <cell r="F579">
            <v>24.699996948242188</v>
          </cell>
          <cell r="G579">
            <v>24.699996948242188</v>
          </cell>
        </row>
        <row r="580">
          <cell r="F580" t="str">
            <v>BB</v>
          </cell>
          <cell r="G580" t="str">
            <v>TTD</v>
          </cell>
        </row>
        <row r="581">
          <cell r="F581">
            <v>24.699996948242188</v>
          </cell>
          <cell r="G581">
            <v>24.699996948242188</v>
          </cell>
        </row>
        <row r="582">
          <cell r="E582">
            <v>23.1</v>
          </cell>
          <cell r="F582">
            <v>22.3</v>
          </cell>
          <cell r="G582">
            <v>21.807316589954077</v>
          </cell>
        </row>
        <row r="583">
          <cell r="E583">
            <v>24.3</v>
          </cell>
          <cell r="F583">
            <v>23</v>
          </cell>
          <cell r="G583">
            <v>22.281939548814325</v>
          </cell>
        </row>
        <row r="584">
          <cell r="E584">
            <v>25.6</v>
          </cell>
          <cell r="F584">
            <v>23.4</v>
          </cell>
          <cell r="G584">
            <v>22.265061411393539</v>
          </cell>
        </row>
        <row r="585">
          <cell r="E585">
            <v>27.3</v>
          </cell>
          <cell r="F585">
            <v>23.7</v>
          </cell>
          <cell r="G585">
            <v>21.904344842005919</v>
          </cell>
        </row>
        <row r="586">
          <cell r="E586">
            <v>28.9</v>
          </cell>
          <cell r="F586">
            <v>23.8</v>
          </cell>
          <cell r="G586">
            <v>21.264102421825854</v>
          </cell>
        </row>
        <row r="587">
          <cell r="E587">
            <v>29.6</v>
          </cell>
          <cell r="F587">
            <v>24.5</v>
          </cell>
          <cell r="G587">
            <v>22.058377213189214</v>
          </cell>
        </row>
        <row r="588">
          <cell r="E588">
            <v>29.4</v>
          </cell>
          <cell r="F588">
            <v>24</v>
          </cell>
          <cell r="G588">
            <v>21.339773119354938</v>
          </cell>
        </row>
        <row r="589">
          <cell r="E589">
            <v>29</v>
          </cell>
          <cell r="F589">
            <v>24.2</v>
          </cell>
          <cell r="G589">
            <v>21.867237103039482</v>
          </cell>
        </row>
        <row r="590">
          <cell r="E590">
            <v>28.4</v>
          </cell>
          <cell r="F590">
            <v>24.2</v>
          </cell>
          <cell r="G590">
            <v>22.161158941710486</v>
          </cell>
        </row>
        <row r="591">
          <cell r="E591">
            <v>27.6</v>
          </cell>
          <cell r="F591">
            <v>24.4</v>
          </cell>
          <cell r="G591">
            <v>22.856931791434171</v>
          </cell>
        </row>
        <row r="592">
          <cell r="E592">
            <v>27</v>
          </cell>
          <cell r="F592">
            <v>24.4</v>
          </cell>
          <cell r="G592">
            <v>23.135934889422426</v>
          </cell>
        </row>
        <row r="593">
          <cell r="E593">
            <v>26.4</v>
          </cell>
          <cell r="F593">
            <v>24.4</v>
          </cell>
          <cell r="G593">
            <v>23.41088917767016</v>
          </cell>
        </row>
        <row r="594">
          <cell r="E594">
            <v>26</v>
          </cell>
          <cell r="F594">
            <v>24.4</v>
          </cell>
          <cell r="G594">
            <v>23.592004375769026</v>
          </cell>
        </row>
        <row r="595">
          <cell r="F595" t="str">
            <v>-</v>
          </cell>
          <cell r="G595" t="str">
            <v>-</v>
          </cell>
        </row>
        <row r="596">
          <cell r="F596" t="str">
            <v>-</v>
          </cell>
          <cell r="G596" t="str">
            <v>-</v>
          </cell>
        </row>
        <row r="597">
          <cell r="F597" t="str">
            <v>-</v>
          </cell>
          <cell r="G597" t="str">
            <v>-</v>
          </cell>
        </row>
        <row r="598">
          <cell r="F598" t="str">
            <v>-</v>
          </cell>
          <cell r="G598" t="str">
            <v>-</v>
          </cell>
        </row>
        <row r="599">
          <cell r="F599" t="str">
            <v>-</v>
          </cell>
          <cell r="G599" t="str">
            <v>-</v>
          </cell>
        </row>
        <row r="600">
          <cell r="F600" t="str">
            <v>-</v>
          </cell>
          <cell r="G600" t="str">
            <v>-</v>
          </cell>
        </row>
        <row r="601">
          <cell r="F601" t="str">
            <v>-</v>
          </cell>
          <cell r="G601" t="str">
            <v>-</v>
          </cell>
        </row>
        <row r="602">
          <cell r="F602" t="str">
            <v>-</v>
          </cell>
          <cell r="G602" t="str">
            <v>-</v>
          </cell>
        </row>
        <row r="603">
          <cell r="F603" t="str">
            <v>-</v>
          </cell>
          <cell r="G603" t="str">
            <v>-</v>
          </cell>
        </row>
        <row r="604">
          <cell r="F604" t="str">
            <v>-</v>
          </cell>
          <cell r="G604" t="str">
            <v>-</v>
          </cell>
        </row>
        <row r="605">
          <cell r="F605" t="str">
            <v>-</v>
          </cell>
          <cell r="G605" t="str">
            <v>-</v>
          </cell>
        </row>
        <row r="606">
          <cell r="F606">
            <v>26</v>
          </cell>
          <cell r="G606">
            <v>26</v>
          </cell>
        </row>
        <row r="607">
          <cell r="F607">
            <v>26</v>
          </cell>
          <cell r="G607">
            <v>26</v>
          </cell>
        </row>
        <row r="608">
          <cell r="F608">
            <v>26</v>
          </cell>
          <cell r="G608">
            <v>26</v>
          </cell>
        </row>
        <row r="609">
          <cell r="F609" t="str">
            <v>WXREV</v>
          </cell>
          <cell r="G609">
            <v>26</v>
          </cell>
        </row>
        <row r="610">
          <cell r="F610">
            <v>26</v>
          </cell>
          <cell r="G610">
            <v>26</v>
          </cell>
        </row>
        <row r="611">
          <cell r="F611">
            <v>26</v>
          </cell>
          <cell r="G611">
            <v>26</v>
          </cell>
        </row>
        <row r="612">
          <cell r="F612">
            <v>26</v>
          </cell>
          <cell r="G612">
            <v>26</v>
          </cell>
        </row>
        <row r="613">
          <cell r="F613">
            <v>26</v>
          </cell>
          <cell r="G613">
            <v>26</v>
          </cell>
        </row>
        <row r="614">
          <cell r="F614" t="str">
            <v>JULI</v>
          </cell>
          <cell r="G614">
            <v>26</v>
          </cell>
        </row>
        <row r="615">
          <cell r="F615">
            <v>26</v>
          </cell>
          <cell r="G615">
            <v>26</v>
          </cell>
        </row>
        <row r="616">
          <cell r="F616" t="str">
            <v>BB</v>
          </cell>
          <cell r="G616" t="str">
            <v>TTD</v>
          </cell>
        </row>
        <row r="617">
          <cell r="F617">
            <v>26</v>
          </cell>
          <cell r="G617">
            <v>26</v>
          </cell>
        </row>
        <row r="618">
          <cell r="E618">
            <v>24.2</v>
          </cell>
          <cell r="F618">
            <v>22.4</v>
          </cell>
          <cell r="G618">
            <v>21.410279941613915</v>
          </cell>
        </row>
        <row r="619">
          <cell r="E619">
            <v>25.3</v>
          </cell>
          <cell r="F619">
            <v>22.1</v>
          </cell>
          <cell r="G619">
            <v>20.360968552192105</v>
          </cell>
        </row>
        <row r="620">
          <cell r="E620">
            <v>26.4</v>
          </cell>
          <cell r="F620">
            <v>23.2</v>
          </cell>
          <cell r="G620">
            <v>21.558416450479999</v>
          </cell>
        </row>
        <row r="621">
          <cell r="E621">
            <v>27.2</v>
          </cell>
          <cell r="F621">
            <v>23.7</v>
          </cell>
          <cell r="G621">
            <v>21.953553690922497</v>
          </cell>
        </row>
        <row r="622">
          <cell r="E622">
            <v>28.2</v>
          </cell>
          <cell r="F622">
            <v>24.2</v>
          </cell>
          <cell r="G622">
            <v>22.258119917094085</v>
          </cell>
        </row>
        <row r="623">
          <cell r="E623">
            <v>29.3</v>
          </cell>
          <cell r="F623">
            <v>24.6</v>
          </cell>
          <cell r="G623">
            <v>22.364801778753755</v>
          </cell>
        </row>
        <row r="624">
          <cell r="E624">
            <v>29.4</v>
          </cell>
          <cell r="F624">
            <v>24.6</v>
          </cell>
          <cell r="G624">
            <v>22.316656612844575</v>
          </cell>
        </row>
        <row r="625">
          <cell r="E625">
            <v>29.6</v>
          </cell>
          <cell r="F625">
            <v>25</v>
          </cell>
          <cell r="G625">
            <v>22.858668311959782</v>
          </cell>
        </row>
        <row r="626">
          <cell r="E626">
            <v>29.4</v>
          </cell>
          <cell r="F626">
            <v>25</v>
          </cell>
          <cell r="G626">
            <v>22.952122264170168</v>
          </cell>
        </row>
        <row r="627">
          <cell r="E627">
            <v>28.6</v>
          </cell>
          <cell r="F627">
            <v>24.8</v>
          </cell>
          <cell r="G627">
            <v>23.011327145203094</v>
          </cell>
        </row>
        <row r="628">
          <cell r="E628">
            <v>26.6</v>
          </cell>
          <cell r="F628">
            <v>23.4</v>
          </cell>
          <cell r="G628">
            <v>21.775380812344167</v>
          </cell>
        </row>
        <row r="629">
          <cell r="E629">
            <v>26</v>
          </cell>
          <cell r="F629">
            <v>23.4</v>
          </cell>
          <cell r="G629">
            <v>22.070718744685575</v>
          </cell>
        </row>
        <row r="630">
          <cell r="E630">
            <v>25.6</v>
          </cell>
          <cell r="F630">
            <v>23.4</v>
          </cell>
          <cell r="G630">
            <v>22.265061411393539</v>
          </cell>
        </row>
        <row r="631">
          <cell r="F631" t="str">
            <v>-</v>
          </cell>
          <cell r="G631" t="str">
            <v>-</v>
          </cell>
        </row>
        <row r="632">
          <cell r="F632" t="str">
            <v>-</v>
          </cell>
          <cell r="G632" t="str">
            <v>-</v>
          </cell>
        </row>
        <row r="633">
          <cell r="F633" t="str">
            <v>-</v>
          </cell>
          <cell r="G633" t="str">
            <v>-</v>
          </cell>
        </row>
        <row r="634">
          <cell r="F634" t="str">
            <v>-</v>
          </cell>
          <cell r="G634" t="str">
            <v>-</v>
          </cell>
        </row>
        <row r="635">
          <cell r="F635" t="str">
            <v>-</v>
          </cell>
          <cell r="G635" t="str">
            <v>-</v>
          </cell>
        </row>
        <row r="636">
          <cell r="F636" t="str">
            <v>-</v>
          </cell>
          <cell r="G636" t="str">
            <v>-</v>
          </cell>
        </row>
        <row r="637">
          <cell r="F637" t="str">
            <v>-</v>
          </cell>
          <cell r="G637" t="str">
            <v>-</v>
          </cell>
        </row>
        <row r="638">
          <cell r="F638" t="str">
            <v>-</v>
          </cell>
          <cell r="G638" t="str">
            <v>-</v>
          </cell>
        </row>
        <row r="639">
          <cell r="F639" t="str">
            <v>-</v>
          </cell>
          <cell r="G639" t="str">
            <v>-</v>
          </cell>
        </row>
        <row r="640">
          <cell r="F640" t="str">
            <v>-</v>
          </cell>
          <cell r="G640" t="str">
            <v>-</v>
          </cell>
        </row>
        <row r="641">
          <cell r="F641" t="str">
            <v>-</v>
          </cell>
          <cell r="G641" t="str">
            <v>-</v>
          </cell>
        </row>
        <row r="642">
          <cell r="F642">
            <v>25.6</v>
          </cell>
          <cell r="G642">
            <v>25.599990844726563</v>
          </cell>
        </row>
        <row r="643">
          <cell r="F643">
            <v>25.599990844726563</v>
          </cell>
          <cell r="G643">
            <v>25.599990844726563</v>
          </cell>
        </row>
        <row r="644">
          <cell r="F644">
            <v>25.599990844726563</v>
          </cell>
          <cell r="G644">
            <v>25.599990844726563</v>
          </cell>
        </row>
        <row r="645">
          <cell r="F645" t="str">
            <v>WXREV</v>
          </cell>
          <cell r="G645">
            <v>25.599990844726563</v>
          </cell>
        </row>
        <row r="646">
          <cell r="F646">
            <v>25.599990844726563</v>
          </cell>
          <cell r="G646">
            <v>25.599990844726563</v>
          </cell>
        </row>
        <row r="647">
          <cell r="F647">
            <v>25.599990844726563</v>
          </cell>
          <cell r="G647">
            <v>25.599990844726563</v>
          </cell>
        </row>
        <row r="648">
          <cell r="F648">
            <v>25.599990844726563</v>
          </cell>
          <cell r="G648">
            <v>25.599990844726563</v>
          </cell>
        </row>
        <row r="649">
          <cell r="F649">
            <v>25.599990844726563</v>
          </cell>
          <cell r="G649">
            <v>25.599990844726563</v>
          </cell>
        </row>
        <row r="650">
          <cell r="F650" t="str">
            <v>JULI</v>
          </cell>
          <cell r="G650">
            <v>25.599990844726563</v>
          </cell>
        </row>
        <row r="651">
          <cell r="F651">
            <v>25.599990844726563</v>
          </cell>
          <cell r="G651">
            <v>25.599990844726563</v>
          </cell>
        </row>
        <row r="652">
          <cell r="F652" t="str">
            <v>BB</v>
          </cell>
          <cell r="G652" t="str">
            <v>TTD</v>
          </cell>
        </row>
        <row r="653">
          <cell r="F653">
            <v>25.599990844726563</v>
          </cell>
          <cell r="G653">
            <v>25.599990844726563</v>
          </cell>
        </row>
        <row r="654">
          <cell r="E654">
            <v>23.2</v>
          </cell>
          <cell r="F654">
            <v>22</v>
          </cell>
          <cell r="G654">
            <v>21.298431701000982</v>
          </cell>
        </row>
        <row r="655">
          <cell r="E655">
            <v>25</v>
          </cell>
          <cell r="F655">
            <v>22.3</v>
          </cell>
          <cell r="G655">
            <v>20.841837220940466</v>
          </cell>
        </row>
        <row r="656">
          <cell r="E656">
            <v>27.2</v>
          </cell>
          <cell r="F656">
            <v>23.2</v>
          </cell>
          <cell r="G656">
            <v>21.152517335305355</v>
          </cell>
        </row>
        <row r="657">
          <cell r="E657">
            <v>28.6</v>
          </cell>
          <cell r="F657">
            <v>23.4</v>
          </cell>
          <cell r="G657">
            <v>20.755814499189071</v>
          </cell>
        </row>
        <row r="658">
          <cell r="E658">
            <v>29.4</v>
          </cell>
          <cell r="F658">
            <v>23.8</v>
          </cell>
          <cell r="G658">
            <v>21.007398684043931</v>
          </cell>
        </row>
        <row r="659">
          <cell r="E659">
            <v>30.4</v>
          </cell>
          <cell r="F659">
            <v>24.5</v>
          </cell>
          <cell r="G659">
            <v>21.663260375206157</v>
          </cell>
        </row>
        <row r="660">
          <cell r="E660">
            <v>30.8</v>
          </cell>
          <cell r="F660">
            <v>24.2</v>
          </cell>
          <cell r="G660">
            <v>20.956729082873636</v>
          </cell>
        </row>
        <row r="661">
          <cell r="E661">
            <v>31.4</v>
          </cell>
          <cell r="F661">
            <v>24.6</v>
          </cell>
          <cell r="G661">
            <v>21.32688090912778</v>
          </cell>
        </row>
        <row r="662">
          <cell r="E662">
            <v>30.8</v>
          </cell>
          <cell r="F662">
            <v>25.1</v>
          </cell>
          <cell r="G662">
            <v>22.450616739376258</v>
          </cell>
        </row>
        <row r="663">
          <cell r="E663">
            <v>30</v>
          </cell>
          <cell r="F663">
            <v>25</v>
          </cell>
          <cell r="G663">
            <v>22.670362668359488</v>
          </cell>
        </row>
        <row r="664">
          <cell r="E664">
            <v>28.6</v>
          </cell>
          <cell r="F664">
            <v>24.1</v>
          </cell>
          <cell r="G664">
            <v>21.90308947260036</v>
          </cell>
        </row>
        <row r="665">
          <cell r="E665">
            <v>26.9</v>
          </cell>
          <cell r="F665">
            <v>23.6</v>
          </cell>
          <cell r="G665">
            <v>21.943015124038137</v>
          </cell>
        </row>
        <row r="666">
          <cell r="E666">
            <v>25.8</v>
          </cell>
          <cell r="F666">
            <v>23.5</v>
          </cell>
          <cell r="G666">
            <v>22.322554705614401</v>
          </cell>
        </row>
        <row r="667">
          <cell r="F667" t="str">
            <v>-</v>
          </cell>
          <cell r="G667" t="str">
            <v>-</v>
          </cell>
        </row>
        <row r="668">
          <cell r="F668" t="str">
            <v>-</v>
          </cell>
          <cell r="G668" t="str">
            <v>-</v>
          </cell>
        </row>
        <row r="669">
          <cell r="F669" t="str">
            <v>-</v>
          </cell>
          <cell r="G669" t="str">
            <v>-</v>
          </cell>
        </row>
        <row r="670">
          <cell r="F670" t="str">
            <v>-</v>
          </cell>
          <cell r="G670" t="str">
            <v>-</v>
          </cell>
        </row>
        <row r="671">
          <cell r="F671" t="str">
            <v>-</v>
          </cell>
          <cell r="G671" t="str">
            <v>-</v>
          </cell>
        </row>
        <row r="672">
          <cell r="F672" t="str">
            <v>-</v>
          </cell>
          <cell r="G672" t="str">
            <v>-</v>
          </cell>
        </row>
        <row r="673">
          <cell r="F673" t="str">
            <v>-</v>
          </cell>
          <cell r="G673" t="str">
            <v>-</v>
          </cell>
        </row>
        <row r="674">
          <cell r="F674" t="str">
            <v>-</v>
          </cell>
          <cell r="G674" t="str">
            <v>-</v>
          </cell>
        </row>
        <row r="675">
          <cell r="F675" t="str">
            <v>-</v>
          </cell>
          <cell r="G675" t="str">
            <v>-</v>
          </cell>
        </row>
        <row r="676">
          <cell r="F676" t="str">
            <v>-</v>
          </cell>
          <cell r="G676" t="str">
            <v>-</v>
          </cell>
        </row>
        <row r="677">
          <cell r="F677" t="str">
            <v>-</v>
          </cell>
          <cell r="G677" t="str">
            <v>-</v>
          </cell>
        </row>
        <row r="678">
          <cell r="F678">
            <v>25.8</v>
          </cell>
          <cell r="G678">
            <v>25.79998779296875</v>
          </cell>
        </row>
        <row r="679">
          <cell r="F679">
            <v>25.79998779296875</v>
          </cell>
          <cell r="G679">
            <v>25.79998779296875</v>
          </cell>
        </row>
        <row r="680">
          <cell r="F680">
            <v>25.79998779296875</v>
          </cell>
          <cell r="G680">
            <v>25.79998779296875</v>
          </cell>
        </row>
        <row r="681">
          <cell r="F681" t="str">
            <v>WXREV</v>
          </cell>
          <cell r="G681">
            <v>25.79998779296875</v>
          </cell>
        </row>
        <row r="682">
          <cell r="F682">
            <v>25.79998779296875</v>
          </cell>
          <cell r="G682">
            <v>25.79998779296875</v>
          </cell>
        </row>
        <row r="683">
          <cell r="F683">
            <v>25.79998779296875</v>
          </cell>
          <cell r="G683">
            <v>25.79998779296875</v>
          </cell>
        </row>
        <row r="684">
          <cell r="F684">
            <v>25.79998779296875</v>
          </cell>
          <cell r="G684">
            <v>25.79998779296875</v>
          </cell>
        </row>
        <row r="685">
          <cell r="F685">
            <v>25.79998779296875</v>
          </cell>
          <cell r="G685">
            <v>25.79998779296875</v>
          </cell>
        </row>
        <row r="686">
          <cell r="F686" t="str">
            <v>JULI</v>
          </cell>
          <cell r="G686">
            <v>25.79998779296875</v>
          </cell>
        </row>
        <row r="687">
          <cell r="F687">
            <v>25.79998779296875</v>
          </cell>
          <cell r="G687">
            <v>25.79998779296875</v>
          </cell>
        </row>
        <row r="688">
          <cell r="F688" t="str">
            <v>BB</v>
          </cell>
          <cell r="G688" t="str">
            <v>TTD</v>
          </cell>
        </row>
        <row r="689">
          <cell r="F689">
            <v>25.79998779296875</v>
          </cell>
          <cell r="G689">
            <v>25.79998779296875</v>
          </cell>
        </row>
        <row r="690">
          <cell r="E690">
            <v>21.8</v>
          </cell>
          <cell r="F690">
            <v>20.8</v>
          </cell>
          <cell r="G690">
            <v>20.166096915440615</v>
          </cell>
        </row>
        <row r="691">
          <cell r="E691">
            <v>24.3</v>
          </cell>
          <cell r="F691">
            <v>22.2</v>
          </cell>
          <cell r="G691">
            <v>21.046375928940027</v>
          </cell>
        </row>
        <row r="692">
          <cell r="E692">
            <v>26</v>
          </cell>
          <cell r="F692">
            <v>22.6</v>
          </cell>
          <cell r="G692">
            <v>20.801911119096491</v>
          </cell>
        </row>
        <row r="693">
          <cell r="E693">
            <v>27.9</v>
          </cell>
          <cell r="F693">
            <v>23.8</v>
          </cell>
          <cell r="G693">
            <v>21.767160181952669</v>
          </cell>
        </row>
        <row r="694">
          <cell r="E694">
            <v>29.4</v>
          </cell>
          <cell r="F694">
            <v>24.2</v>
          </cell>
          <cell r="G694">
            <v>21.668699112332721</v>
          </cell>
        </row>
        <row r="695">
          <cell r="E695">
            <v>30.2</v>
          </cell>
          <cell r="F695">
            <v>24.9</v>
          </cell>
          <cell r="G695">
            <v>22.4145725316748</v>
          </cell>
        </row>
        <row r="696">
          <cell r="E696">
            <v>30.9</v>
          </cell>
          <cell r="F696">
            <v>24.6</v>
          </cell>
          <cell r="G696">
            <v>21.579269998537296</v>
          </cell>
        </row>
        <row r="697">
          <cell r="E697">
            <v>30.2</v>
          </cell>
          <cell r="F697">
            <v>25</v>
          </cell>
          <cell r="G697">
            <v>22.575500907686056</v>
          </cell>
        </row>
        <row r="698">
          <cell r="E698">
            <v>29.7</v>
          </cell>
          <cell r="F698">
            <v>24.6</v>
          </cell>
          <cell r="G698">
            <v>22.1714776017124</v>
          </cell>
        </row>
        <row r="699">
          <cell r="E699">
            <v>28.2</v>
          </cell>
          <cell r="F699">
            <v>23.4</v>
          </cell>
          <cell r="G699">
            <v>20.964236475559954</v>
          </cell>
        </row>
        <row r="700">
          <cell r="E700">
            <v>27.1</v>
          </cell>
          <cell r="F700">
            <v>23.4</v>
          </cell>
          <cell r="G700">
            <v>21.525660088028079</v>
          </cell>
        </row>
        <row r="701">
          <cell r="E701">
            <v>26</v>
          </cell>
          <cell r="F701">
            <v>23.5</v>
          </cell>
          <cell r="G701">
            <v>22.225930438363672</v>
          </cell>
        </row>
        <row r="702">
          <cell r="E702">
            <v>25.2</v>
          </cell>
          <cell r="F702">
            <v>22.8</v>
          </cell>
          <cell r="G702">
            <v>21.530312632790274</v>
          </cell>
        </row>
        <row r="703">
          <cell r="F703" t="str">
            <v>-</v>
          </cell>
          <cell r="G703" t="str">
            <v>-</v>
          </cell>
        </row>
        <row r="704">
          <cell r="F704" t="str">
            <v>-</v>
          </cell>
          <cell r="G704" t="str">
            <v>-</v>
          </cell>
        </row>
        <row r="705">
          <cell r="F705" t="str">
            <v>-</v>
          </cell>
          <cell r="G705" t="str">
            <v>-</v>
          </cell>
        </row>
        <row r="706">
          <cell r="F706" t="str">
            <v>-</v>
          </cell>
          <cell r="G706" t="str">
            <v>-</v>
          </cell>
        </row>
        <row r="707">
          <cell r="F707" t="str">
            <v>-</v>
          </cell>
          <cell r="G707" t="str">
            <v>-</v>
          </cell>
        </row>
        <row r="708">
          <cell r="F708" t="str">
            <v>-</v>
          </cell>
          <cell r="G708" t="str">
            <v>-</v>
          </cell>
        </row>
        <row r="709">
          <cell r="F709" t="str">
            <v>-</v>
          </cell>
          <cell r="G709" t="str">
            <v>-</v>
          </cell>
        </row>
        <row r="710">
          <cell r="F710" t="str">
            <v>-</v>
          </cell>
          <cell r="G710" t="str">
            <v>-</v>
          </cell>
        </row>
        <row r="711">
          <cell r="F711" t="str">
            <v>-</v>
          </cell>
          <cell r="G711" t="str">
            <v>-</v>
          </cell>
        </row>
        <row r="712">
          <cell r="F712" t="str">
            <v>-</v>
          </cell>
          <cell r="G712" t="str">
            <v>-</v>
          </cell>
        </row>
        <row r="713">
          <cell r="F713" t="str">
            <v>-</v>
          </cell>
          <cell r="G713" t="str">
            <v>-</v>
          </cell>
        </row>
        <row r="714">
          <cell r="F714">
            <v>25.2</v>
          </cell>
          <cell r="G714">
            <v>25.199996948242188</v>
          </cell>
        </row>
        <row r="715">
          <cell r="F715">
            <v>25.199996948242188</v>
          </cell>
          <cell r="G715">
            <v>25.199996948242188</v>
          </cell>
        </row>
        <row r="716">
          <cell r="F716">
            <v>25.199996948242188</v>
          </cell>
          <cell r="G716">
            <v>25.199996948242188</v>
          </cell>
        </row>
        <row r="717">
          <cell r="F717" t="str">
            <v>WXREV</v>
          </cell>
          <cell r="G717">
            <v>25.199996948242188</v>
          </cell>
        </row>
        <row r="718">
          <cell r="F718">
            <v>25.199996948242188</v>
          </cell>
          <cell r="G718">
            <v>25.199996948242188</v>
          </cell>
        </row>
        <row r="719">
          <cell r="F719">
            <v>25.199996948242188</v>
          </cell>
          <cell r="G719">
            <v>25.199996948242188</v>
          </cell>
        </row>
        <row r="720">
          <cell r="F720">
            <v>25.199996948242188</v>
          </cell>
          <cell r="G720">
            <v>25.199996948242188</v>
          </cell>
        </row>
        <row r="721">
          <cell r="F721">
            <v>25.199996948242188</v>
          </cell>
          <cell r="G721">
            <v>25.199996948242188</v>
          </cell>
        </row>
        <row r="722">
          <cell r="F722" t="str">
            <v>JULI</v>
          </cell>
          <cell r="G722">
            <v>25.199996948242188</v>
          </cell>
        </row>
        <row r="723">
          <cell r="F723">
            <v>25.199996948242188</v>
          </cell>
          <cell r="G723">
            <v>25.199996948242188</v>
          </cell>
        </row>
        <row r="724">
          <cell r="F724" t="str">
            <v>BB</v>
          </cell>
          <cell r="G724" t="str">
            <v>TTD</v>
          </cell>
        </row>
        <row r="725">
          <cell r="F725">
            <v>25.199996948242188</v>
          </cell>
          <cell r="G725">
            <v>25.199996948242188</v>
          </cell>
        </row>
        <row r="726">
          <cell r="E726">
            <v>23</v>
          </cell>
          <cell r="F726">
            <v>21.7</v>
          </cell>
          <cell r="G726">
            <v>20.936701284697691</v>
          </cell>
        </row>
        <row r="727">
          <cell r="E727">
            <v>24.3</v>
          </cell>
          <cell r="F727">
            <v>22.3</v>
          </cell>
          <cell r="G727">
            <v>21.203376819493535</v>
          </cell>
        </row>
        <row r="728">
          <cell r="E728">
            <v>25.8</v>
          </cell>
          <cell r="F728">
            <v>22.7</v>
          </cell>
          <cell r="G728">
            <v>21.066607626005652</v>
          </cell>
        </row>
        <row r="729">
          <cell r="E729">
            <v>26.6</v>
          </cell>
          <cell r="F729">
            <v>23.5</v>
          </cell>
          <cell r="G729">
            <v>21.933041408012986</v>
          </cell>
        </row>
        <row r="730">
          <cell r="E730">
            <v>27.4</v>
          </cell>
          <cell r="F730">
            <v>23.4</v>
          </cell>
          <cell r="G730">
            <v>21.374211649312834</v>
          </cell>
        </row>
        <row r="731">
          <cell r="E731">
            <v>28.4</v>
          </cell>
          <cell r="F731">
            <v>23.8</v>
          </cell>
          <cell r="G731">
            <v>21.517322869634658</v>
          </cell>
        </row>
        <row r="732">
          <cell r="E732">
            <v>28.8</v>
          </cell>
          <cell r="F732">
            <v>23.8</v>
          </cell>
          <cell r="G732">
            <v>21.315021904881714</v>
          </cell>
        </row>
        <row r="733">
          <cell r="E733">
            <v>28.4</v>
          </cell>
          <cell r="F733">
            <v>23.8</v>
          </cell>
          <cell r="G733">
            <v>21.517322869634658</v>
          </cell>
        </row>
        <row r="734">
          <cell r="E734">
            <v>27.8</v>
          </cell>
          <cell r="F734">
            <v>23.6</v>
          </cell>
          <cell r="G734">
            <v>21.495161498275294</v>
          </cell>
        </row>
        <row r="735">
          <cell r="E735">
            <v>27.2</v>
          </cell>
          <cell r="F735">
            <v>23.4</v>
          </cell>
          <cell r="G735">
            <v>21.47531350306749</v>
          </cell>
        </row>
        <row r="736">
          <cell r="E736">
            <v>26.6</v>
          </cell>
          <cell r="F736">
            <v>23.4</v>
          </cell>
          <cell r="G736">
            <v>21.775380812344167</v>
          </cell>
        </row>
        <row r="737">
          <cell r="E737">
            <v>26.2</v>
          </cell>
          <cell r="F737">
            <v>23.2</v>
          </cell>
          <cell r="G737">
            <v>21.658528701077763</v>
          </cell>
        </row>
        <row r="738">
          <cell r="E738">
            <v>26</v>
          </cell>
          <cell r="F738">
            <v>23</v>
          </cell>
          <cell r="G738">
            <v>21.442503423907144</v>
          </cell>
        </row>
        <row r="739">
          <cell r="F739" t="str">
            <v>-</v>
          </cell>
          <cell r="G739" t="str">
            <v>-</v>
          </cell>
        </row>
        <row r="740">
          <cell r="F740" t="str">
            <v>-</v>
          </cell>
          <cell r="G740" t="str">
            <v>-</v>
          </cell>
        </row>
        <row r="741">
          <cell r="F741" t="str">
            <v>-</v>
          </cell>
          <cell r="G741" t="str">
            <v>-</v>
          </cell>
        </row>
        <row r="742">
          <cell r="F742" t="str">
            <v>-</v>
          </cell>
          <cell r="G742" t="str">
            <v>-</v>
          </cell>
        </row>
        <row r="743">
          <cell r="F743" t="str">
            <v>-</v>
          </cell>
          <cell r="G743" t="str">
            <v>-</v>
          </cell>
        </row>
        <row r="744">
          <cell r="F744" t="str">
            <v>-</v>
          </cell>
          <cell r="G744" t="str">
            <v>-</v>
          </cell>
        </row>
        <row r="745">
          <cell r="F745" t="str">
            <v>-</v>
          </cell>
          <cell r="G745" t="str">
            <v>-</v>
          </cell>
        </row>
        <row r="746">
          <cell r="F746" t="str">
            <v>-</v>
          </cell>
          <cell r="G746" t="str">
            <v>-</v>
          </cell>
        </row>
        <row r="747">
          <cell r="F747" t="str">
            <v>-</v>
          </cell>
          <cell r="G747" t="str">
            <v>-</v>
          </cell>
        </row>
        <row r="748">
          <cell r="F748" t="str">
            <v>-</v>
          </cell>
          <cell r="G748" t="str">
            <v>-</v>
          </cell>
        </row>
        <row r="749">
          <cell r="F749" t="str">
            <v>-</v>
          </cell>
          <cell r="G749" t="str">
            <v>-</v>
          </cell>
        </row>
        <row r="750">
          <cell r="F750">
            <v>26</v>
          </cell>
          <cell r="G750">
            <v>26</v>
          </cell>
        </row>
        <row r="751">
          <cell r="F751">
            <v>26</v>
          </cell>
          <cell r="G751">
            <v>26</v>
          </cell>
        </row>
        <row r="752">
          <cell r="F752">
            <v>26</v>
          </cell>
          <cell r="G752">
            <v>26</v>
          </cell>
        </row>
        <row r="753">
          <cell r="F753" t="str">
            <v>WXREV</v>
          </cell>
          <cell r="G753">
            <v>26</v>
          </cell>
        </row>
        <row r="754">
          <cell r="F754">
            <v>26</v>
          </cell>
          <cell r="G754">
            <v>26</v>
          </cell>
        </row>
        <row r="755">
          <cell r="F755">
            <v>26</v>
          </cell>
          <cell r="G755">
            <v>26</v>
          </cell>
        </row>
        <row r="756">
          <cell r="F756">
            <v>26</v>
          </cell>
          <cell r="G756">
            <v>26</v>
          </cell>
        </row>
        <row r="757">
          <cell r="F757">
            <v>26</v>
          </cell>
          <cell r="G757">
            <v>26</v>
          </cell>
        </row>
        <row r="758">
          <cell r="F758" t="str">
            <v>JULI</v>
          </cell>
          <cell r="G758">
            <v>26</v>
          </cell>
        </row>
        <row r="759">
          <cell r="F759">
            <v>26</v>
          </cell>
          <cell r="G759">
            <v>26</v>
          </cell>
        </row>
        <row r="760">
          <cell r="F760" t="str">
            <v>BB</v>
          </cell>
          <cell r="G760" t="str">
            <v>TTD</v>
          </cell>
        </row>
        <row r="761">
          <cell r="F761">
            <v>26</v>
          </cell>
          <cell r="G761">
            <v>26</v>
          </cell>
        </row>
        <row r="762">
          <cell r="E762">
            <v>24</v>
          </cell>
          <cell r="F762">
            <v>22.4</v>
          </cell>
          <cell r="G762">
            <v>21.511181316989337</v>
          </cell>
        </row>
        <row r="763">
          <cell r="E763">
            <v>25.2</v>
          </cell>
          <cell r="F763">
            <v>22.4</v>
          </cell>
          <cell r="G763">
            <v>20.897423728588965</v>
          </cell>
        </row>
        <row r="764">
          <cell r="E764">
            <v>26.7</v>
          </cell>
          <cell r="F764">
            <v>22.8</v>
          </cell>
          <cell r="G764">
            <v>20.760691229379212</v>
          </cell>
        </row>
        <row r="765">
          <cell r="E765">
            <v>26.8</v>
          </cell>
          <cell r="F765">
            <v>23.2</v>
          </cell>
          <cell r="G765">
            <v>21.356569638730033</v>
          </cell>
        </row>
        <row r="766">
          <cell r="E766">
            <v>27.2</v>
          </cell>
          <cell r="F766">
            <v>24</v>
          </cell>
          <cell r="G766">
            <v>22.424951840849836</v>
          </cell>
        </row>
        <row r="767">
          <cell r="E767">
            <v>28</v>
          </cell>
          <cell r="F767">
            <v>24.2</v>
          </cell>
          <cell r="G767">
            <v>22.354583733692817</v>
          </cell>
        </row>
        <row r="768">
          <cell r="E768">
            <v>28.5</v>
          </cell>
          <cell r="F768">
            <v>24.6</v>
          </cell>
          <cell r="G768">
            <v>22.745598614526685</v>
          </cell>
        </row>
        <row r="769">
          <cell r="E769">
            <v>29</v>
          </cell>
          <cell r="F769">
            <v>24.5</v>
          </cell>
          <cell r="G769">
            <v>22.349352820574691</v>
          </cell>
        </row>
        <row r="770">
          <cell r="E770">
            <v>28.9</v>
          </cell>
          <cell r="F770">
            <v>24.6</v>
          </cell>
          <cell r="G770">
            <v>22.556161289601096</v>
          </cell>
        </row>
        <row r="771">
          <cell r="E771">
            <v>28</v>
          </cell>
          <cell r="F771">
            <v>24</v>
          </cell>
          <cell r="G771">
            <v>22.037563837182521</v>
          </cell>
        </row>
        <row r="772">
          <cell r="E772">
            <v>27.3</v>
          </cell>
          <cell r="F772">
            <v>23.4</v>
          </cell>
          <cell r="G772">
            <v>21.424830954377001</v>
          </cell>
        </row>
        <row r="773">
          <cell r="E773">
            <v>26.5</v>
          </cell>
          <cell r="F773">
            <v>23.2</v>
          </cell>
          <cell r="G773">
            <v>21.508158710605972</v>
          </cell>
        </row>
        <row r="774">
          <cell r="E774">
            <v>25.2</v>
          </cell>
          <cell r="F774">
            <v>23</v>
          </cell>
          <cell r="G774">
            <v>21.842217111651138</v>
          </cell>
        </row>
        <row r="775">
          <cell r="F775" t="str">
            <v>-</v>
          </cell>
          <cell r="G775" t="str">
            <v>-</v>
          </cell>
        </row>
        <row r="776">
          <cell r="F776" t="str">
            <v>-</v>
          </cell>
          <cell r="G776" t="str">
            <v>-</v>
          </cell>
        </row>
        <row r="777">
          <cell r="F777" t="str">
            <v>-</v>
          </cell>
          <cell r="G777" t="str">
            <v>-</v>
          </cell>
        </row>
        <row r="778">
          <cell r="F778" t="str">
            <v>-</v>
          </cell>
          <cell r="G778" t="str">
            <v>-</v>
          </cell>
        </row>
        <row r="779">
          <cell r="F779" t="str">
            <v>-</v>
          </cell>
          <cell r="G779" t="str">
            <v>-</v>
          </cell>
        </row>
        <row r="780">
          <cell r="F780" t="str">
            <v>-</v>
          </cell>
          <cell r="G780" t="str">
            <v>-</v>
          </cell>
        </row>
        <row r="781">
          <cell r="F781" t="str">
            <v>-</v>
          </cell>
          <cell r="G781" t="str">
            <v>-</v>
          </cell>
        </row>
        <row r="782">
          <cell r="F782" t="str">
            <v>-</v>
          </cell>
          <cell r="G782" t="str">
            <v>-</v>
          </cell>
        </row>
        <row r="783">
          <cell r="F783" t="str">
            <v>-</v>
          </cell>
          <cell r="G783" t="str">
            <v>-</v>
          </cell>
        </row>
        <row r="784">
          <cell r="F784" t="str">
            <v>-</v>
          </cell>
          <cell r="G784" t="str">
            <v>-</v>
          </cell>
        </row>
        <row r="785">
          <cell r="F785" t="str">
            <v>-</v>
          </cell>
          <cell r="G785" t="str">
            <v>-</v>
          </cell>
        </row>
        <row r="786">
          <cell r="F786">
            <v>25.2</v>
          </cell>
          <cell r="G786">
            <v>25.199996948242188</v>
          </cell>
        </row>
        <row r="787">
          <cell r="F787">
            <v>25.199996948242188</v>
          </cell>
          <cell r="G787">
            <v>25.199996948242188</v>
          </cell>
        </row>
        <row r="788">
          <cell r="F788">
            <v>25.199996948242188</v>
          </cell>
          <cell r="G788">
            <v>25.199996948242188</v>
          </cell>
        </row>
        <row r="789">
          <cell r="F789" t="str">
            <v>WXREV</v>
          </cell>
          <cell r="G789">
            <v>25.199996948242188</v>
          </cell>
        </row>
        <row r="790">
          <cell r="F790">
            <v>25.199996948242188</v>
          </cell>
          <cell r="G790">
            <v>25.199996948242188</v>
          </cell>
        </row>
        <row r="791">
          <cell r="F791">
            <v>25.199996948242188</v>
          </cell>
          <cell r="G791">
            <v>25.199996948242188</v>
          </cell>
        </row>
        <row r="792">
          <cell r="F792">
            <v>25.199996948242188</v>
          </cell>
          <cell r="G792">
            <v>25.199996948242188</v>
          </cell>
        </row>
        <row r="793">
          <cell r="F793">
            <v>25.199996948242188</v>
          </cell>
          <cell r="G793">
            <v>25.199996948242188</v>
          </cell>
        </row>
        <row r="794">
          <cell r="F794" t="str">
            <v>JULI</v>
          </cell>
          <cell r="G794">
            <v>25.199996948242188</v>
          </cell>
        </row>
        <row r="795">
          <cell r="F795">
            <v>25.199996948242188</v>
          </cell>
          <cell r="G795">
            <v>25.199996948242188</v>
          </cell>
        </row>
        <row r="796">
          <cell r="F796" t="str">
            <v>BB</v>
          </cell>
          <cell r="G796" t="str">
            <v>TTD</v>
          </cell>
        </row>
        <row r="797">
          <cell r="F797">
            <v>25.199996948242188</v>
          </cell>
          <cell r="G797">
            <v>25.199996948242188</v>
          </cell>
        </row>
        <row r="798">
          <cell r="E798">
            <v>23.4</v>
          </cell>
          <cell r="F798">
            <v>22.1</v>
          </cell>
          <cell r="G798">
            <v>21.35101754137802</v>
          </cell>
        </row>
        <row r="799">
          <cell r="E799">
            <v>24.6</v>
          </cell>
          <cell r="F799">
            <v>22.5</v>
          </cell>
          <cell r="G799">
            <v>21.363604163162531</v>
          </cell>
        </row>
        <row r="800">
          <cell r="E800">
            <v>25.4</v>
          </cell>
          <cell r="F800">
            <v>22.8</v>
          </cell>
          <cell r="G800">
            <v>21.429512326033791</v>
          </cell>
        </row>
        <row r="801">
          <cell r="E801">
            <v>27</v>
          </cell>
          <cell r="F801">
            <v>23.8</v>
          </cell>
          <cell r="G801">
            <v>22.208645027327083</v>
          </cell>
        </row>
        <row r="802">
          <cell r="E802">
            <v>28.3</v>
          </cell>
          <cell r="F802">
            <v>24.5</v>
          </cell>
          <cell r="G802">
            <v>22.683237188132594</v>
          </cell>
        </row>
        <row r="803">
          <cell r="E803">
            <v>28.4</v>
          </cell>
          <cell r="F803">
            <v>24.7</v>
          </cell>
          <cell r="G803">
            <v>22.948702379577565</v>
          </cell>
        </row>
        <row r="804">
          <cell r="E804">
            <v>28.4</v>
          </cell>
          <cell r="F804">
            <v>24.5</v>
          </cell>
          <cell r="G804">
            <v>22.635899802692006</v>
          </cell>
        </row>
        <row r="805">
          <cell r="E805">
            <v>28.2</v>
          </cell>
          <cell r="F805">
            <v>24.4</v>
          </cell>
          <cell r="G805">
            <v>22.573749319862735</v>
          </cell>
        </row>
        <row r="806">
          <cell r="E806">
            <v>27.5</v>
          </cell>
          <cell r="F806">
            <v>23.8</v>
          </cell>
          <cell r="G806">
            <v>21.964658694482409</v>
          </cell>
        </row>
        <row r="807">
          <cell r="E807">
            <v>27.1</v>
          </cell>
          <cell r="F807">
            <v>23.5</v>
          </cell>
          <cell r="G807">
            <v>21.685426017897907</v>
          </cell>
        </row>
        <row r="808">
          <cell r="E808">
            <v>27</v>
          </cell>
          <cell r="F808">
            <v>23.6</v>
          </cell>
          <cell r="G808">
            <v>21.893778896731295</v>
          </cell>
        </row>
        <row r="809">
          <cell r="E809">
            <v>26</v>
          </cell>
          <cell r="F809">
            <v>23.2</v>
          </cell>
          <cell r="G809">
            <v>21.758108440057615</v>
          </cell>
        </row>
        <row r="810">
          <cell r="E810">
            <v>25.6</v>
          </cell>
          <cell r="F810">
            <v>23.2</v>
          </cell>
          <cell r="G810">
            <v>21.955694513131515</v>
          </cell>
        </row>
        <row r="811">
          <cell r="F811" t="str">
            <v>-</v>
          </cell>
          <cell r="G811" t="str">
            <v>-</v>
          </cell>
        </row>
        <row r="812">
          <cell r="F812" t="str">
            <v>-</v>
          </cell>
          <cell r="G812" t="str">
            <v>-</v>
          </cell>
        </row>
        <row r="813">
          <cell r="F813" t="str">
            <v>-</v>
          </cell>
          <cell r="G813" t="str">
            <v>-</v>
          </cell>
        </row>
        <row r="814">
          <cell r="F814" t="str">
            <v>-</v>
          </cell>
          <cell r="G814" t="str">
            <v>-</v>
          </cell>
        </row>
        <row r="815">
          <cell r="F815" t="str">
            <v>-</v>
          </cell>
          <cell r="G815" t="str">
            <v>-</v>
          </cell>
        </row>
        <row r="816">
          <cell r="F816" t="str">
            <v>-</v>
          </cell>
          <cell r="G816" t="str">
            <v>-</v>
          </cell>
        </row>
        <row r="817">
          <cell r="F817" t="str">
            <v>-</v>
          </cell>
          <cell r="G817" t="str">
            <v>-</v>
          </cell>
        </row>
        <row r="818">
          <cell r="F818" t="str">
            <v>-</v>
          </cell>
          <cell r="G818" t="str">
            <v>-</v>
          </cell>
        </row>
        <row r="819">
          <cell r="F819" t="str">
            <v>-</v>
          </cell>
          <cell r="G819" t="str">
            <v>-</v>
          </cell>
        </row>
        <row r="820">
          <cell r="F820" t="str">
            <v>-</v>
          </cell>
          <cell r="G820" t="str">
            <v>-</v>
          </cell>
        </row>
        <row r="821">
          <cell r="F821" t="str">
            <v>-</v>
          </cell>
          <cell r="G821" t="str">
            <v>-</v>
          </cell>
        </row>
        <row r="822">
          <cell r="F822">
            <v>25.6</v>
          </cell>
          <cell r="G822">
            <v>25.599990844726563</v>
          </cell>
        </row>
        <row r="823">
          <cell r="F823">
            <v>25.599990844726563</v>
          </cell>
          <cell r="G823">
            <v>25.599990844726563</v>
          </cell>
        </row>
        <row r="824">
          <cell r="F824">
            <v>25.599990844726563</v>
          </cell>
          <cell r="G824">
            <v>25.599990844726563</v>
          </cell>
        </row>
        <row r="825">
          <cell r="F825" t="str">
            <v>WXREV</v>
          </cell>
          <cell r="G825">
            <v>25.599990844726563</v>
          </cell>
        </row>
        <row r="826">
          <cell r="F826">
            <v>25.599990844726563</v>
          </cell>
          <cell r="G826">
            <v>25.599990844726563</v>
          </cell>
        </row>
        <row r="827">
          <cell r="F827">
            <v>25.599990844726563</v>
          </cell>
          <cell r="G827">
            <v>25.599990844726563</v>
          </cell>
        </row>
        <row r="828">
          <cell r="F828">
            <v>25.599990844726563</v>
          </cell>
          <cell r="G828">
            <v>25.599990844726563</v>
          </cell>
        </row>
        <row r="829">
          <cell r="F829">
            <v>25.599990844726563</v>
          </cell>
          <cell r="G829">
            <v>25.599990844726563</v>
          </cell>
        </row>
        <row r="830">
          <cell r="F830" t="str">
            <v>JULI</v>
          </cell>
          <cell r="G830">
            <v>25.599990844726563</v>
          </cell>
        </row>
        <row r="831">
          <cell r="F831">
            <v>25.599990844726563</v>
          </cell>
          <cell r="G831">
            <v>25.599990844726563</v>
          </cell>
        </row>
        <row r="832">
          <cell r="F832" t="str">
            <v>BB</v>
          </cell>
          <cell r="G832" t="str">
            <v>TTD</v>
          </cell>
        </row>
        <row r="833">
          <cell r="F833">
            <v>25.599990844726563</v>
          </cell>
          <cell r="G833">
            <v>25.599990844726563</v>
          </cell>
        </row>
        <row r="834">
          <cell r="E834">
            <v>23.8</v>
          </cell>
          <cell r="F834">
            <v>22.6</v>
          </cell>
          <cell r="G834">
            <v>21.91771173877353</v>
          </cell>
        </row>
        <row r="835">
          <cell r="E835">
            <v>25</v>
          </cell>
          <cell r="F835">
            <v>23.1</v>
          </cell>
          <cell r="G835">
            <v>22.094878555418994</v>
          </cell>
        </row>
        <row r="836">
          <cell r="E836">
            <v>27.1</v>
          </cell>
          <cell r="F836">
            <v>22.6</v>
          </cell>
          <cell r="G836">
            <v>20.217888413193116</v>
          </cell>
        </row>
        <row r="837">
          <cell r="E837">
            <v>27.6</v>
          </cell>
          <cell r="F837">
            <v>22.6</v>
          </cell>
          <cell r="G837">
            <v>19.946209760988268</v>
          </cell>
        </row>
        <row r="838">
          <cell r="E838">
            <v>28.3</v>
          </cell>
          <cell r="F838">
            <v>22.6</v>
          </cell>
          <cell r="G838">
            <v>19.559012681110051</v>
          </cell>
        </row>
        <row r="839">
          <cell r="E839">
            <v>29</v>
          </cell>
          <cell r="F839">
            <v>23</v>
          </cell>
          <cell r="G839">
            <v>19.86220736077232</v>
          </cell>
        </row>
        <row r="840">
          <cell r="E840">
            <v>29.2</v>
          </cell>
          <cell r="F840">
            <v>23.2</v>
          </cell>
          <cell r="G840">
            <v>20.097265135038942</v>
          </cell>
        </row>
        <row r="841">
          <cell r="E841">
            <v>29.6</v>
          </cell>
          <cell r="F841">
            <v>23</v>
          </cell>
          <cell r="G841">
            <v>19.529289707919126</v>
          </cell>
        </row>
        <row r="842">
          <cell r="E842">
            <v>29.2</v>
          </cell>
          <cell r="F842">
            <v>22.6</v>
          </cell>
          <cell r="G842">
            <v>19.048904303384408</v>
          </cell>
        </row>
        <row r="843">
          <cell r="E843">
            <v>27.9</v>
          </cell>
          <cell r="F843">
            <v>22.3</v>
          </cell>
          <cell r="G843">
            <v>19.264038070012006</v>
          </cell>
        </row>
        <row r="844">
          <cell r="E844">
            <v>26.4</v>
          </cell>
          <cell r="F844">
            <v>21.8</v>
          </cell>
          <cell r="G844">
            <v>19.254205340614714</v>
          </cell>
        </row>
        <row r="845">
          <cell r="E845">
            <v>25</v>
          </cell>
          <cell r="F845">
            <v>20.9</v>
          </cell>
          <cell r="G845">
            <v>18.521351007062055</v>
          </cell>
        </row>
        <row r="846">
          <cell r="E846">
            <v>24.1</v>
          </cell>
          <cell r="F846">
            <v>20.6</v>
          </cell>
          <cell r="G846">
            <v>18.53946766955206</v>
          </cell>
        </row>
        <row r="847">
          <cell r="F847" t="str">
            <v>-</v>
          </cell>
          <cell r="G847" t="str">
            <v>-</v>
          </cell>
        </row>
        <row r="848">
          <cell r="F848" t="str">
            <v>-</v>
          </cell>
          <cell r="G848" t="str">
            <v>-</v>
          </cell>
        </row>
        <row r="849">
          <cell r="F849" t="str">
            <v>-</v>
          </cell>
          <cell r="G849" t="str">
            <v>-</v>
          </cell>
        </row>
        <row r="850">
          <cell r="F850" t="str">
            <v>-</v>
          </cell>
          <cell r="G850" t="str">
            <v>-</v>
          </cell>
        </row>
        <row r="851">
          <cell r="F851" t="str">
            <v>-</v>
          </cell>
          <cell r="G851" t="str">
            <v>-</v>
          </cell>
        </row>
        <row r="852">
          <cell r="F852" t="str">
            <v>-</v>
          </cell>
          <cell r="G852" t="str">
            <v>-</v>
          </cell>
        </row>
        <row r="853">
          <cell r="F853" t="str">
            <v>-</v>
          </cell>
          <cell r="G853" t="str">
            <v>-</v>
          </cell>
        </row>
        <row r="854">
          <cell r="F854" t="str">
            <v>-</v>
          </cell>
          <cell r="G854" t="str">
            <v>-</v>
          </cell>
        </row>
        <row r="855">
          <cell r="F855" t="str">
            <v>-</v>
          </cell>
          <cell r="G855" t="str">
            <v>-</v>
          </cell>
        </row>
        <row r="856">
          <cell r="F856" t="str">
            <v>-</v>
          </cell>
          <cell r="G856" t="str">
            <v>-</v>
          </cell>
        </row>
        <row r="857">
          <cell r="F857" t="str">
            <v>-</v>
          </cell>
          <cell r="G857" t="str">
            <v>-</v>
          </cell>
        </row>
        <row r="858">
          <cell r="F858">
            <v>24.1</v>
          </cell>
          <cell r="G858">
            <v>24.099990844726563</v>
          </cell>
        </row>
        <row r="859">
          <cell r="F859">
            <v>24.099990844726563</v>
          </cell>
          <cell r="G859">
            <v>24.099990844726563</v>
          </cell>
        </row>
        <row r="860">
          <cell r="F860">
            <v>24.099990844726563</v>
          </cell>
          <cell r="G860">
            <v>24.099990844726563</v>
          </cell>
        </row>
        <row r="861">
          <cell r="F861" t="str">
            <v>WXREV</v>
          </cell>
          <cell r="G861">
            <v>24.099990844726563</v>
          </cell>
        </row>
        <row r="862">
          <cell r="F862">
            <v>24.099990844726563</v>
          </cell>
          <cell r="G862">
            <v>24.099990844726563</v>
          </cell>
        </row>
        <row r="863">
          <cell r="F863">
            <v>24.099990844726563</v>
          </cell>
          <cell r="G863">
            <v>24.099990844726563</v>
          </cell>
        </row>
        <row r="864">
          <cell r="F864">
            <v>24.099990844726563</v>
          </cell>
          <cell r="G864">
            <v>24.099990844726563</v>
          </cell>
        </row>
        <row r="865">
          <cell r="F865">
            <v>24.099990844726563</v>
          </cell>
          <cell r="G865">
            <v>24.099990844726563</v>
          </cell>
        </row>
        <row r="866">
          <cell r="F866" t="str">
            <v>JULI</v>
          </cell>
          <cell r="G866">
            <v>24.099990844726563</v>
          </cell>
        </row>
        <row r="867">
          <cell r="F867">
            <v>24.099990844726563</v>
          </cell>
          <cell r="G867">
            <v>24.099990844726563</v>
          </cell>
        </row>
        <row r="868">
          <cell r="F868" t="str">
            <v>BB</v>
          </cell>
          <cell r="G868" t="str">
            <v>TTD</v>
          </cell>
        </row>
        <row r="869">
          <cell r="F869">
            <v>24.099990844726563</v>
          </cell>
          <cell r="G869">
            <v>24.099990844726563</v>
          </cell>
        </row>
        <row r="870">
          <cell r="E870">
            <v>20.8</v>
          </cell>
          <cell r="F870">
            <v>19.3</v>
          </cell>
          <cell r="G870">
            <v>18.323482904745767</v>
          </cell>
        </row>
        <row r="871">
          <cell r="E871">
            <v>23.1</v>
          </cell>
          <cell r="F871">
            <v>20.6</v>
          </cell>
          <cell r="G871">
            <v>19.121029195522599</v>
          </cell>
        </row>
        <row r="872">
          <cell r="E872">
            <v>25.9</v>
          </cell>
          <cell r="F872">
            <v>20.399999999999999</v>
          </cell>
          <cell r="G872">
            <v>17.079236947287662</v>
          </cell>
        </row>
        <row r="873">
          <cell r="E873">
            <v>27</v>
          </cell>
          <cell r="F873">
            <v>20.6</v>
          </cell>
          <cell r="G873">
            <v>16.739474083286197</v>
          </cell>
        </row>
        <row r="874">
          <cell r="E874">
            <v>27.8</v>
          </cell>
          <cell r="F874">
            <v>20.3</v>
          </cell>
          <cell r="G874">
            <v>15.621809806964336</v>
          </cell>
        </row>
        <row r="875">
          <cell r="E875">
            <v>29</v>
          </cell>
          <cell r="F875">
            <v>21.3</v>
          </cell>
          <cell r="G875">
            <v>16.767391652468955</v>
          </cell>
        </row>
        <row r="876">
          <cell r="E876">
            <v>29.2</v>
          </cell>
          <cell r="F876">
            <v>21</v>
          </cell>
          <cell r="G876">
            <v>16.048291774323804</v>
          </cell>
        </row>
        <row r="877">
          <cell r="E877">
            <v>29.6</v>
          </cell>
          <cell r="F877">
            <v>21.4</v>
          </cell>
          <cell r="G877">
            <v>16.568168527103442</v>
          </cell>
        </row>
        <row r="878">
          <cell r="E878">
            <v>29</v>
          </cell>
          <cell r="F878">
            <v>21.4</v>
          </cell>
          <cell r="G878">
            <v>16.95924516411883</v>
          </cell>
        </row>
        <row r="879">
          <cell r="E879">
            <v>28.6</v>
          </cell>
          <cell r="F879">
            <v>21.2</v>
          </cell>
          <cell r="G879">
            <v>16.835731434304584</v>
          </cell>
        </row>
        <row r="880">
          <cell r="E880">
            <v>27</v>
          </cell>
          <cell r="F880">
            <v>20.8</v>
          </cell>
          <cell r="G880">
            <v>17.113148573522995</v>
          </cell>
        </row>
        <row r="881">
          <cell r="E881">
            <v>26.2</v>
          </cell>
          <cell r="F881">
            <v>20.2</v>
          </cell>
          <cell r="G881">
            <v>16.512943003651291</v>
          </cell>
        </row>
        <row r="882">
          <cell r="E882">
            <v>23.8</v>
          </cell>
          <cell r="F882">
            <v>20</v>
          </cell>
          <cell r="G882">
            <v>17.685725753632511</v>
          </cell>
        </row>
        <row r="883">
          <cell r="F883" t="str">
            <v>-</v>
          </cell>
          <cell r="G883" t="str">
            <v>-</v>
          </cell>
        </row>
        <row r="884">
          <cell r="F884" t="str">
            <v>-</v>
          </cell>
          <cell r="G884" t="str">
            <v>-</v>
          </cell>
        </row>
        <row r="885">
          <cell r="F885" t="str">
            <v>-</v>
          </cell>
          <cell r="G885" t="str">
            <v>-</v>
          </cell>
        </row>
        <row r="886">
          <cell r="F886" t="str">
            <v>-</v>
          </cell>
          <cell r="G886" t="str">
            <v>-</v>
          </cell>
        </row>
        <row r="887">
          <cell r="F887" t="str">
            <v>-</v>
          </cell>
          <cell r="G887" t="str">
            <v>-</v>
          </cell>
        </row>
        <row r="888">
          <cell r="F888" t="str">
            <v>-</v>
          </cell>
          <cell r="G888" t="str">
            <v>-</v>
          </cell>
        </row>
        <row r="889">
          <cell r="F889" t="str">
            <v>-</v>
          </cell>
          <cell r="G889" t="str">
            <v>-</v>
          </cell>
        </row>
        <row r="890">
          <cell r="F890" t="str">
            <v>-</v>
          </cell>
          <cell r="G890" t="str">
            <v>-</v>
          </cell>
        </row>
        <row r="891">
          <cell r="F891" t="str">
            <v>-</v>
          </cell>
          <cell r="G891" t="str">
            <v>-</v>
          </cell>
        </row>
        <row r="892">
          <cell r="F892" t="str">
            <v>-</v>
          </cell>
          <cell r="G892" t="str">
            <v>-</v>
          </cell>
        </row>
        <row r="893">
          <cell r="F893" t="str">
            <v>-</v>
          </cell>
          <cell r="G893" t="str">
            <v>-</v>
          </cell>
        </row>
        <row r="894">
          <cell r="F894">
            <v>23.8</v>
          </cell>
          <cell r="G894">
            <v>23.79998779296875</v>
          </cell>
        </row>
        <row r="895">
          <cell r="F895">
            <v>23.79998779296875</v>
          </cell>
          <cell r="G895">
            <v>23.79998779296875</v>
          </cell>
        </row>
        <row r="896">
          <cell r="F896">
            <v>23.79998779296875</v>
          </cell>
          <cell r="G896">
            <v>23.79998779296875</v>
          </cell>
        </row>
        <row r="897">
          <cell r="F897" t="str">
            <v>WXREV</v>
          </cell>
          <cell r="G897">
            <v>23.79998779296875</v>
          </cell>
        </row>
        <row r="898">
          <cell r="F898">
            <v>23.79998779296875</v>
          </cell>
          <cell r="G898">
            <v>23.79998779296875</v>
          </cell>
        </row>
        <row r="899">
          <cell r="F899">
            <v>23.79998779296875</v>
          </cell>
          <cell r="G899">
            <v>23.79998779296875</v>
          </cell>
        </row>
        <row r="900">
          <cell r="F900">
            <v>23.79998779296875</v>
          </cell>
          <cell r="G900">
            <v>23.79998779296875</v>
          </cell>
        </row>
        <row r="901">
          <cell r="F901">
            <v>23.79998779296875</v>
          </cell>
          <cell r="G901">
            <v>23.79998779296875</v>
          </cell>
        </row>
        <row r="902">
          <cell r="F902" t="str">
            <v>JULI</v>
          </cell>
          <cell r="G902">
            <v>23.79998779296875</v>
          </cell>
        </row>
        <row r="903">
          <cell r="F903">
            <v>23.79998779296875</v>
          </cell>
          <cell r="G903">
            <v>23.79998779296875</v>
          </cell>
        </row>
        <row r="904">
          <cell r="F904" t="str">
            <v>BB</v>
          </cell>
          <cell r="G904" t="str">
            <v>TTD</v>
          </cell>
        </row>
        <row r="905">
          <cell r="F905">
            <v>23.79998779296875</v>
          </cell>
          <cell r="G905">
            <v>23.79998779296875</v>
          </cell>
        </row>
        <row r="906">
          <cell r="E906">
            <v>20.5</v>
          </cell>
          <cell r="F906">
            <v>18.399999999999999</v>
          </cell>
          <cell r="G906">
            <v>16.995992330159833</v>
          </cell>
        </row>
        <row r="907">
          <cell r="E907">
            <v>23.5</v>
          </cell>
          <cell r="F907">
            <v>20.100000000000001</v>
          </cell>
          <cell r="G907">
            <v>18.043079819846305</v>
          </cell>
        </row>
        <row r="908">
          <cell r="E908">
            <v>24.6</v>
          </cell>
          <cell r="F908">
            <v>20.6</v>
          </cell>
          <cell r="G908">
            <v>18.241590728905095</v>
          </cell>
        </row>
        <row r="909">
          <cell r="E909">
            <v>26.2</v>
          </cell>
          <cell r="F909">
            <v>21.2</v>
          </cell>
          <cell r="G909">
            <v>18.330241538915399</v>
          </cell>
        </row>
        <row r="910">
          <cell r="E910">
            <v>27.7</v>
          </cell>
          <cell r="F910">
            <v>21.7</v>
          </cell>
          <cell r="G910">
            <v>18.321409246932255</v>
          </cell>
        </row>
        <row r="911">
          <cell r="E911">
            <v>28.6</v>
          </cell>
          <cell r="F911">
            <v>22</v>
          </cell>
          <cell r="G911">
            <v>18.323731685920357</v>
          </cell>
        </row>
        <row r="912">
          <cell r="E912">
            <v>29.2</v>
          </cell>
          <cell r="F912">
            <v>22.3</v>
          </cell>
          <cell r="G912">
            <v>18.510307781811029</v>
          </cell>
        </row>
        <row r="913">
          <cell r="E913">
            <v>30</v>
          </cell>
          <cell r="F913">
            <v>23</v>
          </cell>
          <cell r="G913">
            <v>19.303951004386928</v>
          </cell>
        </row>
        <row r="914">
          <cell r="E914">
            <v>30.4</v>
          </cell>
          <cell r="F914">
            <v>23</v>
          </cell>
          <cell r="G914">
            <v>19.075812827479979</v>
          </cell>
        </row>
        <row r="915">
          <cell r="E915">
            <v>29.6</v>
          </cell>
          <cell r="F915">
            <v>23.4</v>
          </cell>
          <cell r="G915">
            <v>20.224288506437016</v>
          </cell>
        </row>
        <row r="916">
          <cell r="E916">
            <v>27</v>
          </cell>
          <cell r="F916">
            <v>22.8</v>
          </cell>
          <cell r="G916">
            <v>20.602873681847623</v>
          </cell>
        </row>
        <row r="917">
          <cell r="E917">
            <v>26</v>
          </cell>
          <cell r="F917">
            <v>23.2</v>
          </cell>
          <cell r="G917">
            <v>21.758108440057615</v>
          </cell>
        </row>
        <row r="918">
          <cell r="E918">
            <v>25.8</v>
          </cell>
          <cell r="F918">
            <v>23.2</v>
          </cell>
          <cell r="G918">
            <v>21.857161726185268</v>
          </cell>
        </row>
        <row r="919">
          <cell r="F919" t="str">
            <v>-</v>
          </cell>
          <cell r="G919" t="str">
            <v>-</v>
          </cell>
        </row>
        <row r="920">
          <cell r="F920" t="str">
            <v>-</v>
          </cell>
          <cell r="G920" t="str">
            <v>-</v>
          </cell>
        </row>
        <row r="921">
          <cell r="F921" t="str">
            <v>-</v>
          </cell>
          <cell r="G921" t="str">
            <v>-</v>
          </cell>
        </row>
        <row r="922">
          <cell r="F922" t="str">
            <v>-</v>
          </cell>
          <cell r="G922" t="str">
            <v>-</v>
          </cell>
        </row>
        <row r="923">
          <cell r="F923" t="str">
            <v>-</v>
          </cell>
          <cell r="G923" t="str">
            <v>-</v>
          </cell>
        </row>
        <row r="924">
          <cell r="F924" t="str">
            <v>-</v>
          </cell>
          <cell r="G924" t="str">
            <v>-</v>
          </cell>
        </row>
        <row r="925">
          <cell r="F925" t="str">
            <v>-</v>
          </cell>
          <cell r="G925" t="str">
            <v>-</v>
          </cell>
        </row>
        <row r="926">
          <cell r="F926" t="str">
            <v>-</v>
          </cell>
          <cell r="G926" t="str">
            <v>-</v>
          </cell>
        </row>
        <row r="927">
          <cell r="F927" t="str">
            <v>-</v>
          </cell>
          <cell r="G927" t="str">
            <v>-</v>
          </cell>
        </row>
        <row r="928">
          <cell r="F928" t="str">
            <v>-</v>
          </cell>
          <cell r="G928" t="str">
            <v>-</v>
          </cell>
        </row>
        <row r="929">
          <cell r="F929" t="str">
            <v>-</v>
          </cell>
          <cell r="G929" t="str">
            <v>-</v>
          </cell>
        </row>
        <row r="930">
          <cell r="F930">
            <v>25.8</v>
          </cell>
          <cell r="G930">
            <v>25.79998779296875</v>
          </cell>
        </row>
        <row r="931">
          <cell r="F931">
            <v>25.79998779296875</v>
          </cell>
          <cell r="G931">
            <v>25.79998779296875</v>
          </cell>
        </row>
        <row r="932">
          <cell r="F932">
            <v>25.79998779296875</v>
          </cell>
          <cell r="G932">
            <v>25.79998779296875</v>
          </cell>
        </row>
        <row r="933">
          <cell r="F933" t="str">
            <v>WXREV</v>
          </cell>
          <cell r="G933">
            <v>25.79998779296875</v>
          </cell>
        </row>
        <row r="934">
          <cell r="F934">
            <v>25.79998779296875</v>
          </cell>
          <cell r="G934">
            <v>25.79998779296875</v>
          </cell>
        </row>
        <row r="935">
          <cell r="F935">
            <v>25.79998779296875</v>
          </cell>
          <cell r="G935">
            <v>25.79998779296875</v>
          </cell>
        </row>
        <row r="936">
          <cell r="F936">
            <v>25.79998779296875</v>
          </cell>
          <cell r="G936">
            <v>25.79998779296875</v>
          </cell>
        </row>
        <row r="937">
          <cell r="F937">
            <v>25.79998779296875</v>
          </cell>
          <cell r="G937">
            <v>25.79998779296875</v>
          </cell>
        </row>
        <row r="938">
          <cell r="F938" t="str">
            <v>JULI</v>
          </cell>
          <cell r="G938">
            <v>25.79998779296875</v>
          </cell>
        </row>
        <row r="939">
          <cell r="F939">
            <v>25.79998779296875</v>
          </cell>
          <cell r="G939">
            <v>25.79998779296875</v>
          </cell>
        </row>
        <row r="940">
          <cell r="F940" t="str">
            <v>BB</v>
          </cell>
          <cell r="G940" t="str">
            <v>TTD</v>
          </cell>
        </row>
        <row r="941">
          <cell r="F941">
            <v>25.79998779296875</v>
          </cell>
          <cell r="G941">
            <v>25.79998779296875</v>
          </cell>
        </row>
        <row r="942">
          <cell r="E942">
            <v>22.2</v>
          </cell>
          <cell r="F942">
            <v>21.1</v>
          </cell>
          <cell r="G942">
            <v>20.421530135863314</v>
          </cell>
        </row>
        <row r="943">
          <cell r="E943">
            <v>23.6</v>
          </cell>
          <cell r="F943">
            <v>21.8</v>
          </cell>
          <cell r="G943">
            <v>20.780516613089915</v>
          </cell>
        </row>
        <row r="944">
          <cell r="E944">
            <v>25.4</v>
          </cell>
          <cell r="F944">
            <v>21.8</v>
          </cell>
          <cell r="G944">
            <v>19.813913858523215</v>
          </cell>
        </row>
        <row r="945">
          <cell r="E945">
            <v>26.6</v>
          </cell>
          <cell r="F945">
            <v>22.8</v>
          </cell>
          <cell r="G945">
            <v>20.813000573675488</v>
          </cell>
        </row>
        <row r="946">
          <cell r="E946">
            <v>28.8</v>
          </cell>
          <cell r="F946">
            <v>23.2</v>
          </cell>
          <cell r="G946">
            <v>20.313173065025666</v>
          </cell>
        </row>
        <row r="947">
          <cell r="E947">
            <v>30</v>
          </cell>
          <cell r="F947">
            <v>23</v>
          </cell>
          <cell r="G947">
            <v>19.303951004386928</v>
          </cell>
        </row>
        <row r="948">
          <cell r="E948">
            <v>31.3</v>
          </cell>
          <cell r="F948">
            <v>23</v>
          </cell>
          <cell r="G948">
            <v>18.551868035558428</v>
          </cell>
        </row>
        <row r="949">
          <cell r="E949">
            <v>30.6</v>
          </cell>
          <cell r="F949">
            <v>24.7</v>
          </cell>
          <cell r="G949">
            <v>21.894147210597996</v>
          </cell>
        </row>
        <row r="950">
          <cell r="E950">
            <v>29.4</v>
          </cell>
          <cell r="F950">
            <v>24.8</v>
          </cell>
          <cell r="G950">
            <v>22.635900736480924</v>
          </cell>
        </row>
        <row r="951">
          <cell r="E951">
            <v>28.1</v>
          </cell>
          <cell r="F951">
            <v>24.8</v>
          </cell>
          <cell r="G951">
            <v>23.242241452753913</v>
          </cell>
        </row>
        <row r="952">
          <cell r="E952">
            <v>26.8</v>
          </cell>
          <cell r="F952">
            <v>24.1</v>
          </cell>
          <cell r="G952">
            <v>22.769807193425653</v>
          </cell>
        </row>
        <row r="953">
          <cell r="E953">
            <v>26</v>
          </cell>
          <cell r="F953">
            <v>23.9</v>
          </cell>
          <cell r="G953">
            <v>22.839750014846285</v>
          </cell>
        </row>
        <row r="954">
          <cell r="E954">
            <v>25.3</v>
          </cell>
          <cell r="F954">
            <v>23.6</v>
          </cell>
          <cell r="G954">
            <v>22.713748663769724</v>
          </cell>
        </row>
        <row r="955">
          <cell r="F955" t="str">
            <v>-</v>
          </cell>
          <cell r="G955" t="str">
            <v>-</v>
          </cell>
        </row>
        <row r="956">
          <cell r="F956" t="str">
            <v>-</v>
          </cell>
          <cell r="G956" t="str">
            <v>-</v>
          </cell>
        </row>
        <row r="957">
          <cell r="F957" t="str">
            <v>-</v>
          </cell>
          <cell r="G957" t="str">
            <v>-</v>
          </cell>
        </row>
        <row r="958">
          <cell r="F958" t="str">
            <v>-</v>
          </cell>
          <cell r="G958" t="str">
            <v>-</v>
          </cell>
        </row>
        <row r="959">
          <cell r="F959" t="str">
            <v>-</v>
          </cell>
          <cell r="G959" t="str">
            <v>-</v>
          </cell>
        </row>
        <row r="960">
          <cell r="F960" t="str">
            <v>-</v>
          </cell>
          <cell r="G960" t="str">
            <v>-</v>
          </cell>
        </row>
        <row r="961">
          <cell r="F961" t="str">
            <v>-</v>
          </cell>
          <cell r="G961" t="str">
            <v>-</v>
          </cell>
        </row>
        <row r="962">
          <cell r="F962" t="str">
            <v>-</v>
          </cell>
          <cell r="G962" t="str">
            <v>-</v>
          </cell>
        </row>
        <row r="963">
          <cell r="F963" t="str">
            <v>-</v>
          </cell>
          <cell r="G963" t="str">
            <v>-</v>
          </cell>
        </row>
        <row r="964">
          <cell r="F964" t="str">
            <v>-</v>
          </cell>
          <cell r="G964" t="str">
            <v>-</v>
          </cell>
        </row>
        <row r="965">
          <cell r="F965" t="str">
            <v>-</v>
          </cell>
          <cell r="G965" t="str">
            <v>-</v>
          </cell>
        </row>
        <row r="966">
          <cell r="F966">
            <v>25.3</v>
          </cell>
          <cell r="G966">
            <v>25.29998779296875</v>
          </cell>
        </row>
        <row r="967">
          <cell r="F967">
            <v>25.29998779296875</v>
          </cell>
          <cell r="G967">
            <v>25.29998779296875</v>
          </cell>
        </row>
        <row r="968">
          <cell r="F968">
            <v>25.29998779296875</v>
          </cell>
          <cell r="G968">
            <v>25.29998779296875</v>
          </cell>
        </row>
        <row r="969">
          <cell r="F969" t="str">
            <v>WXREV</v>
          </cell>
          <cell r="G969">
            <v>25.29998779296875</v>
          </cell>
        </row>
        <row r="970">
          <cell r="F970">
            <v>25.29998779296875</v>
          </cell>
          <cell r="G970">
            <v>25.29998779296875</v>
          </cell>
        </row>
        <row r="971">
          <cell r="F971">
            <v>25.29998779296875</v>
          </cell>
          <cell r="G971">
            <v>25.29998779296875</v>
          </cell>
        </row>
        <row r="972">
          <cell r="F972">
            <v>25.29998779296875</v>
          </cell>
          <cell r="G972">
            <v>25.29998779296875</v>
          </cell>
        </row>
        <row r="973">
          <cell r="F973">
            <v>25.29998779296875</v>
          </cell>
          <cell r="G973">
            <v>25.29998779296875</v>
          </cell>
        </row>
        <row r="974">
          <cell r="F974" t="str">
            <v>JULI</v>
          </cell>
          <cell r="G974">
            <v>25.29998779296875</v>
          </cell>
        </row>
        <row r="975">
          <cell r="F975">
            <v>25.29998779296875</v>
          </cell>
          <cell r="G975">
            <v>25.29998779296875</v>
          </cell>
        </row>
        <row r="976">
          <cell r="F976" t="str">
            <v>BB</v>
          </cell>
          <cell r="G976" t="str">
            <v>TTD</v>
          </cell>
        </row>
        <row r="977">
          <cell r="F977">
            <v>25.29998779296875</v>
          </cell>
          <cell r="G977">
            <v>25.29998779296875</v>
          </cell>
        </row>
        <row r="978">
          <cell r="E978">
            <v>22.6</v>
          </cell>
          <cell r="F978">
            <v>21.9</v>
          </cell>
          <cell r="G978">
            <v>21.449269149866719</v>
          </cell>
        </row>
        <row r="979">
          <cell r="E979">
            <v>24.2</v>
          </cell>
          <cell r="F979">
            <v>23</v>
          </cell>
          <cell r="G979">
            <v>22.330168592037214</v>
          </cell>
        </row>
        <row r="980">
          <cell r="E980">
            <v>26.4</v>
          </cell>
          <cell r="F980">
            <v>24.2</v>
          </cell>
          <cell r="G980">
            <v>23.109032442757304</v>
          </cell>
        </row>
        <row r="981">
          <cell r="E981">
            <v>28</v>
          </cell>
          <cell r="F981">
            <v>24.4</v>
          </cell>
          <cell r="G981">
            <v>22.668616177039841</v>
          </cell>
        </row>
        <row r="982">
          <cell r="E982">
            <v>28.7</v>
          </cell>
          <cell r="F982">
            <v>24.5</v>
          </cell>
          <cell r="G982">
            <v>22.493170810159956</v>
          </cell>
        </row>
        <row r="983">
          <cell r="E983">
            <v>30.2</v>
          </cell>
          <cell r="F983">
            <v>24.6</v>
          </cell>
          <cell r="G983">
            <v>21.926992488235253</v>
          </cell>
        </row>
        <row r="984">
          <cell r="E984">
            <v>30.6</v>
          </cell>
          <cell r="F984">
            <v>24.8</v>
          </cell>
          <cell r="G984">
            <v>22.058366904828024</v>
          </cell>
        </row>
        <row r="985">
          <cell r="E985">
            <v>30.1</v>
          </cell>
          <cell r="F985">
            <v>25.4</v>
          </cell>
          <cell r="G985">
            <v>23.257484343510711</v>
          </cell>
        </row>
        <row r="986">
          <cell r="E986">
            <v>29.4</v>
          </cell>
          <cell r="F986">
            <v>25.2</v>
          </cell>
          <cell r="G986">
            <v>23.265416041293889</v>
          </cell>
        </row>
        <row r="987">
          <cell r="E987">
            <v>28.3</v>
          </cell>
          <cell r="F987">
            <v>24.2</v>
          </cell>
          <cell r="G987">
            <v>22.209701918786376</v>
          </cell>
        </row>
        <row r="988">
          <cell r="E988">
            <v>27.2</v>
          </cell>
          <cell r="F988">
            <v>24.1</v>
          </cell>
          <cell r="G988">
            <v>22.58062006284025</v>
          </cell>
        </row>
        <row r="989">
          <cell r="E989">
            <v>26</v>
          </cell>
          <cell r="F989">
            <v>24</v>
          </cell>
          <cell r="G989">
            <v>22.991501967304046</v>
          </cell>
        </row>
        <row r="990">
          <cell r="E990">
            <v>25</v>
          </cell>
          <cell r="F990">
            <v>23.3</v>
          </cell>
          <cell r="G990">
            <v>22.400885909362238</v>
          </cell>
        </row>
        <row r="991">
          <cell r="F991" t="str">
            <v>-</v>
          </cell>
          <cell r="G991" t="str">
            <v>-</v>
          </cell>
        </row>
        <row r="992">
          <cell r="F992" t="str">
            <v>-</v>
          </cell>
          <cell r="G992" t="str">
            <v>-</v>
          </cell>
        </row>
        <row r="993">
          <cell r="F993" t="str">
            <v>-</v>
          </cell>
          <cell r="G993" t="str">
            <v>-</v>
          </cell>
        </row>
        <row r="994">
          <cell r="F994" t="str">
            <v>-</v>
          </cell>
          <cell r="G994" t="str">
            <v>-</v>
          </cell>
        </row>
        <row r="995">
          <cell r="F995" t="str">
            <v>-</v>
          </cell>
          <cell r="G995" t="str">
            <v>-</v>
          </cell>
        </row>
        <row r="996">
          <cell r="F996" t="str">
            <v>-</v>
          </cell>
          <cell r="G996" t="str">
            <v>-</v>
          </cell>
        </row>
        <row r="997">
          <cell r="F997" t="str">
            <v>-</v>
          </cell>
          <cell r="G997" t="str">
            <v>-</v>
          </cell>
        </row>
        <row r="998">
          <cell r="F998" t="str">
            <v>-</v>
          </cell>
          <cell r="G998" t="str">
            <v>-</v>
          </cell>
        </row>
        <row r="999">
          <cell r="F999" t="str">
            <v>-</v>
          </cell>
          <cell r="G999" t="str">
            <v>-</v>
          </cell>
        </row>
        <row r="1000">
          <cell r="F1000" t="str">
            <v>-</v>
          </cell>
          <cell r="G1000" t="str">
            <v>-</v>
          </cell>
        </row>
        <row r="1001">
          <cell r="F1001" t="str">
            <v>-</v>
          </cell>
          <cell r="G1001" t="str">
            <v>-</v>
          </cell>
        </row>
        <row r="1002">
          <cell r="F1002">
            <v>25</v>
          </cell>
          <cell r="G1002">
            <v>25</v>
          </cell>
        </row>
        <row r="1003">
          <cell r="F1003">
            <v>25</v>
          </cell>
          <cell r="G1003">
            <v>25</v>
          </cell>
        </row>
        <row r="1004">
          <cell r="F1004">
            <v>25</v>
          </cell>
          <cell r="G1004">
            <v>25</v>
          </cell>
        </row>
        <row r="1005">
          <cell r="F1005" t="str">
            <v>WXREV</v>
          </cell>
          <cell r="G1005">
            <v>25</v>
          </cell>
        </row>
        <row r="1006">
          <cell r="F1006">
            <v>25</v>
          </cell>
          <cell r="G1006">
            <v>25</v>
          </cell>
        </row>
        <row r="1007">
          <cell r="F1007">
            <v>25</v>
          </cell>
          <cell r="G1007">
            <v>25</v>
          </cell>
        </row>
        <row r="1008">
          <cell r="F1008">
            <v>25</v>
          </cell>
          <cell r="G1008">
            <v>25</v>
          </cell>
        </row>
        <row r="1009">
          <cell r="F1009">
            <v>25</v>
          </cell>
          <cell r="G1009">
            <v>25</v>
          </cell>
        </row>
        <row r="1010">
          <cell r="F1010" t="str">
            <v>JULI</v>
          </cell>
          <cell r="G1010">
            <v>25</v>
          </cell>
        </row>
        <row r="1011">
          <cell r="F1011">
            <v>25</v>
          </cell>
          <cell r="G1011">
            <v>25</v>
          </cell>
        </row>
        <row r="1012">
          <cell r="F1012" t="str">
            <v>BB</v>
          </cell>
          <cell r="G1012" t="str">
            <v>TTD</v>
          </cell>
        </row>
        <row r="1013">
          <cell r="F1013">
            <v>25</v>
          </cell>
          <cell r="G1013">
            <v>25</v>
          </cell>
        </row>
        <row r="1014">
          <cell r="E1014">
            <v>21.6</v>
          </cell>
          <cell r="F1014">
            <v>21.2</v>
          </cell>
          <cell r="G1014">
            <v>20.892361803794628</v>
          </cell>
        </row>
        <row r="1015">
          <cell r="E1015">
            <v>23.7</v>
          </cell>
          <cell r="F1015">
            <v>22.3</v>
          </cell>
          <cell r="G1015">
            <v>21.507785109218418</v>
          </cell>
        </row>
        <row r="1016">
          <cell r="E1016">
            <v>25.4</v>
          </cell>
          <cell r="F1016">
            <v>23.2</v>
          </cell>
          <cell r="G1016">
            <v>22.053712651913379</v>
          </cell>
        </row>
        <row r="1017">
          <cell r="E1017">
            <v>27</v>
          </cell>
          <cell r="F1017">
            <v>23.4</v>
          </cell>
          <cell r="G1017">
            <v>21.575871494878008</v>
          </cell>
        </row>
        <row r="1018">
          <cell r="E1018">
            <v>28.4</v>
          </cell>
          <cell r="F1018">
            <v>24.2</v>
          </cell>
          <cell r="G1018">
            <v>22.161158941710486</v>
          </cell>
        </row>
        <row r="1019">
          <cell r="E1019">
            <v>29.7</v>
          </cell>
          <cell r="F1019">
            <v>25</v>
          </cell>
          <cell r="G1019">
            <v>22.811767552763925</v>
          </cell>
        </row>
        <row r="1020">
          <cell r="E1020">
            <v>30</v>
          </cell>
          <cell r="F1020">
            <v>24.4</v>
          </cell>
          <cell r="G1020">
            <v>21.697718679692752</v>
          </cell>
        </row>
        <row r="1021">
          <cell r="E1021">
            <v>30</v>
          </cell>
          <cell r="F1021">
            <v>25.2</v>
          </cell>
          <cell r="G1021">
            <v>22.988313287442271</v>
          </cell>
        </row>
        <row r="1022">
          <cell r="E1022">
            <v>29.4</v>
          </cell>
          <cell r="F1022">
            <v>24.7</v>
          </cell>
          <cell r="G1022">
            <v>22.476662594288822</v>
          </cell>
        </row>
        <row r="1023">
          <cell r="E1023">
            <v>28.4</v>
          </cell>
          <cell r="F1023">
            <v>23.8</v>
          </cell>
          <cell r="G1023">
            <v>21.517322869634658</v>
          </cell>
        </row>
        <row r="1024">
          <cell r="E1024">
            <v>27.8</v>
          </cell>
          <cell r="F1024">
            <v>23.8</v>
          </cell>
          <cell r="G1024">
            <v>21.816730172619572</v>
          </cell>
        </row>
        <row r="1025">
          <cell r="E1025">
            <v>26</v>
          </cell>
          <cell r="F1025">
            <v>23.6</v>
          </cell>
          <cell r="G1025">
            <v>22.380428406468425</v>
          </cell>
        </row>
        <row r="1026">
          <cell r="E1026">
            <v>25.4</v>
          </cell>
          <cell r="F1026">
            <v>23.4</v>
          </cell>
          <cell r="G1026">
            <v>22.361484869154971</v>
          </cell>
        </row>
        <row r="1027">
          <cell r="F1027" t="str">
            <v>-</v>
          </cell>
          <cell r="G1027" t="str">
            <v>-</v>
          </cell>
        </row>
        <row r="1028">
          <cell r="F1028" t="str">
            <v>-</v>
          </cell>
          <cell r="G1028" t="str">
            <v>-</v>
          </cell>
        </row>
        <row r="1029">
          <cell r="F1029" t="str">
            <v>-</v>
          </cell>
          <cell r="G1029" t="str">
            <v>-</v>
          </cell>
        </row>
        <row r="1030">
          <cell r="F1030" t="str">
            <v>-</v>
          </cell>
          <cell r="G1030" t="str">
            <v>-</v>
          </cell>
        </row>
        <row r="1031">
          <cell r="F1031" t="str">
            <v>-</v>
          </cell>
          <cell r="G1031" t="str">
            <v>-</v>
          </cell>
        </row>
        <row r="1032">
          <cell r="F1032" t="str">
            <v>-</v>
          </cell>
          <cell r="G1032" t="str">
            <v>-</v>
          </cell>
        </row>
        <row r="1033">
          <cell r="F1033" t="str">
            <v>-</v>
          </cell>
          <cell r="G1033" t="str">
            <v>-</v>
          </cell>
        </row>
        <row r="1034">
          <cell r="F1034" t="str">
            <v>-</v>
          </cell>
          <cell r="G1034" t="str">
            <v>-</v>
          </cell>
        </row>
        <row r="1035">
          <cell r="F1035" t="str">
            <v>-</v>
          </cell>
          <cell r="G1035" t="str">
            <v>-</v>
          </cell>
        </row>
        <row r="1036">
          <cell r="F1036" t="str">
            <v>-</v>
          </cell>
          <cell r="G1036" t="str">
            <v>-</v>
          </cell>
        </row>
        <row r="1037">
          <cell r="F1037" t="str">
            <v>-</v>
          </cell>
          <cell r="G1037" t="str">
            <v>-</v>
          </cell>
        </row>
        <row r="1038">
          <cell r="F1038">
            <v>25.4</v>
          </cell>
          <cell r="G1038">
            <v>25.399993896484375</v>
          </cell>
        </row>
        <row r="1039">
          <cell r="F1039">
            <v>25.399993896484375</v>
          </cell>
          <cell r="G1039">
            <v>25.399993896484375</v>
          </cell>
        </row>
        <row r="1040">
          <cell r="F1040">
            <v>25.399993896484375</v>
          </cell>
          <cell r="G1040">
            <v>25.399993896484375</v>
          </cell>
        </row>
        <row r="1041">
          <cell r="F1041" t="str">
            <v>WXREV</v>
          </cell>
          <cell r="G1041">
            <v>25.399993896484375</v>
          </cell>
        </row>
        <row r="1042">
          <cell r="F1042">
            <v>25.399993896484375</v>
          </cell>
          <cell r="G1042">
            <v>25.399993896484375</v>
          </cell>
        </row>
        <row r="1043">
          <cell r="F1043">
            <v>25.399993896484375</v>
          </cell>
          <cell r="G1043">
            <v>25.399993896484375</v>
          </cell>
        </row>
        <row r="1044">
          <cell r="F1044">
            <v>25.399993896484375</v>
          </cell>
          <cell r="G1044">
            <v>25.399993896484375</v>
          </cell>
        </row>
        <row r="1045">
          <cell r="F1045">
            <v>25.399993896484375</v>
          </cell>
          <cell r="G1045">
            <v>25.399993896484375</v>
          </cell>
        </row>
        <row r="1046">
          <cell r="F1046" t="str">
            <v>JULI</v>
          </cell>
          <cell r="G1046">
            <v>25.399993896484375</v>
          </cell>
        </row>
        <row r="1047">
          <cell r="F1047">
            <v>25.399993896484375</v>
          </cell>
          <cell r="G1047">
            <v>25.399993896484375</v>
          </cell>
        </row>
        <row r="1048">
          <cell r="F1048" t="str">
            <v>BB</v>
          </cell>
          <cell r="G1048" t="str">
            <v>TTD</v>
          </cell>
        </row>
        <row r="1049">
          <cell r="F1049">
            <v>25.399993896484375</v>
          </cell>
          <cell r="G1049">
            <v>25.399993896484375</v>
          </cell>
        </row>
        <row r="1050">
          <cell r="E1050">
            <v>23</v>
          </cell>
          <cell r="F1050">
            <v>21.8</v>
          </cell>
          <cell r="G1050">
            <v>21.09184168384748</v>
          </cell>
        </row>
        <row r="1051">
          <cell r="E1051">
            <v>24</v>
          </cell>
          <cell r="F1051">
            <v>22.2</v>
          </cell>
          <cell r="G1051">
            <v>21.20048601042123</v>
          </cell>
        </row>
        <row r="1052">
          <cell r="E1052">
            <v>26</v>
          </cell>
          <cell r="F1052">
            <v>23.1</v>
          </cell>
          <cell r="G1052">
            <v>21.600686315847177</v>
          </cell>
        </row>
        <row r="1053">
          <cell r="E1053">
            <v>26.7</v>
          </cell>
          <cell r="F1053">
            <v>23.3</v>
          </cell>
          <cell r="G1053">
            <v>21.566858861312522</v>
          </cell>
        </row>
        <row r="1054">
          <cell r="E1054">
            <v>28.4</v>
          </cell>
          <cell r="F1054">
            <v>23.7</v>
          </cell>
          <cell r="G1054">
            <v>21.354340552923322</v>
          </cell>
        </row>
        <row r="1055">
          <cell r="E1055">
            <v>29.4</v>
          </cell>
          <cell r="F1055">
            <v>23.7</v>
          </cell>
          <cell r="G1055">
            <v>20.839881148537017</v>
          </cell>
        </row>
        <row r="1056">
          <cell r="E1056">
            <v>30</v>
          </cell>
          <cell r="F1056">
            <v>24.2</v>
          </cell>
          <cell r="G1056">
            <v>21.366887025155211</v>
          </cell>
        </row>
        <row r="1057">
          <cell r="E1057">
            <v>30</v>
          </cell>
          <cell r="F1057">
            <v>24.3</v>
          </cell>
          <cell r="G1057">
            <v>21.532732680700015</v>
          </cell>
        </row>
        <row r="1058">
          <cell r="E1058">
            <v>29.7</v>
          </cell>
          <cell r="F1058">
            <v>24.6</v>
          </cell>
          <cell r="G1058">
            <v>22.1714776017124</v>
          </cell>
        </row>
        <row r="1059">
          <cell r="E1059">
            <v>28.5</v>
          </cell>
          <cell r="F1059">
            <v>23.3</v>
          </cell>
          <cell r="G1059">
            <v>20.64125484485303</v>
          </cell>
        </row>
        <row r="1060">
          <cell r="E1060">
            <v>26.8</v>
          </cell>
          <cell r="F1060">
            <v>23.2</v>
          </cell>
          <cell r="G1060">
            <v>21.356569638730033</v>
          </cell>
        </row>
        <row r="1061">
          <cell r="E1061">
            <v>25.6</v>
          </cell>
          <cell r="F1061">
            <v>22.9</v>
          </cell>
          <cell r="G1061">
            <v>21.486176608450648</v>
          </cell>
        </row>
        <row r="1062">
          <cell r="E1062">
            <v>24.8</v>
          </cell>
          <cell r="F1062">
            <v>21.7</v>
          </cell>
          <cell r="G1062">
            <v>19.978432804240207</v>
          </cell>
        </row>
        <row r="1063">
          <cell r="F1063" t="str">
            <v>-</v>
          </cell>
          <cell r="G1063" t="str">
            <v>-</v>
          </cell>
        </row>
        <row r="1064">
          <cell r="F1064" t="str">
            <v>-</v>
          </cell>
          <cell r="G1064" t="str">
            <v>-</v>
          </cell>
        </row>
        <row r="1065">
          <cell r="F1065" t="str">
            <v>-</v>
          </cell>
          <cell r="G1065" t="str">
            <v>-</v>
          </cell>
        </row>
        <row r="1066">
          <cell r="F1066" t="str">
            <v>-</v>
          </cell>
          <cell r="G1066" t="str">
            <v>-</v>
          </cell>
        </row>
        <row r="1067">
          <cell r="F1067" t="str">
            <v>-</v>
          </cell>
          <cell r="G1067" t="str">
            <v>-</v>
          </cell>
        </row>
        <row r="1068">
          <cell r="F1068" t="str">
            <v>-</v>
          </cell>
          <cell r="G1068" t="str">
            <v>-</v>
          </cell>
        </row>
        <row r="1069">
          <cell r="F1069" t="str">
            <v>-</v>
          </cell>
          <cell r="G1069" t="str">
            <v>-</v>
          </cell>
        </row>
        <row r="1070">
          <cell r="F1070" t="str">
            <v>-</v>
          </cell>
          <cell r="G1070" t="str">
            <v>-</v>
          </cell>
        </row>
        <row r="1071">
          <cell r="F1071" t="str">
            <v>-</v>
          </cell>
          <cell r="G1071" t="str">
            <v>-</v>
          </cell>
        </row>
        <row r="1072">
          <cell r="F1072" t="str">
            <v>-</v>
          </cell>
          <cell r="G1072" t="str">
            <v>-</v>
          </cell>
        </row>
        <row r="1073">
          <cell r="F1073" t="str">
            <v>-</v>
          </cell>
          <cell r="G1073" t="str">
            <v>-</v>
          </cell>
        </row>
        <row r="1074">
          <cell r="F1074">
            <v>24.8</v>
          </cell>
          <cell r="G1074">
            <v>24.79998779296875</v>
          </cell>
        </row>
        <row r="1075">
          <cell r="F1075">
            <v>24.79998779296875</v>
          </cell>
          <cell r="G1075">
            <v>24.79998779296875</v>
          </cell>
        </row>
        <row r="1076">
          <cell r="F1076">
            <v>24.79998779296875</v>
          </cell>
          <cell r="G1076">
            <v>24.79998779296875</v>
          </cell>
        </row>
        <row r="1077">
          <cell r="F1077" t="str">
            <v>WXREV</v>
          </cell>
          <cell r="G1077">
            <v>24.79998779296875</v>
          </cell>
        </row>
        <row r="1078">
          <cell r="F1078">
            <v>24.79998779296875</v>
          </cell>
          <cell r="G1078">
            <v>24.79998779296875</v>
          </cell>
        </row>
        <row r="1079">
          <cell r="F1079">
            <v>24.79998779296875</v>
          </cell>
          <cell r="G1079">
            <v>24.79998779296875</v>
          </cell>
        </row>
        <row r="1080">
          <cell r="F1080">
            <v>24.79998779296875</v>
          </cell>
          <cell r="G1080">
            <v>24.79998779296875</v>
          </cell>
        </row>
        <row r="1081">
          <cell r="F1081">
            <v>24.79998779296875</v>
          </cell>
          <cell r="G1081">
            <v>24.79998779296875</v>
          </cell>
        </row>
        <row r="1082">
          <cell r="F1082" t="str">
            <v>JULI</v>
          </cell>
          <cell r="G1082">
            <v>24.79998779296875</v>
          </cell>
        </row>
        <row r="1083">
          <cell r="F1083">
            <v>24.79998779296875</v>
          </cell>
          <cell r="G1083">
            <v>24.79998779296875</v>
          </cell>
        </row>
        <row r="1084">
          <cell r="F1084" t="str">
            <v>BB</v>
          </cell>
          <cell r="G1084" t="str">
            <v>TTD</v>
          </cell>
        </row>
        <row r="1085">
          <cell r="F1085">
            <v>24.79998779296875</v>
          </cell>
          <cell r="G1085">
            <v>24.79998779296875</v>
          </cell>
        </row>
        <row r="1086">
          <cell r="E1086">
            <v>21.2</v>
          </cell>
          <cell r="F1086">
            <v>20.2</v>
          </cell>
          <cell r="G1086">
            <v>19.548191753661882</v>
          </cell>
        </row>
        <row r="1087">
          <cell r="E1087">
            <v>23.8</v>
          </cell>
          <cell r="F1087">
            <v>21.8</v>
          </cell>
          <cell r="G1087">
            <v>20.675572534002853</v>
          </cell>
        </row>
        <row r="1088">
          <cell r="E1088">
            <v>25.4</v>
          </cell>
          <cell r="F1088">
            <v>22.5</v>
          </cell>
          <cell r="G1088">
            <v>20.953415304456072</v>
          </cell>
        </row>
        <row r="1089">
          <cell r="E1089">
            <v>27.9</v>
          </cell>
          <cell r="F1089">
            <v>23.2</v>
          </cell>
          <cell r="G1089">
            <v>20.789959776328534</v>
          </cell>
        </row>
        <row r="1090">
          <cell r="E1090">
            <v>28.6</v>
          </cell>
          <cell r="F1090">
            <v>23.8</v>
          </cell>
          <cell r="G1090">
            <v>21.416446175167959</v>
          </cell>
        </row>
        <row r="1091">
          <cell r="E1091">
            <v>29.3</v>
          </cell>
          <cell r="F1091">
            <v>24.2</v>
          </cell>
          <cell r="G1091">
            <v>21.718531189331355</v>
          </cell>
        </row>
        <row r="1092">
          <cell r="E1092">
            <v>29.2</v>
          </cell>
          <cell r="F1092">
            <v>24.2</v>
          </cell>
          <cell r="G1092">
            <v>21.768231046044811</v>
          </cell>
        </row>
        <row r="1093">
          <cell r="E1093">
            <v>29.8</v>
          </cell>
          <cell r="F1093">
            <v>24.6</v>
          </cell>
          <cell r="G1093">
            <v>22.122834462404985</v>
          </cell>
        </row>
        <row r="1094">
          <cell r="E1094">
            <v>29.5</v>
          </cell>
          <cell r="F1094">
            <v>24.6</v>
          </cell>
          <cell r="G1094">
            <v>22.268387984669609</v>
          </cell>
        </row>
        <row r="1095">
          <cell r="E1095">
            <v>28.5</v>
          </cell>
          <cell r="F1095">
            <v>24.2</v>
          </cell>
          <cell r="G1095">
            <v>22.112490289433367</v>
          </cell>
        </row>
        <row r="1096">
          <cell r="E1096">
            <v>27.4</v>
          </cell>
          <cell r="F1096">
            <v>23.8</v>
          </cell>
          <cell r="G1096">
            <v>22.013710163189856</v>
          </cell>
        </row>
        <row r="1097">
          <cell r="E1097">
            <v>26.2</v>
          </cell>
          <cell r="F1097">
            <v>22.8</v>
          </cell>
          <cell r="G1097">
            <v>21.020779142687349</v>
          </cell>
        </row>
        <row r="1098">
          <cell r="E1098">
            <v>25.4</v>
          </cell>
          <cell r="F1098">
            <v>23</v>
          </cell>
          <cell r="G1098">
            <v>21.743085824045714</v>
          </cell>
        </row>
        <row r="1099">
          <cell r="F1099" t="str">
            <v>-</v>
          </cell>
          <cell r="G1099" t="str">
            <v>-</v>
          </cell>
        </row>
        <row r="1100">
          <cell r="F1100" t="str">
            <v>-</v>
          </cell>
          <cell r="G1100" t="str">
            <v>-</v>
          </cell>
        </row>
        <row r="1101">
          <cell r="F1101" t="str">
            <v>-</v>
          </cell>
          <cell r="G1101" t="str">
            <v>-</v>
          </cell>
        </row>
        <row r="1102">
          <cell r="F1102" t="str">
            <v>-</v>
          </cell>
          <cell r="G1102" t="str">
            <v>-</v>
          </cell>
        </row>
        <row r="1103">
          <cell r="F1103" t="str">
            <v>-</v>
          </cell>
          <cell r="G1103" t="str">
            <v>-</v>
          </cell>
        </row>
        <row r="1104">
          <cell r="F1104" t="str">
            <v>-</v>
          </cell>
          <cell r="G1104" t="str">
            <v>-</v>
          </cell>
        </row>
        <row r="1105">
          <cell r="F1105" t="str">
            <v>-</v>
          </cell>
          <cell r="G1105" t="str">
            <v>-</v>
          </cell>
        </row>
        <row r="1106">
          <cell r="F1106" t="str">
            <v>-</v>
          </cell>
          <cell r="G1106" t="str">
            <v>-</v>
          </cell>
        </row>
        <row r="1107">
          <cell r="F1107" t="str">
            <v>-</v>
          </cell>
          <cell r="G1107" t="str">
            <v>-</v>
          </cell>
        </row>
        <row r="1108">
          <cell r="F1108" t="str">
            <v>-</v>
          </cell>
          <cell r="G1108" t="str">
            <v>-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C3" t="str">
            <v>Juli 2022</v>
          </cell>
        </row>
      </sheetData>
      <sheetData sheetId="21">
        <row r="42">
          <cell r="C42" t="str">
            <v>Mengetahui,</v>
          </cell>
        </row>
        <row r="43">
          <cell r="C43" t="str">
            <v>Kepala Stasiun Klimatologi Kelas IV</v>
          </cell>
          <cell r="N43" t="str">
            <v>Pengolah</v>
          </cell>
        </row>
        <row r="44">
          <cell r="C44" t="str">
            <v>Sleman Yogyakarta</v>
          </cell>
        </row>
        <row r="49">
          <cell r="C49" t="str">
            <v>RENI KRANINGTYAS, SP, M.Si</v>
          </cell>
          <cell r="N49" t="str">
            <v xml:space="preserve">TIM PEMBUAT LAPORAN </v>
          </cell>
        </row>
        <row r="50">
          <cell r="C50" t="str">
            <v>NIP.  19740203 199703 2 001</v>
          </cell>
          <cell r="N50" t="str">
            <v xml:space="preserve">PETUGAS OPERASIONAL 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BE90"/>
  <sheetViews>
    <sheetView topLeftCell="AH7" workbookViewId="0">
      <selection activeCell="BD18" sqref="BD18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33" t="s">
        <v>29</v>
      </c>
      <c r="G1" s="33"/>
      <c r="H1" s="33"/>
      <c r="I1" s="33"/>
      <c r="J1" s="33"/>
      <c r="K1" s="33"/>
      <c r="L1" s="33"/>
      <c r="T1" s="1"/>
      <c r="Y1" s="93" t="str">
        <f>F1</f>
        <v>STASIUN KLIMATOLOGI KLAS IV D.I. YOGYAKARTA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KLAS IV D.I. YOGYAKARTA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5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5" x14ac:dyDescent="0.25">
      <c r="A4" s="2" t="s">
        <v>4</v>
      </c>
      <c r="C4" s="7"/>
      <c r="D4" s="2" t="s">
        <v>31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JUNI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JUNI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5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3.8" thickBot="1" x14ac:dyDescent="0.3">
      <c r="K6" s="2" t="s">
        <v>7</v>
      </c>
      <c r="M6" s="8" t="str">
        <f>'[1]input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3.8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3.8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5.6" thickTop="1" x14ac:dyDescent="0.25">
      <c r="A9" s="10">
        <v>1</v>
      </c>
      <c r="B9" s="11">
        <v>22.1</v>
      </c>
      <c r="C9" s="11">
        <v>24.3</v>
      </c>
      <c r="D9" s="11">
        <v>26.2</v>
      </c>
      <c r="E9" s="11">
        <v>28.2</v>
      </c>
      <c r="F9" s="11">
        <v>29.4</v>
      </c>
      <c r="G9" s="11">
        <v>30.1</v>
      </c>
      <c r="H9" s="11">
        <v>31.1</v>
      </c>
      <c r="I9" s="11">
        <v>30</v>
      </c>
      <c r="J9" s="11">
        <v>29.8</v>
      </c>
      <c r="K9" s="11">
        <v>29.8</v>
      </c>
      <c r="L9" s="11">
        <v>28.4</v>
      </c>
      <c r="M9" s="11">
        <v>27.1</v>
      </c>
      <c r="N9" s="11">
        <v>26.2</v>
      </c>
      <c r="O9" s="12">
        <f>MAX(B9:N9)</f>
        <v>31.1</v>
      </c>
      <c r="P9" s="13">
        <f t="shared" ref="P9:P39" si="0">MIN(B9:N9)</f>
        <v>22.1</v>
      </c>
      <c r="Q9" s="14">
        <f>AVERAGE(B9:N9)</f>
        <v>27.9</v>
      </c>
      <c r="T9" s="10">
        <v>1</v>
      </c>
      <c r="U9" s="11">
        <v>20.5</v>
      </c>
      <c r="V9" s="11">
        <v>21.8</v>
      </c>
      <c r="W9" s="11">
        <v>22.9</v>
      </c>
      <c r="X9" s="11">
        <v>23.5</v>
      </c>
      <c r="Y9" s="11">
        <v>24</v>
      </c>
      <c r="Z9" s="11">
        <v>23.8</v>
      </c>
      <c r="AA9" s="11">
        <v>24.7</v>
      </c>
      <c r="AB9" s="11">
        <v>23.8</v>
      </c>
      <c r="AC9" s="11">
        <v>24.2</v>
      </c>
      <c r="AD9" s="11">
        <v>24.4</v>
      </c>
      <c r="AE9" s="11">
        <v>24</v>
      </c>
      <c r="AF9" s="11">
        <v>23.1</v>
      </c>
      <c r="AG9" s="11">
        <v>23</v>
      </c>
      <c r="AH9" s="12">
        <f t="shared" ref="AH9:AH39" si="1">MAX(U9:AG9)</f>
        <v>24.7</v>
      </c>
      <c r="AI9" s="13">
        <f t="shared" ref="AI9:AI39" si="2">MIN(U9:AG9)</f>
        <v>20.5</v>
      </c>
      <c r="AJ9" s="14">
        <f>AVERAGE(U9:AG9)</f>
        <v>23.361538461538466</v>
      </c>
      <c r="AM9" s="10">
        <v>1</v>
      </c>
      <c r="AN9" s="11">
        <v>19.524267134911941</v>
      </c>
      <c r="AO9" s="11">
        <v>20.41058687426267</v>
      </c>
      <c r="AP9" s="11">
        <v>21.181401935232739</v>
      </c>
      <c r="AQ9" s="11">
        <v>21.128854633992113</v>
      </c>
      <c r="AR9" s="11">
        <v>21.339773119354938</v>
      </c>
      <c r="AS9" s="11">
        <v>20.641961104336122</v>
      </c>
      <c r="AT9" s="11">
        <v>21.645995413462281</v>
      </c>
      <c r="AU9" s="11">
        <v>20.694608390520273</v>
      </c>
      <c r="AV9" s="11">
        <v>21.468033312860303</v>
      </c>
      <c r="AW9" s="11">
        <v>21.797098187157214</v>
      </c>
      <c r="AX9" s="11">
        <v>21.840832967532137</v>
      </c>
      <c r="AY9" s="11">
        <v>21.041559299292931</v>
      </c>
      <c r="AZ9" s="11">
        <v>21.341225833058971</v>
      </c>
      <c r="BA9" s="12">
        <f>MAX(AN9:AZ9)</f>
        <v>21.840832967532137</v>
      </c>
      <c r="BB9" s="13">
        <f t="shared" ref="BB9:BB39" si="3">MIN(AN9:AZ9)</f>
        <v>19.524267134911941</v>
      </c>
      <c r="BC9" s="14">
        <f>AVERAGE(AN9:AZ9)</f>
        <v>21.081246015844201</v>
      </c>
    </row>
    <row r="10" spans="1:57" ht="15" x14ac:dyDescent="0.25">
      <c r="A10" s="15">
        <v>2</v>
      </c>
      <c r="B10" s="11">
        <v>22.8</v>
      </c>
      <c r="C10" s="11">
        <v>24.6</v>
      </c>
      <c r="D10" s="11">
        <v>26.4</v>
      </c>
      <c r="E10" s="11">
        <v>28.2</v>
      </c>
      <c r="F10" s="11">
        <v>29.4</v>
      </c>
      <c r="G10" s="11">
        <v>30</v>
      </c>
      <c r="H10" s="11">
        <v>30</v>
      </c>
      <c r="I10" s="11">
        <v>29.3</v>
      </c>
      <c r="J10" s="11">
        <v>26.6</v>
      </c>
      <c r="K10" s="11">
        <v>27</v>
      </c>
      <c r="L10" s="11">
        <v>26.8</v>
      </c>
      <c r="M10" s="11">
        <v>26.2</v>
      </c>
      <c r="N10" s="11">
        <v>26</v>
      </c>
      <c r="O10" s="12">
        <f t="shared" ref="O10:O39" si="4">MAX(B10:N10)</f>
        <v>30</v>
      </c>
      <c r="P10" s="13">
        <f t="shared" si="0"/>
        <v>22.8</v>
      </c>
      <c r="Q10" s="16">
        <f t="shared" ref="Q10:Q39" si="5">AVERAGE(B10:N10)</f>
        <v>27.176923076923078</v>
      </c>
      <c r="T10" s="15">
        <v>2</v>
      </c>
      <c r="U10" s="11">
        <v>20.8</v>
      </c>
      <c r="V10" s="11">
        <v>22.8</v>
      </c>
      <c r="W10" s="11">
        <v>23.6</v>
      </c>
      <c r="X10" s="11">
        <v>24</v>
      </c>
      <c r="Y10" s="11">
        <v>24.4</v>
      </c>
      <c r="Z10" s="11">
        <v>24.6</v>
      </c>
      <c r="AA10" s="11">
        <v>25.4</v>
      </c>
      <c r="AB10" s="11">
        <v>25.5</v>
      </c>
      <c r="AC10" s="11">
        <v>24.7</v>
      </c>
      <c r="AD10" s="11">
        <v>25.2</v>
      </c>
      <c r="AE10" s="11">
        <v>24.6</v>
      </c>
      <c r="AF10" s="11">
        <v>24.2</v>
      </c>
      <c r="AG10" s="11">
        <v>24.2</v>
      </c>
      <c r="AH10" s="12">
        <f t="shared" si="1"/>
        <v>25.5</v>
      </c>
      <c r="AI10" s="13">
        <f t="shared" si="2"/>
        <v>20.8</v>
      </c>
      <c r="AJ10" s="16">
        <f t="shared" ref="AJ10:AJ39" si="6">AVERAGE(U10:AG10)</f>
        <v>24.15384615384615</v>
      </c>
      <c r="AM10" s="15">
        <v>2</v>
      </c>
      <c r="AN10" s="11">
        <v>19.617175595604067</v>
      </c>
      <c r="AO10" s="11">
        <v>21.829495781399554</v>
      </c>
      <c r="AP10" s="11">
        <v>22.18727787108098</v>
      </c>
      <c r="AQ10" s="11">
        <v>21.939456220143654</v>
      </c>
      <c r="AR10" s="11">
        <v>21.994290685744307</v>
      </c>
      <c r="AS10" s="11">
        <v>22.025168782248613</v>
      </c>
      <c r="AT10" s="11">
        <v>23.303296611588866</v>
      </c>
      <c r="AU10" s="11">
        <v>23.774753479633578</v>
      </c>
      <c r="AV10" s="11">
        <v>23.769810379525076</v>
      </c>
      <c r="AW10" s="11">
        <v>24.335116740668042</v>
      </c>
      <c r="AX10" s="11">
        <v>23.530193147412959</v>
      </c>
      <c r="AY10" s="11">
        <v>23.201256751926248</v>
      </c>
      <c r="AZ10" s="11">
        <v>23.293034575471221</v>
      </c>
      <c r="BA10" s="12">
        <f t="shared" ref="BA10:BA39" si="7">MAX(AN10:AZ10)</f>
        <v>24.335116740668042</v>
      </c>
      <c r="BB10" s="13">
        <f t="shared" si="3"/>
        <v>19.617175595604067</v>
      </c>
      <c r="BC10" s="16">
        <f t="shared" ref="BC10:BC39" si="8">AVERAGE(AN10:AZ10)</f>
        <v>22.676948201726702</v>
      </c>
    </row>
    <row r="11" spans="1:57" ht="15" x14ac:dyDescent="0.25">
      <c r="A11" s="15">
        <v>3</v>
      </c>
      <c r="B11" s="11">
        <v>24.8</v>
      </c>
      <c r="C11" s="11">
        <v>26</v>
      </c>
      <c r="D11" s="11">
        <v>27.2</v>
      </c>
      <c r="E11" s="11">
        <v>28.6</v>
      </c>
      <c r="F11" s="11">
        <v>29.6</v>
      </c>
      <c r="G11" s="11">
        <v>31</v>
      </c>
      <c r="H11" s="11">
        <v>31.6</v>
      </c>
      <c r="I11" s="11">
        <v>31.4</v>
      </c>
      <c r="J11" s="11">
        <v>27.8</v>
      </c>
      <c r="K11" s="11">
        <v>27</v>
      </c>
      <c r="L11" s="11">
        <v>26.4</v>
      </c>
      <c r="M11" s="11">
        <v>26.2</v>
      </c>
      <c r="N11" s="11">
        <v>25.6</v>
      </c>
      <c r="O11" s="12">
        <f t="shared" si="4"/>
        <v>31.6</v>
      </c>
      <c r="P11" s="13">
        <f t="shared" si="0"/>
        <v>24.8</v>
      </c>
      <c r="Q11" s="16">
        <f t="shared" si="5"/>
        <v>27.938461538461539</v>
      </c>
      <c r="T11" s="15">
        <v>3</v>
      </c>
      <c r="U11" s="11">
        <v>24</v>
      </c>
      <c r="V11" s="11">
        <v>24.3</v>
      </c>
      <c r="W11" s="11">
        <v>24.5</v>
      </c>
      <c r="X11" s="11">
        <v>25</v>
      </c>
      <c r="Y11" s="11">
        <v>25.5</v>
      </c>
      <c r="Z11" s="11">
        <v>26</v>
      </c>
      <c r="AA11" s="11">
        <v>25.8</v>
      </c>
      <c r="AB11" s="11">
        <v>26.4</v>
      </c>
      <c r="AC11" s="11">
        <v>25.6</v>
      </c>
      <c r="AD11" s="11">
        <v>25.6</v>
      </c>
      <c r="AE11" s="11">
        <v>25</v>
      </c>
      <c r="AF11" s="11">
        <v>25</v>
      </c>
      <c r="AG11" s="11">
        <v>24.6</v>
      </c>
      <c r="AH11" s="12">
        <f t="shared" si="1"/>
        <v>26.4</v>
      </c>
      <c r="AI11" s="13">
        <f t="shared" si="2"/>
        <v>24</v>
      </c>
      <c r="AJ11" s="16">
        <f t="shared" si="6"/>
        <v>25.176923076923082</v>
      </c>
      <c r="AM11" s="15">
        <v>3</v>
      </c>
      <c r="AN11" s="11">
        <v>23.541582806104632</v>
      </c>
      <c r="AO11" s="11">
        <v>23.442835009620829</v>
      </c>
      <c r="AP11" s="11">
        <v>23.196271327670441</v>
      </c>
      <c r="AQ11" s="11">
        <v>23.321392650725961</v>
      </c>
      <c r="AR11" s="11">
        <v>23.640370879653982</v>
      </c>
      <c r="AS11" s="11">
        <v>23.79046980665996</v>
      </c>
      <c r="AT11" s="11">
        <v>23.202598868629106</v>
      </c>
      <c r="AU11" s="11">
        <v>24.236301083473421</v>
      </c>
      <c r="AV11" s="11">
        <v>24.580817888895325</v>
      </c>
      <c r="AW11" s="11">
        <v>24.920143789821459</v>
      </c>
      <c r="AX11" s="11">
        <v>24.301383345836562</v>
      </c>
      <c r="AY11" s="11">
        <v>24.388027271235554</v>
      </c>
      <c r="AZ11" s="11">
        <v>24.06513901073685</v>
      </c>
      <c r="BA11" s="12">
        <f t="shared" si="7"/>
        <v>24.920143789821459</v>
      </c>
      <c r="BB11" s="13">
        <f t="shared" si="3"/>
        <v>23.196271327670441</v>
      </c>
      <c r="BC11" s="16">
        <f t="shared" si="8"/>
        <v>23.894410287620317</v>
      </c>
    </row>
    <row r="12" spans="1:57" ht="15" x14ac:dyDescent="0.25">
      <c r="A12" s="15">
        <v>4</v>
      </c>
      <c r="B12" s="11">
        <v>24.5</v>
      </c>
      <c r="C12" s="11">
        <v>25.5</v>
      </c>
      <c r="D12" s="11">
        <v>27.2</v>
      </c>
      <c r="E12" s="11">
        <v>28</v>
      </c>
      <c r="F12" s="11">
        <v>30.2</v>
      </c>
      <c r="G12" s="11">
        <v>30.9</v>
      </c>
      <c r="H12" s="11">
        <v>31</v>
      </c>
      <c r="I12" s="11">
        <v>31.8</v>
      </c>
      <c r="J12" s="11">
        <v>31.7</v>
      </c>
      <c r="K12" s="11">
        <v>31.8</v>
      </c>
      <c r="L12" s="11">
        <v>30</v>
      </c>
      <c r="M12" s="11">
        <v>28</v>
      </c>
      <c r="N12" s="11">
        <v>26.8</v>
      </c>
      <c r="O12" s="12">
        <f t="shared" si="4"/>
        <v>31.8</v>
      </c>
      <c r="P12" s="13">
        <f t="shared" si="0"/>
        <v>24.5</v>
      </c>
      <c r="Q12" s="16">
        <f t="shared" si="5"/>
        <v>29.030769230769234</v>
      </c>
      <c r="T12" s="15">
        <v>4</v>
      </c>
      <c r="U12" s="11">
        <v>23.8</v>
      </c>
      <c r="V12" s="11">
        <v>24</v>
      </c>
      <c r="W12" s="11">
        <v>25</v>
      </c>
      <c r="X12" s="11">
        <v>25.3</v>
      </c>
      <c r="Y12" s="11">
        <v>25.5</v>
      </c>
      <c r="Z12" s="11">
        <v>26</v>
      </c>
      <c r="AA12" s="11">
        <v>25.6</v>
      </c>
      <c r="AB12" s="11">
        <v>25.7</v>
      </c>
      <c r="AC12" s="11">
        <v>25.8</v>
      </c>
      <c r="AD12" s="11">
        <v>24.6</v>
      </c>
      <c r="AE12" s="11">
        <v>26.4</v>
      </c>
      <c r="AF12" s="11">
        <v>26.3</v>
      </c>
      <c r="AG12" s="11">
        <v>25.7</v>
      </c>
      <c r="AH12" s="12">
        <f t="shared" si="1"/>
        <v>26.4</v>
      </c>
      <c r="AI12" s="13">
        <f t="shared" si="2"/>
        <v>23.8</v>
      </c>
      <c r="AJ12" s="16">
        <f t="shared" si="6"/>
        <v>25.361538461538462</v>
      </c>
      <c r="AM12" s="15">
        <v>4</v>
      </c>
      <c r="AN12" s="11">
        <v>23.383347698406446</v>
      </c>
      <c r="AO12" s="11">
        <v>23.222644384066268</v>
      </c>
      <c r="AP12" s="11">
        <v>23.950825647173037</v>
      </c>
      <c r="AQ12" s="11">
        <v>24.04720732609967</v>
      </c>
      <c r="AR12" s="11">
        <v>23.368723174366902</v>
      </c>
      <c r="AS12" s="11">
        <v>23.835018908079892</v>
      </c>
      <c r="AT12" s="11">
        <v>23.159866723625395</v>
      </c>
      <c r="AU12" s="11">
        <v>22.94927055303986</v>
      </c>
      <c r="AV12" s="11">
        <v>23.156541144087583</v>
      </c>
      <c r="AW12" s="11">
        <v>21.1224845283541</v>
      </c>
      <c r="AX12" s="11">
        <v>24.836802408045006</v>
      </c>
      <c r="AY12" s="11">
        <v>25.519291837086154</v>
      </c>
      <c r="AZ12" s="11">
        <v>25.148253476740489</v>
      </c>
      <c r="BA12" s="12">
        <f t="shared" si="7"/>
        <v>25.519291837086154</v>
      </c>
      <c r="BB12" s="13">
        <f t="shared" si="3"/>
        <v>21.1224845283541</v>
      </c>
      <c r="BC12" s="16">
        <f t="shared" si="8"/>
        <v>23.669252139166986</v>
      </c>
    </row>
    <row r="13" spans="1:57" ht="15" x14ac:dyDescent="0.25">
      <c r="A13" s="15">
        <v>5</v>
      </c>
      <c r="B13" s="11">
        <v>24.4</v>
      </c>
      <c r="C13" s="11">
        <v>26</v>
      </c>
      <c r="D13" s="11">
        <v>28.1</v>
      </c>
      <c r="E13" s="11">
        <v>30</v>
      </c>
      <c r="F13" s="11">
        <v>30.6</v>
      </c>
      <c r="G13" s="11">
        <v>31</v>
      </c>
      <c r="H13" s="11">
        <v>31.3</v>
      </c>
      <c r="I13" s="11">
        <v>31.1</v>
      </c>
      <c r="J13" s="11">
        <v>30.1</v>
      </c>
      <c r="K13" s="11">
        <v>29.7</v>
      </c>
      <c r="L13" s="11">
        <v>28.2</v>
      </c>
      <c r="M13" s="11">
        <v>27.2</v>
      </c>
      <c r="N13" s="11">
        <v>26.9</v>
      </c>
      <c r="O13" s="12">
        <f t="shared" si="4"/>
        <v>31.3</v>
      </c>
      <c r="P13" s="13">
        <f t="shared" si="0"/>
        <v>24.4</v>
      </c>
      <c r="Q13" s="16">
        <f t="shared" si="5"/>
        <v>28.815384615384612</v>
      </c>
      <c r="T13" s="15">
        <v>5</v>
      </c>
      <c r="U13" s="11">
        <v>23.1</v>
      </c>
      <c r="V13" s="11">
        <v>24</v>
      </c>
      <c r="W13" s="11">
        <v>24.9</v>
      </c>
      <c r="X13" s="11">
        <v>25.4</v>
      </c>
      <c r="Y13" s="11">
        <v>25.6</v>
      </c>
      <c r="Z13" s="11">
        <v>25.8</v>
      </c>
      <c r="AA13" s="11">
        <v>26.1</v>
      </c>
      <c r="AB13" s="11">
        <v>27.1</v>
      </c>
      <c r="AC13" s="11">
        <v>25.9</v>
      </c>
      <c r="AD13" s="11">
        <v>26</v>
      </c>
      <c r="AE13" s="11">
        <v>25.7</v>
      </c>
      <c r="AF13" s="11">
        <v>25.5</v>
      </c>
      <c r="AG13" s="11">
        <v>25.4</v>
      </c>
      <c r="AH13" s="12">
        <f t="shared" si="1"/>
        <v>27.1</v>
      </c>
      <c r="AI13" s="13">
        <f t="shared" si="2"/>
        <v>23.1</v>
      </c>
      <c r="AJ13" s="16">
        <f t="shared" si="6"/>
        <v>25.423076923076923</v>
      </c>
      <c r="AM13" s="15">
        <v>5</v>
      </c>
      <c r="AN13" s="11">
        <v>22.385268849511704</v>
      </c>
      <c r="AO13" s="11">
        <v>22.991501967304046</v>
      </c>
      <c r="AP13" s="11">
        <v>23.395752252487867</v>
      </c>
      <c r="AQ13" s="11">
        <v>23.303296611588866</v>
      </c>
      <c r="AR13" s="11">
        <v>23.343395747115117</v>
      </c>
      <c r="AS13" s="11">
        <v>23.476621444388034</v>
      </c>
      <c r="AT13" s="11">
        <v>23.813153236217548</v>
      </c>
      <c r="AU13" s="11">
        <v>25.427593939938845</v>
      </c>
      <c r="AV13" s="11">
        <v>24.034386138060192</v>
      </c>
      <c r="AW13" s="11">
        <v>24.361649825750867</v>
      </c>
      <c r="AX13" s="11">
        <v>24.557601385913394</v>
      </c>
      <c r="AY13" s="11">
        <v>24.689836838031059</v>
      </c>
      <c r="AZ13" s="11">
        <v>24.671423157602952</v>
      </c>
      <c r="BA13" s="12">
        <f t="shared" si="7"/>
        <v>25.427593939938845</v>
      </c>
      <c r="BB13" s="13">
        <f t="shared" si="3"/>
        <v>22.385268849511704</v>
      </c>
      <c r="BC13" s="16">
        <f t="shared" si="8"/>
        <v>23.88088318414696</v>
      </c>
    </row>
    <row r="14" spans="1:57" ht="15" x14ac:dyDescent="0.25">
      <c r="A14" s="15">
        <v>6</v>
      </c>
      <c r="B14" s="11">
        <v>24.2</v>
      </c>
      <c r="C14" s="11">
        <v>25.8</v>
      </c>
      <c r="D14" s="11">
        <v>27.4</v>
      </c>
      <c r="E14" s="11">
        <v>28.3</v>
      </c>
      <c r="F14" s="11">
        <v>27.6</v>
      </c>
      <c r="G14" s="11">
        <v>29.2</v>
      </c>
      <c r="H14" s="11">
        <v>29.3</v>
      </c>
      <c r="I14" s="11">
        <v>29.6</v>
      </c>
      <c r="J14" s="11">
        <v>26.4</v>
      </c>
      <c r="K14" s="11">
        <v>27.2</v>
      </c>
      <c r="L14" s="11">
        <v>26.8</v>
      </c>
      <c r="M14" s="11">
        <v>26.4</v>
      </c>
      <c r="N14" s="11">
        <v>25.5</v>
      </c>
      <c r="O14" s="12">
        <f t="shared" si="4"/>
        <v>29.6</v>
      </c>
      <c r="P14" s="13">
        <f t="shared" si="0"/>
        <v>24.2</v>
      </c>
      <c r="Q14" s="16">
        <f t="shared" si="5"/>
        <v>27.207692307692305</v>
      </c>
      <c r="T14" s="15">
        <v>6</v>
      </c>
      <c r="U14" s="11">
        <v>23</v>
      </c>
      <c r="V14" s="11">
        <v>24.1</v>
      </c>
      <c r="W14" s="11">
        <v>24.4</v>
      </c>
      <c r="X14" s="11">
        <v>24.9</v>
      </c>
      <c r="Y14" s="11">
        <v>24.8</v>
      </c>
      <c r="Z14" s="11">
        <v>25</v>
      </c>
      <c r="AA14" s="11">
        <v>25</v>
      </c>
      <c r="AB14" s="11">
        <v>25</v>
      </c>
      <c r="AC14" s="11">
        <v>24.5</v>
      </c>
      <c r="AD14" s="11">
        <v>24.8</v>
      </c>
      <c r="AE14" s="11">
        <v>24.6</v>
      </c>
      <c r="AF14" s="11">
        <v>24.4</v>
      </c>
      <c r="AG14" s="11">
        <v>24.2</v>
      </c>
      <c r="AH14" s="12">
        <f t="shared" si="1"/>
        <v>25</v>
      </c>
      <c r="AI14" s="13">
        <f t="shared" si="2"/>
        <v>23</v>
      </c>
      <c r="AJ14" s="16">
        <f t="shared" si="6"/>
        <v>24.515384615384615</v>
      </c>
      <c r="AM14" s="15">
        <v>6</v>
      </c>
      <c r="AN14" s="11">
        <v>22.330168592037214</v>
      </c>
      <c r="AO14" s="11">
        <v>23.234654421351522</v>
      </c>
      <c r="AP14" s="11">
        <v>22.950390620266091</v>
      </c>
      <c r="AQ14" s="11">
        <v>23.304466870995164</v>
      </c>
      <c r="AR14" s="11">
        <v>23.470377859669266</v>
      </c>
      <c r="AS14" s="11">
        <v>23.045116879889999</v>
      </c>
      <c r="AT14" s="11">
        <v>22.998676685198461</v>
      </c>
      <c r="AU14" s="11">
        <v>22.858668311959782</v>
      </c>
      <c r="AV14" s="11">
        <v>23.560851708929256</v>
      </c>
      <c r="AW14" s="11">
        <v>23.650934676208223</v>
      </c>
      <c r="AX14" s="11">
        <v>23.530193147412959</v>
      </c>
      <c r="AY14" s="11">
        <v>23.41088917767016</v>
      </c>
      <c r="AZ14" s="11">
        <v>23.520555948119188</v>
      </c>
      <c r="BA14" s="12">
        <f t="shared" si="7"/>
        <v>23.650934676208223</v>
      </c>
      <c r="BB14" s="13">
        <f t="shared" si="3"/>
        <v>22.330168592037214</v>
      </c>
      <c r="BC14" s="16">
        <f t="shared" si="8"/>
        <v>23.220457299977486</v>
      </c>
    </row>
    <row r="15" spans="1:57" ht="15" x14ac:dyDescent="0.25">
      <c r="A15" s="15">
        <v>7</v>
      </c>
      <c r="B15" s="11">
        <v>23.6</v>
      </c>
      <c r="C15" s="11">
        <v>25.2</v>
      </c>
      <c r="D15" s="11">
        <v>26.3</v>
      </c>
      <c r="E15" s="11">
        <v>28.2</v>
      </c>
      <c r="F15" s="11">
        <v>28.4</v>
      </c>
      <c r="G15" s="11">
        <v>29.3</v>
      </c>
      <c r="H15" s="11">
        <v>29.6</v>
      </c>
      <c r="I15" s="11">
        <v>29.3</v>
      </c>
      <c r="J15" s="11">
        <v>29.3</v>
      </c>
      <c r="K15" s="11">
        <v>29.1</v>
      </c>
      <c r="L15" s="11">
        <v>28</v>
      </c>
      <c r="M15" s="11">
        <v>26.4</v>
      </c>
      <c r="N15" s="11">
        <v>25.5</v>
      </c>
      <c r="O15" s="12">
        <f t="shared" si="4"/>
        <v>29.6</v>
      </c>
      <c r="P15" s="13">
        <f t="shared" si="0"/>
        <v>23.6</v>
      </c>
      <c r="Q15" s="16">
        <f t="shared" si="5"/>
        <v>27.553846153846152</v>
      </c>
      <c r="T15" s="15">
        <v>7</v>
      </c>
      <c r="U15" s="11">
        <v>22.2</v>
      </c>
      <c r="V15" s="11">
        <v>23.3</v>
      </c>
      <c r="W15" s="11">
        <v>22.8</v>
      </c>
      <c r="X15" s="11">
        <v>22.9</v>
      </c>
      <c r="Y15" s="11">
        <v>23.4</v>
      </c>
      <c r="Z15" s="11">
        <v>24.2</v>
      </c>
      <c r="AA15" s="11">
        <v>24.4</v>
      </c>
      <c r="AB15" s="11">
        <v>23.6</v>
      </c>
      <c r="AC15" s="11">
        <v>23.4</v>
      </c>
      <c r="AD15" s="11">
        <v>23.4</v>
      </c>
      <c r="AE15" s="11">
        <v>22.6</v>
      </c>
      <c r="AF15" s="11">
        <v>22.3</v>
      </c>
      <c r="AG15" s="11">
        <v>22.2</v>
      </c>
      <c r="AH15" s="12">
        <f t="shared" si="1"/>
        <v>24.4</v>
      </c>
      <c r="AI15" s="13">
        <f t="shared" si="2"/>
        <v>22.2</v>
      </c>
      <c r="AJ15" s="16">
        <f t="shared" si="6"/>
        <v>23.130769230769229</v>
      </c>
      <c r="AM15" s="15">
        <v>7</v>
      </c>
      <c r="AN15" s="11">
        <v>21.404005287314629</v>
      </c>
      <c r="AO15" s="11">
        <v>22.304665193949809</v>
      </c>
      <c r="AP15" s="11">
        <v>20.9690515715928</v>
      </c>
      <c r="AQ15" s="11">
        <v>20.127856522379709</v>
      </c>
      <c r="AR15" s="11">
        <v>20.860317420053146</v>
      </c>
      <c r="AS15" s="11">
        <v>21.718531189331355</v>
      </c>
      <c r="AT15" s="11">
        <v>21.895953551222608</v>
      </c>
      <c r="AU15" s="11">
        <v>20.724019438580157</v>
      </c>
      <c r="AV15" s="11">
        <v>20.385352548683432</v>
      </c>
      <c r="AW15" s="11">
        <v>20.491955832120485</v>
      </c>
      <c r="AX15" s="11">
        <v>19.725951341161583</v>
      </c>
      <c r="AY15" s="11">
        <v>20.09693908876757</v>
      </c>
      <c r="AZ15" s="11">
        <v>20.416842573446026</v>
      </c>
      <c r="BA15" s="12">
        <f t="shared" si="7"/>
        <v>22.304665193949809</v>
      </c>
      <c r="BB15" s="13">
        <f t="shared" si="3"/>
        <v>19.725951341161583</v>
      </c>
      <c r="BC15" s="16">
        <f t="shared" si="8"/>
        <v>20.85549550450795</v>
      </c>
    </row>
    <row r="16" spans="1:57" ht="15" x14ac:dyDescent="0.25">
      <c r="A16" s="15">
        <v>8</v>
      </c>
      <c r="B16" s="11">
        <v>23.2</v>
      </c>
      <c r="C16" s="11">
        <v>24.5</v>
      </c>
      <c r="D16" s="11">
        <v>25.7</v>
      </c>
      <c r="E16" s="11">
        <v>27.3</v>
      </c>
      <c r="F16" s="11">
        <v>27.7</v>
      </c>
      <c r="G16" s="11">
        <v>28.1</v>
      </c>
      <c r="H16" s="11">
        <v>28.4</v>
      </c>
      <c r="I16" s="11">
        <v>28.8</v>
      </c>
      <c r="J16" s="11">
        <v>28</v>
      </c>
      <c r="K16" s="11">
        <v>27</v>
      </c>
      <c r="L16" s="11">
        <v>26.4</v>
      </c>
      <c r="M16" s="11">
        <v>25.6</v>
      </c>
      <c r="N16" s="11">
        <v>25.4</v>
      </c>
      <c r="O16" s="12">
        <f t="shared" si="4"/>
        <v>28.8</v>
      </c>
      <c r="P16" s="13">
        <f t="shared" si="0"/>
        <v>23.2</v>
      </c>
      <c r="Q16" s="16">
        <f t="shared" si="5"/>
        <v>26.623076923076926</v>
      </c>
      <c r="T16" s="15">
        <v>8</v>
      </c>
      <c r="U16" s="11">
        <v>21.6</v>
      </c>
      <c r="V16" s="11">
        <v>22.1</v>
      </c>
      <c r="W16" s="11">
        <v>22.2</v>
      </c>
      <c r="X16" s="11">
        <v>22.3</v>
      </c>
      <c r="Y16" s="11">
        <v>22.8</v>
      </c>
      <c r="Z16" s="11">
        <v>22.4</v>
      </c>
      <c r="AA16" s="11">
        <v>26.8</v>
      </c>
      <c r="AB16" s="11">
        <v>22.6</v>
      </c>
      <c r="AC16" s="11">
        <v>22.4</v>
      </c>
      <c r="AD16" s="11">
        <v>22.2</v>
      </c>
      <c r="AE16" s="11">
        <v>22.2</v>
      </c>
      <c r="AF16" s="11">
        <v>22</v>
      </c>
      <c r="AG16" s="11">
        <v>22</v>
      </c>
      <c r="AH16" s="12">
        <f t="shared" si="1"/>
        <v>26.8</v>
      </c>
      <c r="AI16" s="13">
        <f t="shared" si="2"/>
        <v>21.6</v>
      </c>
      <c r="AJ16" s="16">
        <f t="shared" si="6"/>
        <v>22.584615384615386</v>
      </c>
      <c r="AM16" s="15">
        <v>8</v>
      </c>
      <c r="AN16" s="11">
        <v>20.675874811421782</v>
      </c>
      <c r="AO16" s="11">
        <v>20.784273573906436</v>
      </c>
      <c r="AP16" s="11">
        <v>20.309812403186186</v>
      </c>
      <c r="AQ16" s="11">
        <v>19.601732034444481</v>
      </c>
      <c r="AR16" s="11">
        <v>20.229325686668286</v>
      </c>
      <c r="AS16" s="11">
        <v>19.324561419949315</v>
      </c>
      <c r="AT16" s="11">
        <v>26.076626053025738</v>
      </c>
      <c r="AU16" s="11">
        <v>19.277370380433652</v>
      </c>
      <c r="AV16" s="11">
        <v>19.381090440974649</v>
      </c>
      <c r="AW16" s="11">
        <v>19.598589737885593</v>
      </c>
      <c r="AX16" s="11">
        <v>19.930254394805019</v>
      </c>
      <c r="AY16" s="11">
        <v>20.035132975669647</v>
      </c>
      <c r="AZ16" s="11">
        <v>20.143757994628071</v>
      </c>
      <c r="BA16" s="12">
        <f t="shared" si="7"/>
        <v>26.076626053025738</v>
      </c>
      <c r="BB16" s="13">
        <f t="shared" si="3"/>
        <v>19.277370380433652</v>
      </c>
      <c r="BC16" s="16">
        <f t="shared" si="8"/>
        <v>20.412953992846067</v>
      </c>
    </row>
    <row r="17" spans="1:55" ht="15" x14ac:dyDescent="0.25">
      <c r="A17" s="15">
        <v>9</v>
      </c>
      <c r="B17" s="11">
        <v>22.4</v>
      </c>
      <c r="C17" s="11">
        <v>24.6</v>
      </c>
      <c r="D17" s="11">
        <v>25.8</v>
      </c>
      <c r="E17" s="11">
        <v>26.9</v>
      </c>
      <c r="F17" s="11">
        <v>28</v>
      </c>
      <c r="G17" s="11">
        <v>27.4</v>
      </c>
      <c r="H17" s="11">
        <v>27.2</v>
      </c>
      <c r="I17" s="11">
        <v>27.2</v>
      </c>
      <c r="J17" s="11">
        <v>26.8</v>
      </c>
      <c r="K17" s="11">
        <v>26.2</v>
      </c>
      <c r="L17" s="11">
        <v>25.4</v>
      </c>
      <c r="M17" s="11">
        <v>24.4</v>
      </c>
      <c r="N17" s="11">
        <v>24.2</v>
      </c>
      <c r="O17" s="12">
        <f t="shared" si="4"/>
        <v>28</v>
      </c>
      <c r="P17" s="13">
        <f t="shared" si="0"/>
        <v>22.4</v>
      </c>
      <c r="Q17" s="16">
        <f t="shared" si="5"/>
        <v>25.88461538461538</v>
      </c>
      <c r="T17" s="15">
        <v>9</v>
      </c>
      <c r="U17" s="11">
        <v>20.2</v>
      </c>
      <c r="V17" s="11">
        <v>21.6</v>
      </c>
      <c r="W17" s="11">
        <v>21.6</v>
      </c>
      <c r="X17" s="11">
        <v>21.8</v>
      </c>
      <c r="Y17" s="11">
        <v>23.2</v>
      </c>
      <c r="Z17" s="11">
        <v>23.2</v>
      </c>
      <c r="AA17" s="11">
        <v>23.6</v>
      </c>
      <c r="AB17" s="11">
        <v>23.4</v>
      </c>
      <c r="AC17" s="11">
        <v>23.2</v>
      </c>
      <c r="AD17" s="11">
        <v>23.2</v>
      </c>
      <c r="AE17" s="11">
        <v>23</v>
      </c>
      <c r="AF17" s="11">
        <v>22.6</v>
      </c>
      <c r="AG17" s="11">
        <v>22.6</v>
      </c>
      <c r="AH17" s="12">
        <f t="shared" si="1"/>
        <v>23.6</v>
      </c>
      <c r="AI17" s="13">
        <f t="shared" si="2"/>
        <v>20.2</v>
      </c>
      <c r="AJ17" s="16">
        <f t="shared" si="6"/>
        <v>22.553846153846152</v>
      </c>
      <c r="AM17" s="15">
        <v>9</v>
      </c>
      <c r="AN17" s="11">
        <v>18.864523649272865</v>
      </c>
      <c r="AO17" s="11">
        <v>19.924166414972749</v>
      </c>
      <c r="AP17" s="11">
        <v>19.254548197282784</v>
      </c>
      <c r="AQ17" s="11">
        <v>18.967823048859756</v>
      </c>
      <c r="AR17" s="11">
        <v>20.737584230106016</v>
      </c>
      <c r="AS17" s="11">
        <v>21.0496477864498</v>
      </c>
      <c r="AT17" s="11">
        <v>21.794916962756314</v>
      </c>
      <c r="AU17" s="11">
        <v>21.47531350306749</v>
      </c>
      <c r="AV17" s="11">
        <v>21.356569638730033</v>
      </c>
      <c r="AW17" s="11">
        <v>21.658528701077763</v>
      </c>
      <c r="AX17" s="11">
        <v>21.743085824045714</v>
      </c>
      <c r="AY17" s="11">
        <v>21.619949242231353</v>
      </c>
      <c r="AZ17" s="11">
        <v>21.719730167842847</v>
      </c>
      <c r="BA17" s="12">
        <f t="shared" si="7"/>
        <v>21.794916962756314</v>
      </c>
      <c r="BB17" s="13">
        <f t="shared" si="3"/>
        <v>18.864523649272865</v>
      </c>
      <c r="BC17" s="16">
        <f t="shared" si="8"/>
        <v>20.782029797438117</v>
      </c>
    </row>
    <row r="18" spans="1:55" ht="15" x14ac:dyDescent="0.25">
      <c r="A18" s="15">
        <v>10</v>
      </c>
      <c r="B18" s="11">
        <v>21.8</v>
      </c>
      <c r="C18" s="11">
        <v>24.4</v>
      </c>
      <c r="D18" s="11">
        <v>25.7</v>
      </c>
      <c r="E18" s="11">
        <v>27</v>
      </c>
      <c r="F18" s="11">
        <v>28</v>
      </c>
      <c r="G18" s="11">
        <v>28.2</v>
      </c>
      <c r="H18" s="11">
        <v>28.8</v>
      </c>
      <c r="I18" s="11">
        <v>29.6</v>
      </c>
      <c r="J18" s="11">
        <v>29.4</v>
      </c>
      <c r="K18" s="11">
        <v>29</v>
      </c>
      <c r="L18" s="11">
        <v>28.6</v>
      </c>
      <c r="M18" s="11">
        <v>27.6</v>
      </c>
      <c r="N18" s="11">
        <v>26.4</v>
      </c>
      <c r="O18" s="12">
        <f t="shared" si="4"/>
        <v>29.6</v>
      </c>
      <c r="P18" s="13">
        <f t="shared" si="0"/>
        <v>21.8</v>
      </c>
      <c r="Q18" s="16">
        <f t="shared" si="5"/>
        <v>27.26923076923077</v>
      </c>
      <c r="T18" s="15">
        <v>10</v>
      </c>
      <c r="U18" s="11">
        <v>20</v>
      </c>
      <c r="V18" s="11">
        <v>22</v>
      </c>
      <c r="W18" s="11">
        <v>22.2</v>
      </c>
      <c r="X18" s="11">
        <v>22.8</v>
      </c>
      <c r="Y18" s="11">
        <v>23.3</v>
      </c>
      <c r="Z18" s="11">
        <v>23.2</v>
      </c>
      <c r="AA18" s="11">
        <v>23.6</v>
      </c>
      <c r="AB18" s="11">
        <v>24.6</v>
      </c>
      <c r="AC18" s="11">
        <v>24.2</v>
      </c>
      <c r="AD18" s="11">
        <v>24</v>
      </c>
      <c r="AE18" s="11">
        <v>23.8</v>
      </c>
      <c r="AF18" s="11">
        <v>23.6</v>
      </c>
      <c r="AG18" s="11">
        <v>23.6</v>
      </c>
      <c r="AH18" s="12">
        <f t="shared" si="1"/>
        <v>24.6</v>
      </c>
      <c r="AI18" s="13">
        <f t="shared" si="2"/>
        <v>20</v>
      </c>
      <c r="AJ18" s="16">
        <f t="shared" si="6"/>
        <v>23.146153846153847</v>
      </c>
      <c r="AM18" s="15">
        <v>10</v>
      </c>
      <c r="AN18" s="11">
        <v>18.883957893093026</v>
      </c>
      <c r="AO18" s="11">
        <v>20.67752286740204</v>
      </c>
      <c r="AP18" s="11">
        <v>20.309812403186186</v>
      </c>
      <c r="AQ18" s="11">
        <v>20.602873681847623</v>
      </c>
      <c r="AR18" s="11">
        <v>20.903014541727206</v>
      </c>
      <c r="AS18" s="11">
        <v>20.632388082150648</v>
      </c>
      <c r="AT18" s="11">
        <v>20.984629199408523</v>
      </c>
      <c r="AU18" s="11">
        <v>22.219995210731696</v>
      </c>
      <c r="AV18" s="11">
        <v>21.668699112332721</v>
      </c>
      <c r="AW18" s="11">
        <v>21.541810194989623</v>
      </c>
      <c r="AX18" s="11">
        <v>21.416446175167959</v>
      </c>
      <c r="AY18" s="11">
        <v>21.595614336629087</v>
      </c>
      <c r="AZ18" s="11">
        <v>22.18727787108098</v>
      </c>
      <c r="BA18" s="12">
        <f t="shared" si="7"/>
        <v>22.219995210731696</v>
      </c>
      <c r="BB18" s="13">
        <f t="shared" si="3"/>
        <v>18.883957893093026</v>
      </c>
      <c r="BC18" s="16">
        <f t="shared" si="8"/>
        <v>21.04800319767287</v>
      </c>
    </row>
    <row r="19" spans="1:55" ht="15" x14ac:dyDescent="0.25">
      <c r="A19" s="15">
        <v>11</v>
      </c>
      <c r="B19" s="11">
        <v>22.8</v>
      </c>
      <c r="C19" s="11">
        <v>24.8</v>
      </c>
      <c r="D19" s="11">
        <v>26.2</v>
      </c>
      <c r="E19" s="11">
        <v>28</v>
      </c>
      <c r="F19" s="11">
        <v>29.7</v>
      </c>
      <c r="G19" s="11">
        <v>30.8</v>
      </c>
      <c r="H19" s="11">
        <v>30.1</v>
      </c>
      <c r="I19" s="11">
        <v>30</v>
      </c>
      <c r="J19" s="11">
        <v>25.4</v>
      </c>
      <c r="K19" s="11">
        <v>22.4</v>
      </c>
      <c r="L19" s="11">
        <v>23.6</v>
      </c>
      <c r="M19" s="11">
        <v>23.6</v>
      </c>
      <c r="N19" s="11">
        <v>24.2</v>
      </c>
      <c r="O19" s="12">
        <f t="shared" si="4"/>
        <v>30.8</v>
      </c>
      <c r="P19" s="13">
        <f t="shared" si="0"/>
        <v>22.4</v>
      </c>
      <c r="Q19" s="16">
        <f t="shared" si="5"/>
        <v>26.276923076923079</v>
      </c>
      <c r="T19" s="15">
        <v>11</v>
      </c>
      <c r="U19" s="11">
        <v>21.8</v>
      </c>
      <c r="V19" s="11">
        <v>22.6</v>
      </c>
      <c r="W19" s="11">
        <v>23.4</v>
      </c>
      <c r="X19" s="11">
        <v>23.6</v>
      </c>
      <c r="Y19" s="11">
        <v>24.1</v>
      </c>
      <c r="Z19" s="11">
        <v>24.4</v>
      </c>
      <c r="AA19" s="11">
        <v>25.1</v>
      </c>
      <c r="AB19" s="11">
        <v>25.2</v>
      </c>
      <c r="AC19" s="11">
        <v>24</v>
      </c>
      <c r="AD19" s="11">
        <v>22.3</v>
      </c>
      <c r="AE19" s="11">
        <v>23.2</v>
      </c>
      <c r="AF19" s="11">
        <v>23.4</v>
      </c>
      <c r="AG19" s="11">
        <v>23.8</v>
      </c>
      <c r="AH19" s="12">
        <f t="shared" si="1"/>
        <v>25.2</v>
      </c>
      <c r="AI19" s="13">
        <f t="shared" si="2"/>
        <v>21.8</v>
      </c>
      <c r="AJ19" s="16">
        <f t="shared" si="6"/>
        <v>23.607692307692307</v>
      </c>
      <c r="AM19" s="15">
        <v>11</v>
      </c>
      <c r="AN19" s="11">
        <v>21.194470798905602</v>
      </c>
      <c r="AO19" s="11">
        <v>21.418776610230672</v>
      </c>
      <c r="AP19" s="11">
        <v>21.972788358984861</v>
      </c>
      <c r="AQ19" s="11">
        <v>21.394166031907911</v>
      </c>
      <c r="AR19" s="11">
        <v>21.353034031232745</v>
      </c>
      <c r="AS19" s="11">
        <v>21.294837240921414</v>
      </c>
      <c r="AT19" s="11">
        <v>22.782741762943349</v>
      </c>
      <c r="AU19" s="11">
        <v>22.988313287442271</v>
      </c>
      <c r="AV19" s="11">
        <v>23.268536476619335</v>
      </c>
      <c r="AW19" s="11">
        <v>22.150826018661888</v>
      </c>
      <c r="AX19" s="11">
        <v>22.913634274744748</v>
      </c>
      <c r="AY19" s="11">
        <v>23.207812519635773</v>
      </c>
      <c r="AZ19" s="11">
        <v>23.519536764728979</v>
      </c>
      <c r="BA19" s="12">
        <f t="shared" si="7"/>
        <v>23.519536764728979</v>
      </c>
      <c r="BB19" s="13">
        <f t="shared" si="3"/>
        <v>21.194470798905602</v>
      </c>
      <c r="BC19" s="16">
        <f t="shared" si="8"/>
        <v>22.266113398227656</v>
      </c>
    </row>
    <row r="20" spans="1:55" ht="15" x14ac:dyDescent="0.25">
      <c r="A20" s="15">
        <v>12</v>
      </c>
      <c r="B20" s="11">
        <v>23.5</v>
      </c>
      <c r="C20" s="11">
        <v>25.6</v>
      </c>
      <c r="D20" s="11">
        <v>26.4</v>
      </c>
      <c r="E20" s="11">
        <v>28</v>
      </c>
      <c r="F20" s="11">
        <v>29.5</v>
      </c>
      <c r="G20" s="11">
        <v>30</v>
      </c>
      <c r="H20" s="11">
        <v>30.2</v>
      </c>
      <c r="I20" s="11">
        <v>31.2</v>
      </c>
      <c r="J20" s="11">
        <v>29.6</v>
      </c>
      <c r="K20" s="11">
        <v>28.8</v>
      </c>
      <c r="L20" s="11">
        <v>27.2</v>
      </c>
      <c r="M20" s="11">
        <v>26.6</v>
      </c>
      <c r="N20" s="11">
        <v>26.2</v>
      </c>
      <c r="O20" s="12">
        <f t="shared" si="4"/>
        <v>31.2</v>
      </c>
      <c r="P20" s="13">
        <f t="shared" si="0"/>
        <v>23.5</v>
      </c>
      <c r="Q20" s="16">
        <f t="shared" si="5"/>
        <v>27.907692307692304</v>
      </c>
      <c r="T20" s="15">
        <v>12</v>
      </c>
      <c r="U20" s="11">
        <v>23.1</v>
      </c>
      <c r="V20" s="11">
        <v>24.2</v>
      </c>
      <c r="W20" s="11">
        <v>24.2</v>
      </c>
      <c r="X20" s="11">
        <v>25</v>
      </c>
      <c r="Y20" s="11">
        <v>24.6</v>
      </c>
      <c r="Z20" s="11">
        <v>24.5</v>
      </c>
      <c r="AA20" s="11">
        <v>24.3</v>
      </c>
      <c r="AB20" s="11">
        <v>25.8</v>
      </c>
      <c r="AC20" s="11">
        <v>25.5</v>
      </c>
      <c r="AD20" s="11">
        <v>25.5</v>
      </c>
      <c r="AE20" s="11">
        <v>25</v>
      </c>
      <c r="AF20" s="11">
        <v>25.2</v>
      </c>
      <c r="AG20" s="11">
        <v>25</v>
      </c>
      <c r="AH20" s="12">
        <f t="shared" si="1"/>
        <v>25.8</v>
      </c>
      <c r="AI20" s="13">
        <f t="shared" si="2"/>
        <v>23.1</v>
      </c>
      <c r="AJ20" s="16">
        <f t="shared" si="6"/>
        <v>24.761538461538464</v>
      </c>
      <c r="AM20" s="15">
        <v>12</v>
      </c>
      <c r="AN20" s="11">
        <v>22.812629989906107</v>
      </c>
      <c r="AO20" s="11">
        <v>23.475269202586603</v>
      </c>
      <c r="AP20" s="11">
        <v>23.109032442757304</v>
      </c>
      <c r="AQ20" s="11">
        <v>23.593703811444115</v>
      </c>
      <c r="AR20" s="11">
        <v>22.268387984669609</v>
      </c>
      <c r="AS20" s="11">
        <v>21.861859374764737</v>
      </c>
      <c r="AT20" s="11">
        <v>21.431936245680912</v>
      </c>
      <c r="AU20" s="11">
        <v>23.385719390969253</v>
      </c>
      <c r="AV20" s="11">
        <v>23.640370879653982</v>
      </c>
      <c r="AW20" s="11">
        <v>23.996639238444871</v>
      </c>
      <c r="AX20" s="11">
        <v>23.950825647173037</v>
      </c>
      <c r="AY20" s="11">
        <v>24.507713530973501</v>
      </c>
      <c r="AZ20" s="11">
        <v>24.388027271235554</v>
      </c>
      <c r="BA20" s="12">
        <f t="shared" si="7"/>
        <v>24.507713530973501</v>
      </c>
      <c r="BB20" s="13">
        <f t="shared" si="3"/>
        <v>21.431936245680912</v>
      </c>
      <c r="BC20" s="16">
        <f t="shared" si="8"/>
        <v>23.263239616173816</v>
      </c>
    </row>
    <row r="21" spans="1:55" ht="15" x14ac:dyDescent="0.25">
      <c r="A21" s="15">
        <v>13</v>
      </c>
      <c r="B21" s="11">
        <v>24.4</v>
      </c>
      <c r="C21" s="11">
        <v>26.3</v>
      </c>
      <c r="D21" s="11">
        <v>27.6</v>
      </c>
      <c r="E21" s="11">
        <v>28.5</v>
      </c>
      <c r="F21" s="11">
        <v>29.4</v>
      </c>
      <c r="G21" s="11">
        <v>30.2</v>
      </c>
      <c r="H21" s="11">
        <v>29.8</v>
      </c>
      <c r="I21" s="11">
        <v>29.6</v>
      </c>
      <c r="J21" s="11">
        <v>28.6</v>
      </c>
      <c r="K21" s="11">
        <v>27.8</v>
      </c>
      <c r="L21" s="11">
        <v>27.1</v>
      </c>
      <c r="M21" s="11">
        <v>26.6</v>
      </c>
      <c r="N21" s="11">
        <v>26.1</v>
      </c>
      <c r="O21" s="12">
        <f t="shared" si="4"/>
        <v>30.2</v>
      </c>
      <c r="P21" s="13">
        <f t="shared" si="0"/>
        <v>24.4</v>
      </c>
      <c r="Q21" s="16">
        <f t="shared" si="5"/>
        <v>27.84615384615385</v>
      </c>
      <c r="T21" s="15">
        <v>13</v>
      </c>
      <c r="U21" s="11">
        <v>23.7</v>
      </c>
      <c r="V21" s="11">
        <v>23.7</v>
      </c>
      <c r="W21" s="11">
        <v>24.7</v>
      </c>
      <c r="X21" s="11">
        <v>24.9</v>
      </c>
      <c r="Y21" s="11">
        <v>25.2</v>
      </c>
      <c r="Z21" s="11">
        <v>25.7</v>
      </c>
      <c r="AA21" s="11">
        <v>25.4</v>
      </c>
      <c r="AB21" s="11">
        <v>25.8</v>
      </c>
      <c r="AC21" s="11">
        <v>25.4</v>
      </c>
      <c r="AD21" s="11">
        <v>24.6</v>
      </c>
      <c r="AE21" s="11">
        <v>24.7</v>
      </c>
      <c r="AF21" s="11">
        <v>24.8</v>
      </c>
      <c r="AG21" s="11">
        <v>24.2</v>
      </c>
      <c r="AH21" s="12">
        <f t="shared" si="1"/>
        <v>25.8</v>
      </c>
      <c r="AI21" s="13">
        <f t="shared" si="2"/>
        <v>23.7</v>
      </c>
      <c r="AJ21" s="16">
        <f t="shared" si="6"/>
        <v>24.830769230769231</v>
      </c>
      <c r="AM21" s="15">
        <v>13</v>
      </c>
      <c r="AN21" s="11">
        <v>23.281650558659795</v>
      </c>
      <c r="AO21" s="11">
        <v>22.390727376124811</v>
      </c>
      <c r="AP21" s="11">
        <v>23.318031457511136</v>
      </c>
      <c r="AQ21" s="11">
        <v>23.212740182238996</v>
      </c>
      <c r="AR21" s="11">
        <v>23.265416041293889</v>
      </c>
      <c r="AS21" s="11">
        <v>23.680904262603566</v>
      </c>
      <c r="AT21" s="11">
        <v>23.394590685489504</v>
      </c>
      <c r="AU21" s="11">
        <v>24.1010596629962</v>
      </c>
      <c r="AV21" s="11">
        <v>23.933335820614669</v>
      </c>
      <c r="AW21" s="11">
        <v>23.072611503492613</v>
      </c>
      <c r="AX21" s="11">
        <v>23.545262944402548</v>
      </c>
      <c r="AY21" s="11">
        <v>23.918598073842094</v>
      </c>
      <c r="AZ21" s="11">
        <v>23.247201183448343</v>
      </c>
      <c r="BA21" s="12">
        <f t="shared" si="7"/>
        <v>24.1010596629962</v>
      </c>
      <c r="BB21" s="13">
        <f t="shared" si="3"/>
        <v>22.390727376124811</v>
      </c>
      <c r="BC21" s="16">
        <f t="shared" si="8"/>
        <v>23.412471519439858</v>
      </c>
    </row>
    <row r="22" spans="1:55" ht="15" x14ac:dyDescent="0.25">
      <c r="A22" s="15">
        <v>14</v>
      </c>
      <c r="B22" s="11">
        <v>24.2</v>
      </c>
      <c r="C22" s="11">
        <v>24.8</v>
      </c>
      <c r="D22" s="11">
        <v>26.7</v>
      </c>
      <c r="E22" s="11">
        <v>27.5</v>
      </c>
      <c r="F22" s="11">
        <v>28.4</v>
      </c>
      <c r="G22" s="11">
        <v>29.2</v>
      </c>
      <c r="H22" s="11">
        <v>29.8</v>
      </c>
      <c r="I22" s="11">
        <v>30.6</v>
      </c>
      <c r="J22" s="11">
        <v>31.3</v>
      </c>
      <c r="K22" s="11">
        <v>30.7</v>
      </c>
      <c r="L22" s="11">
        <v>29.5</v>
      </c>
      <c r="M22" s="11">
        <v>27</v>
      </c>
      <c r="N22" s="11">
        <v>26.3</v>
      </c>
      <c r="O22" s="12">
        <f t="shared" si="4"/>
        <v>31.3</v>
      </c>
      <c r="P22" s="13">
        <f t="shared" si="0"/>
        <v>24.2</v>
      </c>
      <c r="Q22" s="16">
        <f t="shared" si="5"/>
        <v>28.153846153846153</v>
      </c>
      <c r="T22" s="15">
        <v>14</v>
      </c>
      <c r="U22" s="11">
        <v>23.7</v>
      </c>
      <c r="V22" s="11">
        <v>23.8</v>
      </c>
      <c r="W22" s="11">
        <v>24.6</v>
      </c>
      <c r="X22" s="11">
        <v>24.7</v>
      </c>
      <c r="Y22" s="11">
        <v>24.5</v>
      </c>
      <c r="Z22" s="11">
        <v>24.8</v>
      </c>
      <c r="AA22" s="11">
        <v>24.6</v>
      </c>
      <c r="AB22" s="11">
        <v>24.5</v>
      </c>
      <c r="AC22" s="11">
        <v>24.7</v>
      </c>
      <c r="AD22" s="11">
        <v>24.4</v>
      </c>
      <c r="AE22" s="11">
        <v>24.3</v>
      </c>
      <c r="AF22" s="11">
        <v>24.9</v>
      </c>
      <c r="AG22" s="11">
        <v>24.5</v>
      </c>
      <c r="AH22" s="12">
        <f t="shared" si="1"/>
        <v>24.9</v>
      </c>
      <c r="AI22" s="13">
        <f t="shared" si="2"/>
        <v>23.7</v>
      </c>
      <c r="AJ22" s="16">
        <f t="shared" si="6"/>
        <v>24.461538461538456</v>
      </c>
      <c r="AM22" s="15">
        <v>14</v>
      </c>
      <c r="AN22" s="11">
        <v>23.37303815542662</v>
      </c>
      <c r="AO22" s="11">
        <v>23.246174595512937</v>
      </c>
      <c r="AP22" s="11">
        <v>23.575350595291621</v>
      </c>
      <c r="AQ22" s="11">
        <v>23.363695800806138</v>
      </c>
      <c r="AR22" s="11">
        <v>22.635899802692006</v>
      </c>
      <c r="AS22" s="11">
        <v>22.730458944972405</v>
      </c>
      <c r="AT22" s="11">
        <v>22.122834462404985</v>
      </c>
      <c r="AU22" s="11">
        <v>21.563165499391832</v>
      </c>
      <c r="AV22" s="11">
        <v>21.545806663132904</v>
      </c>
      <c r="AW22" s="11">
        <v>21.345674920286211</v>
      </c>
      <c r="AX22" s="11">
        <v>21.782373423989686</v>
      </c>
      <c r="AY22" s="11">
        <v>23.890133080418831</v>
      </c>
      <c r="AZ22" s="11">
        <v>23.605936182140407</v>
      </c>
      <c r="BA22" s="12">
        <f t="shared" si="7"/>
        <v>23.890133080418831</v>
      </c>
      <c r="BB22" s="13">
        <f t="shared" si="3"/>
        <v>21.345674920286211</v>
      </c>
      <c r="BC22" s="16">
        <f t="shared" si="8"/>
        <v>22.675426317420506</v>
      </c>
    </row>
    <row r="23" spans="1:55" ht="15" x14ac:dyDescent="0.25">
      <c r="A23" s="15">
        <v>15</v>
      </c>
      <c r="B23" s="11">
        <v>24.8</v>
      </c>
      <c r="C23" s="11">
        <v>26</v>
      </c>
      <c r="D23" s="11">
        <v>27.2</v>
      </c>
      <c r="E23" s="11">
        <v>28</v>
      </c>
      <c r="F23" s="11">
        <v>29.2</v>
      </c>
      <c r="G23" s="11">
        <v>29.4</v>
      </c>
      <c r="H23" s="11">
        <v>29.3</v>
      </c>
      <c r="I23" s="11">
        <v>29</v>
      </c>
      <c r="J23" s="11">
        <v>29</v>
      </c>
      <c r="K23" s="11">
        <v>28.4</v>
      </c>
      <c r="L23" s="11">
        <v>28.2</v>
      </c>
      <c r="M23" s="11">
        <v>27.2</v>
      </c>
      <c r="N23" s="11">
        <v>26.8</v>
      </c>
      <c r="O23" s="12">
        <f t="shared" si="4"/>
        <v>29.4</v>
      </c>
      <c r="P23" s="13">
        <f t="shared" si="0"/>
        <v>24.8</v>
      </c>
      <c r="Q23" s="16">
        <f t="shared" si="5"/>
        <v>27.884615384615383</v>
      </c>
      <c r="T23" s="15">
        <v>15</v>
      </c>
      <c r="U23" s="11">
        <v>23.7</v>
      </c>
      <c r="V23" s="11">
        <v>24</v>
      </c>
      <c r="W23" s="11">
        <v>24.3</v>
      </c>
      <c r="X23" s="11">
        <v>24.7</v>
      </c>
      <c r="Y23" s="11">
        <v>25.3</v>
      </c>
      <c r="Z23" s="11">
        <v>25.2</v>
      </c>
      <c r="AA23" s="11">
        <v>25.3</v>
      </c>
      <c r="AB23" s="11">
        <v>25.2</v>
      </c>
      <c r="AC23" s="11">
        <v>25.6</v>
      </c>
      <c r="AD23" s="11">
        <v>25</v>
      </c>
      <c r="AE23" s="11">
        <v>24.4</v>
      </c>
      <c r="AF23" s="11">
        <v>24.4</v>
      </c>
      <c r="AG23" s="11">
        <v>24.7</v>
      </c>
      <c r="AH23" s="12">
        <f t="shared" si="1"/>
        <v>25.6</v>
      </c>
      <c r="AI23" s="13">
        <f t="shared" si="2"/>
        <v>23.7</v>
      </c>
      <c r="AJ23" s="16">
        <f t="shared" si="6"/>
        <v>24.753846153846151</v>
      </c>
      <c r="AM23" s="15">
        <v>15</v>
      </c>
      <c r="AN23" s="11">
        <v>23.097543487541294</v>
      </c>
      <c r="AO23" s="11">
        <v>22.991501967304046</v>
      </c>
      <c r="AP23" s="11">
        <v>22.889828189285673</v>
      </c>
      <c r="AQ23" s="11">
        <v>23.134266780435102</v>
      </c>
      <c r="AR23" s="11">
        <v>23.511724268218156</v>
      </c>
      <c r="AS23" s="11">
        <v>23.265416041293889</v>
      </c>
      <c r="AT23" s="11">
        <v>23.466413061032977</v>
      </c>
      <c r="AU23" s="11">
        <v>23.447926951785295</v>
      </c>
      <c r="AV23" s="11">
        <v>24.060288665251548</v>
      </c>
      <c r="AW23" s="11">
        <v>23.412597481878489</v>
      </c>
      <c r="AX23" s="11">
        <v>22.573749319862735</v>
      </c>
      <c r="AY23" s="11">
        <v>23.043390041601409</v>
      </c>
      <c r="AZ23" s="11">
        <v>23.680309123146266</v>
      </c>
      <c r="BA23" s="12">
        <f t="shared" si="7"/>
        <v>24.060288665251548</v>
      </c>
      <c r="BB23" s="13">
        <f t="shared" si="3"/>
        <v>22.573749319862735</v>
      </c>
      <c r="BC23" s="16">
        <f t="shared" si="8"/>
        <v>23.274996567587451</v>
      </c>
    </row>
    <row r="24" spans="1:55" ht="15" x14ac:dyDescent="0.25">
      <c r="A24" s="15">
        <v>16</v>
      </c>
      <c r="B24" s="11">
        <v>24</v>
      </c>
      <c r="C24" s="11">
        <v>24.5</v>
      </c>
      <c r="D24" s="11">
        <v>24.8</v>
      </c>
      <c r="E24" s="11">
        <v>25.3</v>
      </c>
      <c r="F24" s="11">
        <v>25.6</v>
      </c>
      <c r="G24" s="11">
        <v>26</v>
      </c>
      <c r="H24" s="11">
        <v>26.5</v>
      </c>
      <c r="I24" s="11">
        <v>27.2</v>
      </c>
      <c r="J24" s="11">
        <v>26</v>
      </c>
      <c r="K24" s="11">
        <v>26.1</v>
      </c>
      <c r="L24" s="11">
        <v>25.8</v>
      </c>
      <c r="M24" s="11">
        <v>25</v>
      </c>
      <c r="N24" s="11">
        <v>24.7</v>
      </c>
      <c r="O24" s="12">
        <f t="shared" si="4"/>
        <v>27.2</v>
      </c>
      <c r="P24" s="13">
        <f t="shared" si="0"/>
        <v>24</v>
      </c>
      <c r="Q24" s="16">
        <f t="shared" si="5"/>
        <v>25.499999999999996</v>
      </c>
      <c r="T24" s="15">
        <v>16</v>
      </c>
      <c r="U24" s="11">
        <v>23.3</v>
      </c>
      <c r="V24" s="11">
        <v>23.8</v>
      </c>
      <c r="W24" s="11">
        <v>23.8</v>
      </c>
      <c r="X24" s="11">
        <v>23.6</v>
      </c>
      <c r="Y24" s="11">
        <v>23.4</v>
      </c>
      <c r="Z24" s="11">
        <v>23.2</v>
      </c>
      <c r="AA24" s="11">
        <v>23.3</v>
      </c>
      <c r="AB24" s="11">
        <v>24.2</v>
      </c>
      <c r="AC24" s="11">
        <v>22.8</v>
      </c>
      <c r="AD24" s="11">
        <v>23.2</v>
      </c>
      <c r="AE24" s="11">
        <v>23.6</v>
      </c>
      <c r="AF24" s="11">
        <v>23.5</v>
      </c>
      <c r="AG24" s="11">
        <v>23.3</v>
      </c>
      <c r="AH24" s="12">
        <f t="shared" si="1"/>
        <v>24.2</v>
      </c>
      <c r="AI24" s="13">
        <f t="shared" si="2"/>
        <v>22.8</v>
      </c>
      <c r="AJ24" s="16">
        <f t="shared" si="6"/>
        <v>23.46153846153846</v>
      </c>
      <c r="AM24" s="15">
        <v>16</v>
      </c>
      <c r="AN24" s="11">
        <v>22.874758389046743</v>
      </c>
      <c r="AO24" s="11">
        <v>23.383347698406446</v>
      </c>
      <c r="AP24" s="11">
        <v>23.246174595512937</v>
      </c>
      <c r="AQ24" s="11">
        <v>22.713748663769724</v>
      </c>
      <c r="AR24" s="11">
        <v>22.265061411393539</v>
      </c>
      <c r="AS24" s="11">
        <v>21.758108440057615</v>
      </c>
      <c r="AT24" s="11">
        <v>21.66692668789975</v>
      </c>
      <c r="AU24" s="11">
        <v>22.735575147904516</v>
      </c>
      <c r="AV24" s="11">
        <v>21.123805308926201</v>
      </c>
      <c r="AW24" s="11">
        <v>21.708384753354814</v>
      </c>
      <c r="AX24" s="11">
        <v>22.476265609365306</v>
      </c>
      <c r="AY24" s="11">
        <v>22.704170413916749</v>
      </c>
      <c r="AZ24" s="11">
        <v>22.54430162625011</v>
      </c>
      <c r="BA24" s="12">
        <f t="shared" si="7"/>
        <v>23.383347698406446</v>
      </c>
      <c r="BB24" s="13">
        <f t="shared" si="3"/>
        <v>21.123805308926201</v>
      </c>
      <c r="BC24" s="16">
        <f t="shared" si="8"/>
        <v>22.400048365061878</v>
      </c>
    </row>
    <row r="25" spans="1:55" ht="15" x14ac:dyDescent="0.25">
      <c r="A25" s="15">
        <v>17</v>
      </c>
      <c r="B25" s="11">
        <v>23.1</v>
      </c>
      <c r="C25" s="11">
        <v>24.3</v>
      </c>
      <c r="D25" s="11">
        <v>25.6</v>
      </c>
      <c r="E25" s="11">
        <v>27.3</v>
      </c>
      <c r="F25" s="11">
        <v>28.9</v>
      </c>
      <c r="G25" s="11">
        <v>29.6</v>
      </c>
      <c r="H25" s="11">
        <v>29.4</v>
      </c>
      <c r="I25" s="11">
        <v>29</v>
      </c>
      <c r="J25" s="11">
        <v>28.4</v>
      </c>
      <c r="K25" s="11">
        <v>27.6</v>
      </c>
      <c r="L25" s="11">
        <v>27</v>
      </c>
      <c r="M25" s="11">
        <v>26.4</v>
      </c>
      <c r="N25" s="11">
        <v>26</v>
      </c>
      <c r="O25" s="12">
        <f t="shared" si="4"/>
        <v>29.6</v>
      </c>
      <c r="P25" s="13">
        <f t="shared" si="0"/>
        <v>23.1</v>
      </c>
      <c r="Q25" s="16">
        <f t="shared" si="5"/>
        <v>27.123076923076919</v>
      </c>
      <c r="T25" s="15">
        <v>17</v>
      </c>
      <c r="U25" s="11">
        <v>22.3</v>
      </c>
      <c r="V25" s="11">
        <v>23</v>
      </c>
      <c r="W25" s="11">
        <v>23.4</v>
      </c>
      <c r="X25" s="11">
        <v>23.7</v>
      </c>
      <c r="Y25" s="11">
        <v>23.8</v>
      </c>
      <c r="Z25" s="11">
        <v>24.5</v>
      </c>
      <c r="AA25" s="11">
        <v>24</v>
      </c>
      <c r="AB25" s="11">
        <v>24.2</v>
      </c>
      <c r="AC25" s="11">
        <v>24.2</v>
      </c>
      <c r="AD25" s="11">
        <v>24.4</v>
      </c>
      <c r="AE25" s="11">
        <v>24.4</v>
      </c>
      <c r="AF25" s="11">
        <v>24.4</v>
      </c>
      <c r="AG25" s="11">
        <v>24.4</v>
      </c>
      <c r="AH25" s="12">
        <f t="shared" si="1"/>
        <v>24.5</v>
      </c>
      <c r="AI25" s="13">
        <f t="shared" si="2"/>
        <v>22.3</v>
      </c>
      <c r="AJ25" s="16">
        <f t="shared" si="6"/>
        <v>23.899999999999995</v>
      </c>
      <c r="AM25" s="15">
        <v>17</v>
      </c>
      <c r="AN25" s="11">
        <v>21.807316589954077</v>
      </c>
      <c r="AO25" s="11">
        <v>22.281939548814325</v>
      </c>
      <c r="AP25" s="11">
        <v>22.265061411393539</v>
      </c>
      <c r="AQ25" s="11">
        <v>21.904344842005919</v>
      </c>
      <c r="AR25" s="11">
        <v>21.264102421825854</v>
      </c>
      <c r="AS25" s="11">
        <v>22.058377213189214</v>
      </c>
      <c r="AT25" s="11">
        <v>21.339773119354938</v>
      </c>
      <c r="AU25" s="11">
        <v>21.867237103039482</v>
      </c>
      <c r="AV25" s="11">
        <v>22.161158941710486</v>
      </c>
      <c r="AW25" s="11">
        <v>22.856931791434171</v>
      </c>
      <c r="AX25" s="11">
        <v>23.135934889422426</v>
      </c>
      <c r="AY25" s="11">
        <v>23.41088917767016</v>
      </c>
      <c r="AZ25" s="11">
        <v>23.592004375769026</v>
      </c>
      <c r="BA25" s="12">
        <f t="shared" si="7"/>
        <v>23.592004375769026</v>
      </c>
      <c r="BB25" s="13">
        <f t="shared" si="3"/>
        <v>21.264102421825854</v>
      </c>
      <c r="BC25" s="16">
        <f t="shared" si="8"/>
        <v>22.303467032737199</v>
      </c>
    </row>
    <row r="26" spans="1:55" ht="15" x14ac:dyDescent="0.25">
      <c r="A26" s="15">
        <v>18</v>
      </c>
      <c r="B26" s="11">
        <v>24.2</v>
      </c>
      <c r="C26" s="11">
        <v>25.3</v>
      </c>
      <c r="D26" s="11">
        <v>26.4</v>
      </c>
      <c r="E26" s="11">
        <v>27.2</v>
      </c>
      <c r="F26" s="11">
        <v>28.2</v>
      </c>
      <c r="G26" s="11">
        <v>29.3</v>
      </c>
      <c r="H26" s="11">
        <v>29.4</v>
      </c>
      <c r="I26" s="11">
        <v>29.6</v>
      </c>
      <c r="J26" s="11">
        <v>29.4</v>
      </c>
      <c r="K26" s="11">
        <v>28.6</v>
      </c>
      <c r="L26" s="11">
        <v>26.6</v>
      </c>
      <c r="M26" s="11">
        <v>26</v>
      </c>
      <c r="N26" s="11">
        <v>25.6</v>
      </c>
      <c r="O26" s="12">
        <f t="shared" si="4"/>
        <v>29.6</v>
      </c>
      <c r="P26" s="13">
        <f t="shared" si="0"/>
        <v>24.2</v>
      </c>
      <c r="Q26" s="16">
        <f t="shared" si="5"/>
        <v>27.369230769230775</v>
      </c>
      <c r="T26" s="15">
        <v>18</v>
      </c>
      <c r="U26" s="11">
        <v>22.4</v>
      </c>
      <c r="V26" s="11">
        <v>22.1</v>
      </c>
      <c r="W26" s="11">
        <v>23.2</v>
      </c>
      <c r="X26" s="11">
        <v>23.7</v>
      </c>
      <c r="Y26" s="11">
        <v>24.2</v>
      </c>
      <c r="Z26" s="11">
        <v>24.6</v>
      </c>
      <c r="AA26" s="11">
        <v>24.6</v>
      </c>
      <c r="AB26" s="11">
        <v>25</v>
      </c>
      <c r="AC26" s="11">
        <v>25</v>
      </c>
      <c r="AD26" s="11">
        <v>24.8</v>
      </c>
      <c r="AE26" s="11">
        <v>23.4</v>
      </c>
      <c r="AF26" s="11">
        <v>23.4</v>
      </c>
      <c r="AG26" s="11">
        <v>23.4</v>
      </c>
      <c r="AH26" s="12">
        <f t="shared" si="1"/>
        <v>25</v>
      </c>
      <c r="AI26" s="13">
        <f t="shared" si="2"/>
        <v>22.1</v>
      </c>
      <c r="AJ26" s="16">
        <f t="shared" si="6"/>
        <v>23.830769230769228</v>
      </c>
      <c r="AM26" s="15">
        <v>18</v>
      </c>
      <c r="AN26" s="11">
        <v>21.410279941613915</v>
      </c>
      <c r="AO26" s="11">
        <v>20.360968552192105</v>
      </c>
      <c r="AP26" s="11">
        <v>21.558416450479999</v>
      </c>
      <c r="AQ26" s="11">
        <v>21.953553690922497</v>
      </c>
      <c r="AR26" s="11">
        <v>22.258119917094085</v>
      </c>
      <c r="AS26" s="11">
        <v>22.364801778753755</v>
      </c>
      <c r="AT26" s="11">
        <v>22.316656612844575</v>
      </c>
      <c r="AU26" s="11">
        <v>22.858668311959782</v>
      </c>
      <c r="AV26" s="11">
        <v>22.952122264170168</v>
      </c>
      <c r="AW26" s="11">
        <v>23.011327145203094</v>
      </c>
      <c r="AX26" s="11">
        <v>21.775380812344167</v>
      </c>
      <c r="AY26" s="11">
        <v>22.070718744685575</v>
      </c>
      <c r="AZ26" s="11">
        <v>22.265061411393539</v>
      </c>
      <c r="BA26" s="12">
        <f t="shared" si="7"/>
        <v>23.011327145203094</v>
      </c>
      <c r="BB26" s="13">
        <f t="shared" si="3"/>
        <v>20.360968552192105</v>
      </c>
      <c r="BC26" s="16">
        <f t="shared" si="8"/>
        <v>22.088928894896714</v>
      </c>
    </row>
    <row r="27" spans="1:55" ht="15" x14ac:dyDescent="0.25">
      <c r="A27" s="15">
        <v>19</v>
      </c>
      <c r="B27" s="11">
        <v>23.2</v>
      </c>
      <c r="C27" s="11">
        <v>25</v>
      </c>
      <c r="D27" s="11">
        <v>27.2</v>
      </c>
      <c r="E27" s="11">
        <v>28.6</v>
      </c>
      <c r="F27" s="11">
        <v>29.4</v>
      </c>
      <c r="G27" s="11">
        <v>30.4</v>
      </c>
      <c r="H27" s="11">
        <v>30.8</v>
      </c>
      <c r="I27" s="11">
        <v>31.4</v>
      </c>
      <c r="J27" s="11">
        <v>30.8</v>
      </c>
      <c r="K27" s="11">
        <v>30</v>
      </c>
      <c r="L27" s="11">
        <v>28.6</v>
      </c>
      <c r="M27" s="11">
        <v>26.9</v>
      </c>
      <c r="N27" s="11">
        <v>25.8</v>
      </c>
      <c r="O27" s="12">
        <f t="shared" si="4"/>
        <v>31.4</v>
      </c>
      <c r="P27" s="13">
        <f t="shared" si="0"/>
        <v>23.2</v>
      </c>
      <c r="Q27" s="16">
        <f t="shared" si="5"/>
        <v>28.315384615384616</v>
      </c>
      <c r="T27" s="15">
        <v>19</v>
      </c>
      <c r="U27" s="11">
        <v>22</v>
      </c>
      <c r="V27" s="11">
        <v>22.3</v>
      </c>
      <c r="W27" s="11">
        <v>23.2</v>
      </c>
      <c r="X27" s="11">
        <v>23.4</v>
      </c>
      <c r="Y27" s="11">
        <v>23.8</v>
      </c>
      <c r="Z27" s="11">
        <v>24.5</v>
      </c>
      <c r="AA27" s="11">
        <v>24.2</v>
      </c>
      <c r="AB27" s="11">
        <v>24.6</v>
      </c>
      <c r="AC27" s="11">
        <v>25.1</v>
      </c>
      <c r="AD27" s="11">
        <v>25</v>
      </c>
      <c r="AE27" s="11">
        <v>24.1</v>
      </c>
      <c r="AF27" s="11">
        <v>23.6</v>
      </c>
      <c r="AG27" s="11">
        <v>23.5</v>
      </c>
      <c r="AH27" s="12">
        <f t="shared" si="1"/>
        <v>25.1</v>
      </c>
      <c r="AI27" s="13">
        <f t="shared" si="2"/>
        <v>22</v>
      </c>
      <c r="AJ27" s="16">
        <f t="shared" si="6"/>
        <v>23.792307692307695</v>
      </c>
      <c r="AM27" s="15">
        <v>19</v>
      </c>
      <c r="AN27" s="11">
        <v>21.298431701000982</v>
      </c>
      <c r="AO27" s="11">
        <v>20.841837220940466</v>
      </c>
      <c r="AP27" s="11">
        <v>21.152517335305355</v>
      </c>
      <c r="AQ27" s="11">
        <v>20.755814499189071</v>
      </c>
      <c r="AR27" s="11">
        <v>21.007398684043931</v>
      </c>
      <c r="AS27" s="11">
        <v>21.663260375206157</v>
      </c>
      <c r="AT27" s="11">
        <v>20.956729082873636</v>
      </c>
      <c r="AU27" s="11">
        <v>21.32688090912778</v>
      </c>
      <c r="AV27" s="11">
        <v>22.450616739376258</v>
      </c>
      <c r="AW27" s="11">
        <v>22.670362668359488</v>
      </c>
      <c r="AX27" s="11">
        <v>21.90308947260036</v>
      </c>
      <c r="AY27" s="11">
        <v>21.943015124038137</v>
      </c>
      <c r="AZ27" s="11">
        <v>22.322554705614401</v>
      </c>
      <c r="BA27" s="12">
        <f t="shared" si="7"/>
        <v>22.670362668359488</v>
      </c>
      <c r="BB27" s="13">
        <f t="shared" si="3"/>
        <v>20.755814499189071</v>
      </c>
      <c r="BC27" s="16">
        <f t="shared" si="8"/>
        <v>21.560962193667383</v>
      </c>
    </row>
    <row r="28" spans="1:55" ht="15" x14ac:dyDescent="0.25">
      <c r="A28" s="15">
        <v>20</v>
      </c>
      <c r="B28" s="11">
        <v>21.8</v>
      </c>
      <c r="C28" s="11">
        <v>24.3</v>
      </c>
      <c r="D28" s="11">
        <v>26</v>
      </c>
      <c r="E28" s="11">
        <v>27.9</v>
      </c>
      <c r="F28" s="11">
        <v>29.4</v>
      </c>
      <c r="G28" s="11">
        <v>30.2</v>
      </c>
      <c r="H28" s="11">
        <v>30.9</v>
      </c>
      <c r="I28" s="11">
        <v>30.2</v>
      </c>
      <c r="J28" s="11">
        <v>29.7</v>
      </c>
      <c r="K28" s="11">
        <v>28.2</v>
      </c>
      <c r="L28" s="11">
        <v>27.1</v>
      </c>
      <c r="M28" s="11">
        <v>26</v>
      </c>
      <c r="N28" s="11">
        <v>25.2</v>
      </c>
      <c r="O28" s="12">
        <f t="shared" si="4"/>
        <v>30.9</v>
      </c>
      <c r="P28" s="13">
        <f t="shared" si="0"/>
        <v>21.8</v>
      </c>
      <c r="Q28" s="16">
        <f t="shared" si="5"/>
        <v>27.45384615384615</v>
      </c>
      <c r="T28" s="15">
        <v>20</v>
      </c>
      <c r="U28" s="11">
        <v>20.8</v>
      </c>
      <c r="V28" s="11">
        <v>22.2</v>
      </c>
      <c r="W28" s="11">
        <v>22.6</v>
      </c>
      <c r="X28" s="11">
        <v>23.8</v>
      </c>
      <c r="Y28" s="11">
        <v>24.2</v>
      </c>
      <c r="Z28" s="11">
        <v>24.9</v>
      </c>
      <c r="AA28" s="11">
        <v>24.6</v>
      </c>
      <c r="AB28" s="11">
        <v>25</v>
      </c>
      <c r="AC28" s="11">
        <v>24.6</v>
      </c>
      <c r="AD28" s="11">
        <v>23.4</v>
      </c>
      <c r="AE28" s="11">
        <v>23.4</v>
      </c>
      <c r="AF28" s="11">
        <v>23.5</v>
      </c>
      <c r="AG28" s="11">
        <v>22.8</v>
      </c>
      <c r="AH28" s="12">
        <f t="shared" si="1"/>
        <v>25</v>
      </c>
      <c r="AI28" s="13">
        <f t="shared" si="2"/>
        <v>20.8</v>
      </c>
      <c r="AJ28" s="16">
        <f t="shared" si="6"/>
        <v>23.523076923076925</v>
      </c>
      <c r="AM28" s="15">
        <v>20</v>
      </c>
      <c r="AN28" s="11">
        <v>20.166096915440615</v>
      </c>
      <c r="AO28" s="11">
        <v>21.046375928940027</v>
      </c>
      <c r="AP28" s="11">
        <v>20.801911119096491</v>
      </c>
      <c r="AQ28" s="11">
        <v>21.767160181952669</v>
      </c>
      <c r="AR28" s="11">
        <v>21.668699112332721</v>
      </c>
      <c r="AS28" s="11">
        <v>22.4145725316748</v>
      </c>
      <c r="AT28" s="11">
        <v>21.579269998537296</v>
      </c>
      <c r="AU28" s="11">
        <v>22.575500907686056</v>
      </c>
      <c r="AV28" s="11">
        <v>22.1714776017124</v>
      </c>
      <c r="AW28" s="11">
        <v>20.964236475559954</v>
      </c>
      <c r="AX28" s="11">
        <v>21.525660088028079</v>
      </c>
      <c r="AY28" s="11">
        <v>22.225930438363672</v>
      </c>
      <c r="AZ28" s="11">
        <v>21.530312632790274</v>
      </c>
      <c r="BA28" s="12">
        <f t="shared" si="7"/>
        <v>22.575500907686056</v>
      </c>
      <c r="BB28" s="13">
        <f t="shared" si="3"/>
        <v>20.166096915440615</v>
      </c>
      <c r="BC28" s="16">
        <f t="shared" si="8"/>
        <v>21.572092610162695</v>
      </c>
    </row>
    <row r="29" spans="1:55" ht="15" x14ac:dyDescent="0.25">
      <c r="A29" s="15">
        <v>21</v>
      </c>
      <c r="B29" s="11">
        <v>23</v>
      </c>
      <c r="C29" s="11">
        <v>24.3</v>
      </c>
      <c r="D29" s="11">
        <v>25.8</v>
      </c>
      <c r="E29" s="11">
        <v>26.6</v>
      </c>
      <c r="F29" s="11">
        <v>27.4</v>
      </c>
      <c r="G29" s="11">
        <v>28.4</v>
      </c>
      <c r="H29" s="11">
        <v>28.8</v>
      </c>
      <c r="I29" s="11">
        <v>28.4</v>
      </c>
      <c r="J29" s="11">
        <v>27.8</v>
      </c>
      <c r="K29" s="11">
        <v>27.2</v>
      </c>
      <c r="L29" s="11">
        <v>26.6</v>
      </c>
      <c r="M29" s="11">
        <v>26.2</v>
      </c>
      <c r="N29" s="11">
        <v>26</v>
      </c>
      <c r="O29" s="12">
        <f t="shared" si="4"/>
        <v>28.8</v>
      </c>
      <c r="P29" s="13">
        <f t="shared" si="0"/>
        <v>23</v>
      </c>
      <c r="Q29" s="16">
        <f t="shared" si="5"/>
        <v>26.653846153846157</v>
      </c>
      <c r="T29" s="15">
        <v>21</v>
      </c>
      <c r="U29" s="11">
        <v>21.7</v>
      </c>
      <c r="V29" s="11">
        <v>22.3</v>
      </c>
      <c r="W29" s="11">
        <v>22.7</v>
      </c>
      <c r="X29" s="11">
        <v>23.5</v>
      </c>
      <c r="Y29" s="11">
        <v>23.4</v>
      </c>
      <c r="Z29" s="11">
        <v>23.8</v>
      </c>
      <c r="AA29" s="11">
        <v>23.8</v>
      </c>
      <c r="AB29" s="11">
        <v>23.8</v>
      </c>
      <c r="AC29" s="11">
        <v>23.6</v>
      </c>
      <c r="AD29" s="11">
        <v>23.4</v>
      </c>
      <c r="AE29" s="11">
        <v>23.4</v>
      </c>
      <c r="AF29" s="11">
        <v>23.2</v>
      </c>
      <c r="AG29" s="11">
        <v>23</v>
      </c>
      <c r="AH29" s="12">
        <f t="shared" si="1"/>
        <v>23.8</v>
      </c>
      <c r="AI29" s="13">
        <f t="shared" si="2"/>
        <v>21.7</v>
      </c>
      <c r="AJ29" s="16">
        <f t="shared" si="6"/>
        <v>23.200000000000003</v>
      </c>
      <c r="AM29" s="15">
        <v>21</v>
      </c>
      <c r="AN29" s="11">
        <v>20.936701284697691</v>
      </c>
      <c r="AO29" s="11">
        <v>21.203376819493535</v>
      </c>
      <c r="AP29" s="11">
        <v>21.066607626005652</v>
      </c>
      <c r="AQ29" s="11">
        <v>21.933041408012986</v>
      </c>
      <c r="AR29" s="11">
        <v>21.374211649312834</v>
      </c>
      <c r="AS29" s="11">
        <v>21.517322869634658</v>
      </c>
      <c r="AT29" s="11">
        <v>21.315021904881714</v>
      </c>
      <c r="AU29" s="11">
        <v>21.517322869634658</v>
      </c>
      <c r="AV29" s="11">
        <v>21.495161498275294</v>
      </c>
      <c r="AW29" s="11">
        <v>21.47531350306749</v>
      </c>
      <c r="AX29" s="11">
        <v>21.775380812344167</v>
      </c>
      <c r="AY29" s="11">
        <v>21.658528701077763</v>
      </c>
      <c r="AZ29" s="11">
        <v>21.442503423907144</v>
      </c>
      <c r="BA29" s="12">
        <f t="shared" si="7"/>
        <v>21.933041408012986</v>
      </c>
      <c r="BB29" s="13">
        <f t="shared" si="3"/>
        <v>20.936701284697691</v>
      </c>
      <c r="BC29" s="16">
        <f t="shared" si="8"/>
        <v>21.439268797718892</v>
      </c>
    </row>
    <row r="30" spans="1:55" ht="15" x14ac:dyDescent="0.25">
      <c r="A30" s="15">
        <v>22</v>
      </c>
      <c r="B30" s="11">
        <v>24</v>
      </c>
      <c r="C30" s="11">
        <v>25.2</v>
      </c>
      <c r="D30" s="11">
        <v>26.7</v>
      </c>
      <c r="E30" s="11">
        <v>26.8</v>
      </c>
      <c r="F30" s="11">
        <v>27.2</v>
      </c>
      <c r="G30" s="11">
        <v>28</v>
      </c>
      <c r="H30" s="11">
        <v>28.5</v>
      </c>
      <c r="I30" s="11">
        <v>29</v>
      </c>
      <c r="J30" s="11">
        <v>28.9</v>
      </c>
      <c r="K30" s="11">
        <v>28</v>
      </c>
      <c r="L30" s="11">
        <v>27.3</v>
      </c>
      <c r="M30" s="11">
        <v>26.5</v>
      </c>
      <c r="N30" s="11">
        <v>25.2</v>
      </c>
      <c r="O30" s="12">
        <f t="shared" si="4"/>
        <v>29</v>
      </c>
      <c r="P30" s="13">
        <f t="shared" si="0"/>
        <v>24</v>
      </c>
      <c r="Q30" s="16">
        <f t="shared" si="5"/>
        <v>27.023076923076925</v>
      </c>
      <c r="T30" s="15">
        <v>22</v>
      </c>
      <c r="U30" s="11">
        <v>22.4</v>
      </c>
      <c r="V30" s="11">
        <v>22.4</v>
      </c>
      <c r="W30" s="11">
        <v>22.8</v>
      </c>
      <c r="X30" s="11">
        <v>23.2</v>
      </c>
      <c r="Y30" s="11">
        <v>24</v>
      </c>
      <c r="Z30" s="11">
        <v>24.2</v>
      </c>
      <c r="AA30" s="11">
        <v>24.6</v>
      </c>
      <c r="AB30" s="11">
        <v>24.5</v>
      </c>
      <c r="AC30" s="11">
        <v>24.6</v>
      </c>
      <c r="AD30" s="11">
        <v>24</v>
      </c>
      <c r="AE30" s="11">
        <v>23.4</v>
      </c>
      <c r="AF30" s="11">
        <v>23.2</v>
      </c>
      <c r="AG30" s="11">
        <v>23</v>
      </c>
      <c r="AH30" s="12">
        <f t="shared" si="1"/>
        <v>24.6</v>
      </c>
      <c r="AI30" s="13">
        <f t="shared" si="2"/>
        <v>22.4</v>
      </c>
      <c r="AJ30" s="16">
        <f t="shared" si="6"/>
        <v>23.561538461538458</v>
      </c>
      <c r="AM30" s="15">
        <v>22</v>
      </c>
      <c r="AN30" s="11">
        <v>21.511181316989337</v>
      </c>
      <c r="AO30" s="11">
        <v>20.897423728588965</v>
      </c>
      <c r="AP30" s="11">
        <v>20.760691229379212</v>
      </c>
      <c r="AQ30" s="11">
        <v>21.356569638730033</v>
      </c>
      <c r="AR30" s="11">
        <v>22.424951840849836</v>
      </c>
      <c r="AS30" s="11">
        <v>22.354583733692817</v>
      </c>
      <c r="AT30" s="11">
        <v>22.745598614526685</v>
      </c>
      <c r="AU30" s="11">
        <v>22.349352820574691</v>
      </c>
      <c r="AV30" s="11">
        <v>22.556161289601096</v>
      </c>
      <c r="AW30" s="11">
        <v>22.037563837182521</v>
      </c>
      <c r="AX30" s="11">
        <v>21.424830954377001</v>
      </c>
      <c r="AY30" s="11">
        <v>21.508158710605972</v>
      </c>
      <c r="AZ30" s="11">
        <v>21.842217111651138</v>
      </c>
      <c r="BA30" s="12">
        <f t="shared" si="7"/>
        <v>22.745598614526685</v>
      </c>
      <c r="BB30" s="13">
        <f t="shared" si="3"/>
        <v>20.760691229379212</v>
      </c>
      <c r="BC30" s="16">
        <f t="shared" si="8"/>
        <v>21.828406525134561</v>
      </c>
    </row>
    <row r="31" spans="1:55" ht="15" x14ac:dyDescent="0.25">
      <c r="A31" s="15">
        <v>23</v>
      </c>
      <c r="B31" s="11">
        <v>23.4</v>
      </c>
      <c r="C31" s="11">
        <v>24.6</v>
      </c>
      <c r="D31" s="11">
        <v>25.4</v>
      </c>
      <c r="E31" s="11">
        <v>27</v>
      </c>
      <c r="F31" s="11">
        <v>28.3</v>
      </c>
      <c r="G31" s="11">
        <v>28.4</v>
      </c>
      <c r="H31" s="11">
        <v>28.4</v>
      </c>
      <c r="I31" s="11">
        <v>28.2</v>
      </c>
      <c r="J31" s="11">
        <v>27.5</v>
      </c>
      <c r="K31" s="11">
        <v>27.1</v>
      </c>
      <c r="L31" s="11">
        <v>27</v>
      </c>
      <c r="M31" s="11">
        <v>26</v>
      </c>
      <c r="N31" s="11">
        <v>25.6</v>
      </c>
      <c r="O31" s="12">
        <f t="shared" si="4"/>
        <v>28.4</v>
      </c>
      <c r="P31" s="13">
        <f t="shared" si="0"/>
        <v>23.4</v>
      </c>
      <c r="Q31" s="16">
        <f t="shared" si="5"/>
        <v>26.684615384615388</v>
      </c>
      <c r="T31" s="15">
        <v>23</v>
      </c>
      <c r="U31" s="11">
        <v>22.1</v>
      </c>
      <c r="V31" s="11">
        <v>22.5</v>
      </c>
      <c r="W31" s="11">
        <v>22.8</v>
      </c>
      <c r="X31" s="11">
        <v>23.8</v>
      </c>
      <c r="Y31" s="11">
        <v>24.5</v>
      </c>
      <c r="Z31" s="11">
        <v>24.7</v>
      </c>
      <c r="AA31" s="11">
        <v>24.5</v>
      </c>
      <c r="AB31" s="11">
        <v>24.4</v>
      </c>
      <c r="AC31" s="11">
        <v>23.8</v>
      </c>
      <c r="AD31" s="11">
        <v>23.5</v>
      </c>
      <c r="AE31" s="11">
        <v>23.6</v>
      </c>
      <c r="AF31" s="11">
        <v>23.2</v>
      </c>
      <c r="AG31" s="11">
        <v>23.2</v>
      </c>
      <c r="AH31" s="12">
        <f t="shared" si="1"/>
        <v>24.7</v>
      </c>
      <c r="AI31" s="13">
        <f t="shared" si="2"/>
        <v>22.1</v>
      </c>
      <c r="AJ31" s="16">
        <f t="shared" si="6"/>
        <v>23.584615384615386</v>
      </c>
      <c r="AM31" s="15">
        <v>23</v>
      </c>
      <c r="AN31" s="11">
        <v>21.35101754137802</v>
      </c>
      <c r="AO31" s="11">
        <v>21.363604163162531</v>
      </c>
      <c r="AP31" s="11">
        <v>21.429512326033791</v>
      </c>
      <c r="AQ31" s="11">
        <v>22.208645027327083</v>
      </c>
      <c r="AR31" s="11">
        <v>22.683237188132594</v>
      </c>
      <c r="AS31" s="11">
        <v>22.948702379577565</v>
      </c>
      <c r="AT31" s="11">
        <v>22.635899802692006</v>
      </c>
      <c r="AU31" s="11">
        <v>22.573749319862735</v>
      </c>
      <c r="AV31" s="11">
        <v>21.964658694482409</v>
      </c>
      <c r="AW31" s="11">
        <v>21.685426017897907</v>
      </c>
      <c r="AX31" s="11">
        <v>21.893778896731295</v>
      </c>
      <c r="AY31" s="11">
        <v>21.758108440057615</v>
      </c>
      <c r="AZ31" s="11">
        <v>21.955694513131515</v>
      </c>
      <c r="BA31" s="12">
        <f t="shared" si="7"/>
        <v>22.948702379577565</v>
      </c>
      <c r="BB31" s="13">
        <f t="shared" si="3"/>
        <v>21.35101754137802</v>
      </c>
      <c r="BC31" s="16">
        <f t="shared" si="8"/>
        <v>22.034771870035929</v>
      </c>
    </row>
    <row r="32" spans="1:55" ht="15" x14ac:dyDescent="0.25">
      <c r="A32" s="15">
        <v>24</v>
      </c>
      <c r="B32" s="11">
        <v>23.8</v>
      </c>
      <c r="C32" s="11">
        <v>25</v>
      </c>
      <c r="D32" s="11">
        <v>27.1</v>
      </c>
      <c r="E32" s="11">
        <v>27.6</v>
      </c>
      <c r="F32" s="11">
        <v>28.3</v>
      </c>
      <c r="G32" s="11">
        <v>29</v>
      </c>
      <c r="H32" s="11">
        <v>29.2</v>
      </c>
      <c r="I32" s="11">
        <v>29.6</v>
      </c>
      <c r="J32" s="11">
        <v>29.2</v>
      </c>
      <c r="K32" s="11">
        <v>27.9</v>
      </c>
      <c r="L32" s="11">
        <v>26.4</v>
      </c>
      <c r="M32" s="11">
        <v>25</v>
      </c>
      <c r="N32" s="11">
        <v>24.1</v>
      </c>
      <c r="O32" s="12">
        <f t="shared" si="4"/>
        <v>29.6</v>
      </c>
      <c r="P32" s="13">
        <f t="shared" si="0"/>
        <v>23.8</v>
      </c>
      <c r="Q32" s="16">
        <f t="shared" si="5"/>
        <v>27.092307692307692</v>
      </c>
      <c r="T32" s="15">
        <v>24</v>
      </c>
      <c r="U32" s="11">
        <v>22.6</v>
      </c>
      <c r="V32" s="11">
        <v>23.1</v>
      </c>
      <c r="W32" s="11">
        <v>22.6</v>
      </c>
      <c r="X32" s="11">
        <v>22.6</v>
      </c>
      <c r="Y32" s="11">
        <v>22.6</v>
      </c>
      <c r="Z32" s="11">
        <v>23</v>
      </c>
      <c r="AA32" s="11">
        <v>23.2</v>
      </c>
      <c r="AB32" s="11">
        <v>23</v>
      </c>
      <c r="AC32" s="11">
        <v>22.6</v>
      </c>
      <c r="AD32" s="11">
        <v>22.3</v>
      </c>
      <c r="AE32" s="11">
        <v>21.8</v>
      </c>
      <c r="AF32" s="11">
        <v>20.9</v>
      </c>
      <c r="AG32" s="11">
        <v>20.6</v>
      </c>
      <c r="AH32" s="12">
        <f t="shared" si="1"/>
        <v>23.2</v>
      </c>
      <c r="AI32" s="13">
        <f t="shared" si="2"/>
        <v>20.6</v>
      </c>
      <c r="AJ32" s="16">
        <f t="shared" si="6"/>
        <v>22.376923076923081</v>
      </c>
      <c r="AM32" s="15">
        <v>24</v>
      </c>
      <c r="AN32" s="11">
        <v>21.91771173877353</v>
      </c>
      <c r="AO32" s="11">
        <v>22.094878555418994</v>
      </c>
      <c r="AP32" s="11">
        <v>20.217888413193116</v>
      </c>
      <c r="AQ32" s="11">
        <v>19.946209760988268</v>
      </c>
      <c r="AR32" s="11">
        <v>19.559012681110051</v>
      </c>
      <c r="AS32" s="11">
        <v>19.86220736077232</v>
      </c>
      <c r="AT32" s="11">
        <v>20.097265135038942</v>
      </c>
      <c r="AU32" s="11">
        <v>19.529289707919126</v>
      </c>
      <c r="AV32" s="11">
        <v>19.048904303384408</v>
      </c>
      <c r="AW32" s="11">
        <v>19.264038070012006</v>
      </c>
      <c r="AX32" s="11">
        <v>19.254205340614714</v>
      </c>
      <c r="AY32" s="11">
        <v>18.521351007062055</v>
      </c>
      <c r="AZ32" s="11">
        <v>18.53946766955206</v>
      </c>
      <c r="BA32" s="12">
        <f t="shared" si="7"/>
        <v>22.094878555418994</v>
      </c>
      <c r="BB32" s="13">
        <f t="shared" si="3"/>
        <v>18.521351007062055</v>
      </c>
      <c r="BC32" s="16">
        <f t="shared" si="8"/>
        <v>19.83480228798766</v>
      </c>
    </row>
    <row r="33" spans="1:55" ht="15" x14ac:dyDescent="0.25">
      <c r="A33" s="15">
        <v>25</v>
      </c>
      <c r="B33" s="11">
        <v>20.8</v>
      </c>
      <c r="C33" s="11">
        <v>23.1</v>
      </c>
      <c r="D33" s="11">
        <v>25.9</v>
      </c>
      <c r="E33" s="11">
        <v>27</v>
      </c>
      <c r="F33" s="11">
        <v>27.8</v>
      </c>
      <c r="G33" s="11">
        <v>29</v>
      </c>
      <c r="H33" s="11">
        <v>29.2</v>
      </c>
      <c r="I33" s="11">
        <v>29.6</v>
      </c>
      <c r="J33" s="11">
        <v>29</v>
      </c>
      <c r="K33" s="11">
        <v>28.6</v>
      </c>
      <c r="L33" s="11">
        <v>27</v>
      </c>
      <c r="M33" s="11">
        <v>26.2</v>
      </c>
      <c r="N33" s="11">
        <v>23.8</v>
      </c>
      <c r="O33" s="12">
        <f t="shared" si="4"/>
        <v>29.6</v>
      </c>
      <c r="P33" s="13">
        <f t="shared" si="0"/>
        <v>20.8</v>
      </c>
      <c r="Q33" s="16">
        <f t="shared" si="5"/>
        <v>26.692307692307693</v>
      </c>
      <c r="T33" s="15">
        <v>25</v>
      </c>
      <c r="U33" s="11">
        <v>19.3</v>
      </c>
      <c r="V33" s="11">
        <v>20.6</v>
      </c>
      <c r="W33" s="11">
        <v>20.399999999999999</v>
      </c>
      <c r="X33" s="11">
        <v>20.6</v>
      </c>
      <c r="Y33" s="11">
        <v>20.3</v>
      </c>
      <c r="Z33" s="11">
        <v>21.3</v>
      </c>
      <c r="AA33" s="11">
        <v>21</v>
      </c>
      <c r="AB33" s="11">
        <v>21.4</v>
      </c>
      <c r="AC33" s="11">
        <v>21.4</v>
      </c>
      <c r="AD33" s="11">
        <v>21.2</v>
      </c>
      <c r="AE33" s="11">
        <v>20.8</v>
      </c>
      <c r="AF33" s="11">
        <v>20.2</v>
      </c>
      <c r="AG33" s="11">
        <v>20</v>
      </c>
      <c r="AH33" s="12">
        <f t="shared" si="1"/>
        <v>21.4</v>
      </c>
      <c r="AI33" s="13">
        <f t="shared" si="2"/>
        <v>19.3</v>
      </c>
      <c r="AJ33" s="16">
        <f t="shared" si="6"/>
        <v>20.653846153846153</v>
      </c>
      <c r="AM33" s="15">
        <v>25</v>
      </c>
      <c r="AN33" s="11">
        <v>18.323482904745767</v>
      </c>
      <c r="AO33" s="11">
        <v>19.121029195522599</v>
      </c>
      <c r="AP33" s="11">
        <v>17.079236947287662</v>
      </c>
      <c r="AQ33" s="11">
        <v>16.739474083286197</v>
      </c>
      <c r="AR33" s="11">
        <v>15.621809806964336</v>
      </c>
      <c r="AS33" s="11">
        <v>16.767391652468955</v>
      </c>
      <c r="AT33" s="11">
        <v>16.048291774323804</v>
      </c>
      <c r="AU33" s="11">
        <v>16.568168527103442</v>
      </c>
      <c r="AV33" s="11">
        <v>16.95924516411883</v>
      </c>
      <c r="AW33" s="11">
        <v>16.835731434304584</v>
      </c>
      <c r="AX33" s="11">
        <v>17.113148573522995</v>
      </c>
      <c r="AY33" s="11">
        <v>16.512943003651291</v>
      </c>
      <c r="AZ33" s="11">
        <v>17.685725753632511</v>
      </c>
      <c r="BA33" s="12">
        <f t="shared" si="7"/>
        <v>19.121029195522599</v>
      </c>
      <c r="BB33" s="13">
        <f t="shared" si="3"/>
        <v>15.621809806964336</v>
      </c>
      <c r="BC33" s="16">
        <f t="shared" si="8"/>
        <v>17.028898370840999</v>
      </c>
    </row>
    <row r="34" spans="1:55" ht="15" x14ac:dyDescent="0.25">
      <c r="A34" s="15">
        <v>26</v>
      </c>
      <c r="B34" s="11">
        <v>20.5</v>
      </c>
      <c r="C34" s="11">
        <v>23.5</v>
      </c>
      <c r="D34" s="11">
        <v>24.6</v>
      </c>
      <c r="E34" s="11">
        <v>26.2</v>
      </c>
      <c r="F34" s="11">
        <v>27.7</v>
      </c>
      <c r="G34" s="11">
        <v>28.6</v>
      </c>
      <c r="H34" s="11">
        <v>29.2</v>
      </c>
      <c r="I34" s="11">
        <v>30</v>
      </c>
      <c r="J34" s="11">
        <v>30.4</v>
      </c>
      <c r="K34" s="11">
        <v>29.6</v>
      </c>
      <c r="L34" s="11">
        <v>27</v>
      </c>
      <c r="M34" s="11">
        <v>26</v>
      </c>
      <c r="N34" s="11">
        <v>25.8</v>
      </c>
      <c r="O34" s="12">
        <f t="shared" si="4"/>
        <v>30.4</v>
      </c>
      <c r="P34" s="13">
        <f t="shared" si="0"/>
        <v>20.5</v>
      </c>
      <c r="Q34" s="16">
        <f t="shared" si="5"/>
        <v>26.853846153846156</v>
      </c>
      <c r="T34" s="15">
        <v>26</v>
      </c>
      <c r="U34" s="11">
        <v>18.399999999999999</v>
      </c>
      <c r="V34" s="11">
        <v>20.100000000000001</v>
      </c>
      <c r="W34" s="11">
        <v>20.6</v>
      </c>
      <c r="X34" s="11">
        <v>21.2</v>
      </c>
      <c r="Y34" s="11">
        <v>21.7</v>
      </c>
      <c r="Z34" s="11">
        <v>22</v>
      </c>
      <c r="AA34" s="11">
        <v>22.3</v>
      </c>
      <c r="AB34" s="11">
        <v>23</v>
      </c>
      <c r="AC34" s="11">
        <v>23</v>
      </c>
      <c r="AD34" s="11">
        <v>23.4</v>
      </c>
      <c r="AE34" s="11">
        <v>22.8</v>
      </c>
      <c r="AF34" s="11">
        <v>23.2</v>
      </c>
      <c r="AG34" s="11">
        <v>23.2</v>
      </c>
      <c r="AH34" s="12">
        <f t="shared" si="1"/>
        <v>23.4</v>
      </c>
      <c r="AI34" s="13">
        <f t="shared" si="2"/>
        <v>18.399999999999999</v>
      </c>
      <c r="AJ34" s="16">
        <f t="shared" si="6"/>
        <v>21.915384615384617</v>
      </c>
      <c r="AM34" s="15">
        <v>26</v>
      </c>
      <c r="AN34" s="11">
        <v>16.995992330159833</v>
      </c>
      <c r="AO34" s="11">
        <v>18.043079819846305</v>
      </c>
      <c r="AP34" s="11">
        <v>18.241590728905095</v>
      </c>
      <c r="AQ34" s="11">
        <v>18.330241538915399</v>
      </c>
      <c r="AR34" s="11">
        <v>18.321409246932255</v>
      </c>
      <c r="AS34" s="11">
        <v>18.323731685920357</v>
      </c>
      <c r="AT34" s="11">
        <v>18.510307781811029</v>
      </c>
      <c r="AU34" s="11">
        <v>19.303951004386928</v>
      </c>
      <c r="AV34" s="11">
        <v>19.075812827479979</v>
      </c>
      <c r="AW34" s="11">
        <v>20.224288506437016</v>
      </c>
      <c r="AX34" s="11">
        <v>20.602873681847623</v>
      </c>
      <c r="AY34" s="11">
        <v>21.758108440057615</v>
      </c>
      <c r="AZ34" s="11">
        <v>21.857161726185268</v>
      </c>
      <c r="BA34" s="12">
        <f t="shared" si="7"/>
        <v>21.857161726185268</v>
      </c>
      <c r="BB34" s="13">
        <f t="shared" si="3"/>
        <v>16.995992330159833</v>
      </c>
      <c r="BC34" s="16">
        <f t="shared" si="8"/>
        <v>19.199119178375746</v>
      </c>
    </row>
    <row r="35" spans="1:55" ht="15" x14ac:dyDescent="0.25">
      <c r="A35" s="15">
        <v>27</v>
      </c>
      <c r="B35" s="11">
        <v>22.2</v>
      </c>
      <c r="C35" s="11">
        <v>23.6</v>
      </c>
      <c r="D35" s="11">
        <v>25.4</v>
      </c>
      <c r="E35" s="11">
        <v>26.6</v>
      </c>
      <c r="F35" s="11">
        <v>28.8</v>
      </c>
      <c r="G35" s="11">
        <v>30</v>
      </c>
      <c r="H35" s="11">
        <v>31.3</v>
      </c>
      <c r="I35" s="11">
        <v>30.6</v>
      </c>
      <c r="J35" s="11">
        <v>29.4</v>
      </c>
      <c r="K35" s="11">
        <v>28.1</v>
      </c>
      <c r="L35" s="11">
        <v>26.8</v>
      </c>
      <c r="M35" s="11">
        <v>26</v>
      </c>
      <c r="N35" s="11">
        <v>25.3</v>
      </c>
      <c r="O35" s="12">
        <f t="shared" si="4"/>
        <v>31.3</v>
      </c>
      <c r="P35" s="13">
        <f t="shared" si="0"/>
        <v>22.2</v>
      </c>
      <c r="Q35" s="16">
        <f t="shared" si="5"/>
        <v>27.238461538461539</v>
      </c>
      <c r="T35" s="15">
        <v>27</v>
      </c>
      <c r="U35" s="11">
        <v>21.1</v>
      </c>
      <c r="V35" s="11">
        <v>21.8</v>
      </c>
      <c r="W35" s="11">
        <v>21.8</v>
      </c>
      <c r="X35" s="11">
        <v>22.8</v>
      </c>
      <c r="Y35" s="11">
        <v>23.2</v>
      </c>
      <c r="Z35" s="11">
        <v>23</v>
      </c>
      <c r="AA35" s="11">
        <v>23</v>
      </c>
      <c r="AB35" s="11">
        <v>24.7</v>
      </c>
      <c r="AC35" s="11">
        <v>24.8</v>
      </c>
      <c r="AD35" s="11">
        <v>24.8</v>
      </c>
      <c r="AE35" s="11">
        <v>24.1</v>
      </c>
      <c r="AF35" s="11">
        <v>23.9</v>
      </c>
      <c r="AG35" s="11">
        <v>23.6</v>
      </c>
      <c r="AH35" s="12">
        <f t="shared" si="1"/>
        <v>24.8</v>
      </c>
      <c r="AI35" s="13">
        <f t="shared" si="2"/>
        <v>21.1</v>
      </c>
      <c r="AJ35" s="16">
        <f t="shared" si="6"/>
        <v>23.276923076923079</v>
      </c>
      <c r="AM35" s="15">
        <v>27</v>
      </c>
      <c r="AN35" s="11">
        <v>20.421530135863314</v>
      </c>
      <c r="AO35" s="11">
        <v>20.780516613089915</v>
      </c>
      <c r="AP35" s="11">
        <v>19.813913858523215</v>
      </c>
      <c r="AQ35" s="11">
        <v>20.813000573675488</v>
      </c>
      <c r="AR35" s="11">
        <v>20.313173065025666</v>
      </c>
      <c r="AS35" s="11">
        <v>19.303951004386928</v>
      </c>
      <c r="AT35" s="11">
        <v>18.551868035558428</v>
      </c>
      <c r="AU35" s="11">
        <v>21.894147210597996</v>
      </c>
      <c r="AV35" s="11">
        <v>22.635900736480924</v>
      </c>
      <c r="AW35" s="11">
        <v>23.242241452753913</v>
      </c>
      <c r="AX35" s="11">
        <v>22.769807193425653</v>
      </c>
      <c r="AY35" s="11">
        <v>22.839750014846285</v>
      </c>
      <c r="AZ35" s="11">
        <v>22.713748663769724</v>
      </c>
      <c r="BA35" s="12">
        <f t="shared" si="7"/>
        <v>23.242241452753913</v>
      </c>
      <c r="BB35" s="13">
        <f t="shared" si="3"/>
        <v>18.551868035558428</v>
      </c>
      <c r="BC35" s="16">
        <f t="shared" si="8"/>
        <v>21.237965273692112</v>
      </c>
    </row>
    <row r="36" spans="1:55" ht="15" x14ac:dyDescent="0.25">
      <c r="A36" s="15">
        <v>28</v>
      </c>
      <c r="B36" s="11">
        <v>22.6</v>
      </c>
      <c r="C36" s="11">
        <v>24.2</v>
      </c>
      <c r="D36" s="11">
        <v>26.4</v>
      </c>
      <c r="E36" s="11">
        <v>28</v>
      </c>
      <c r="F36" s="11">
        <v>28.7</v>
      </c>
      <c r="G36" s="11">
        <v>30.2</v>
      </c>
      <c r="H36" s="11">
        <v>30.6</v>
      </c>
      <c r="I36" s="11">
        <v>30.1</v>
      </c>
      <c r="J36" s="11">
        <v>29.4</v>
      </c>
      <c r="K36" s="11">
        <v>28.3</v>
      </c>
      <c r="L36" s="11">
        <v>27.2</v>
      </c>
      <c r="M36" s="11">
        <v>26</v>
      </c>
      <c r="N36" s="11">
        <v>25</v>
      </c>
      <c r="O36" s="12">
        <f t="shared" si="4"/>
        <v>30.6</v>
      </c>
      <c r="P36" s="13">
        <f t="shared" si="0"/>
        <v>22.6</v>
      </c>
      <c r="Q36" s="16">
        <f t="shared" si="5"/>
        <v>27.438461538461532</v>
      </c>
      <c r="T36" s="15">
        <v>28</v>
      </c>
      <c r="U36" s="11">
        <v>21.9</v>
      </c>
      <c r="V36" s="11">
        <v>23</v>
      </c>
      <c r="W36" s="11">
        <v>24.2</v>
      </c>
      <c r="X36" s="11">
        <v>24.4</v>
      </c>
      <c r="Y36" s="11">
        <v>24.5</v>
      </c>
      <c r="Z36" s="11">
        <v>24.6</v>
      </c>
      <c r="AA36" s="11">
        <v>24.8</v>
      </c>
      <c r="AB36" s="11">
        <v>25.4</v>
      </c>
      <c r="AC36" s="11">
        <v>25.2</v>
      </c>
      <c r="AD36" s="11">
        <v>24.2</v>
      </c>
      <c r="AE36" s="11">
        <v>24.1</v>
      </c>
      <c r="AF36" s="11">
        <v>24</v>
      </c>
      <c r="AG36" s="11">
        <v>23.3</v>
      </c>
      <c r="AH36" s="12">
        <f t="shared" si="1"/>
        <v>25.4</v>
      </c>
      <c r="AI36" s="13">
        <f t="shared" si="2"/>
        <v>21.9</v>
      </c>
      <c r="AJ36" s="16">
        <f t="shared" si="6"/>
        <v>24.123076923076926</v>
      </c>
      <c r="AM36" s="15">
        <v>28</v>
      </c>
      <c r="AN36" s="11">
        <v>21.449269149866719</v>
      </c>
      <c r="AO36" s="11">
        <v>22.330168592037214</v>
      </c>
      <c r="AP36" s="11">
        <v>23.109032442757304</v>
      </c>
      <c r="AQ36" s="11">
        <v>22.668616177039841</v>
      </c>
      <c r="AR36" s="11">
        <v>22.493170810159956</v>
      </c>
      <c r="AS36" s="11">
        <v>21.926992488235253</v>
      </c>
      <c r="AT36" s="11">
        <v>22.058366904828024</v>
      </c>
      <c r="AU36" s="11">
        <v>23.257484343510711</v>
      </c>
      <c r="AV36" s="11">
        <v>23.265416041293889</v>
      </c>
      <c r="AW36" s="11">
        <v>22.209701918786376</v>
      </c>
      <c r="AX36" s="11">
        <v>22.58062006284025</v>
      </c>
      <c r="AY36" s="11">
        <v>22.991501967304046</v>
      </c>
      <c r="AZ36" s="11">
        <v>22.400885909362238</v>
      </c>
      <c r="BA36" s="12">
        <f t="shared" si="7"/>
        <v>23.265416041293889</v>
      </c>
      <c r="BB36" s="13">
        <f t="shared" si="3"/>
        <v>21.449269149866719</v>
      </c>
      <c r="BC36" s="16">
        <f t="shared" si="8"/>
        <v>22.51855590830937</v>
      </c>
    </row>
    <row r="37" spans="1:55" ht="15" x14ac:dyDescent="0.25">
      <c r="A37" s="15">
        <v>29</v>
      </c>
      <c r="B37" s="11">
        <v>21.6</v>
      </c>
      <c r="C37" s="11">
        <v>23.7</v>
      </c>
      <c r="D37" s="11">
        <v>25.4</v>
      </c>
      <c r="E37" s="11">
        <v>27</v>
      </c>
      <c r="F37" s="11">
        <v>28.4</v>
      </c>
      <c r="G37" s="11">
        <v>29.7</v>
      </c>
      <c r="H37" s="11">
        <v>30</v>
      </c>
      <c r="I37" s="11">
        <v>30</v>
      </c>
      <c r="J37" s="11">
        <v>29.4</v>
      </c>
      <c r="K37" s="11">
        <v>28.4</v>
      </c>
      <c r="L37" s="11">
        <v>27.8</v>
      </c>
      <c r="M37" s="11">
        <v>26</v>
      </c>
      <c r="N37" s="11">
        <v>25.4</v>
      </c>
      <c r="O37" s="12">
        <f t="shared" si="4"/>
        <v>30</v>
      </c>
      <c r="P37" s="13">
        <f t="shared" si="0"/>
        <v>21.6</v>
      </c>
      <c r="Q37" s="16">
        <f t="shared" si="5"/>
        <v>27.138461538461534</v>
      </c>
      <c r="T37" s="15">
        <v>29</v>
      </c>
      <c r="U37" s="11">
        <v>21.2</v>
      </c>
      <c r="V37" s="11">
        <v>22.3</v>
      </c>
      <c r="W37" s="11">
        <v>23.2</v>
      </c>
      <c r="X37" s="11">
        <v>23.4</v>
      </c>
      <c r="Y37" s="11">
        <v>24.2</v>
      </c>
      <c r="Z37" s="11">
        <v>25</v>
      </c>
      <c r="AA37" s="11">
        <v>24.4</v>
      </c>
      <c r="AB37" s="11">
        <v>25.2</v>
      </c>
      <c r="AC37" s="11">
        <v>24.7</v>
      </c>
      <c r="AD37" s="11">
        <v>23.8</v>
      </c>
      <c r="AE37" s="11">
        <v>23.8</v>
      </c>
      <c r="AF37" s="11">
        <v>23.6</v>
      </c>
      <c r="AG37" s="11">
        <v>23.4</v>
      </c>
      <c r="AH37" s="12">
        <f t="shared" si="1"/>
        <v>25.2</v>
      </c>
      <c r="AI37" s="13">
        <f t="shared" si="2"/>
        <v>21.2</v>
      </c>
      <c r="AJ37" s="16">
        <f t="shared" si="6"/>
        <v>23.707692307692305</v>
      </c>
      <c r="AM37" s="15">
        <v>29</v>
      </c>
      <c r="AN37" s="11">
        <v>20.892361803794628</v>
      </c>
      <c r="AO37" s="11">
        <v>21.507785109218418</v>
      </c>
      <c r="AP37" s="11">
        <v>22.053712651913379</v>
      </c>
      <c r="AQ37" s="11">
        <v>21.575871494878008</v>
      </c>
      <c r="AR37" s="11">
        <v>22.161158941710486</v>
      </c>
      <c r="AS37" s="11">
        <v>22.811767552763925</v>
      </c>
      <c r="AT37" s="11">
        <v>21.697718679692752</v>
      </c>
      <c r="AU37" s="11">
        <v>22.988313287442271</v>
      </c>
      <c r="AV37" s="11">
        <v>22.476662594288822</v>
      </c>
      <c r="AW37" s="11">
        <v>21.517322869634658</v>
      </c>
      <c r="AX37" s="11">
        <v>21.816730172619572</v>
      </c>
      <c r="AY37" s="11">
        <v>22.380428406468425</v>
      </c>
      <c r="AZ37" s="11">
        <v>22.361484869154971</v>
      </c>
      <c r="BA37" s="12">
        <f t="shared" si="7"/>
        <v>22.988313287442271</v>
      </c>
      <c r="BB37" s="13">
        <f t="shared" si="3"/>
        <v>20.892361803794628</v>
      </c>
      <c r="BC37" s="16">
        <f t="shared" si="8"/>
        <v>22.01856295642926</v>
      </c>
    </row>
    <row r="38" spans="1:55" ht="15" x14ac:dyDescent="0.25">
      <c r="A38" s="15">
        <v>30</v>
      </c>
      <c r="B38" s="11">
        <v>23</v>
      </c>
      <c r="C38" s="11">
        <v>24</v>
      </c>
      <c r="D38" s="11">
        <v>26</v>
      </c>
      <c r="E38" s="11">
        <v>26.7</v>
      </c>
      <c r="F38" s="11">
        <v>28.4</v>
      </c>
      <c r="G38" s="11">
        <v>29.4</v>
      </c>
      <c r="H38" s="11">
        <v>30</v>
      </c>
      <c r="I38" s="11">
        <v>30</v>
      </c>
      <c r="J38" s="11">
        <v>29.7</v>
      </c>
      <c r="K38" s="11">
        <v>28.5</v>
      </c>
      <c r="L38" s="11">
        <v>26.8</v>
      </c>
      <c r="M38" s="11">
        <v>25.6</v>
      </c>
      <c r="N38" s="11">
        <v>24.8</v>
      </c>
      <c r="O38" s="12">
        <f t="shared" si="4"/>
        <v>30</v>
      </c>
      <c r="P38" s="13">
        <f t="shared" si="0"/>
        <v>23</v>
      </c>
      <c r="Q38" s="16">
        <f t="shared" si="5"/>
        <v>27.146153846153847</v>
      </c>
      <c r="T38" s="15">
        <v>30</v>
      </c>
      <c r="U38" s="11">
        <v>21.8</v>
      </c>
      <c r="V38" s="11">
        <v>22.2</v>
      </c>
      <c r="W38" s="11">
        <v>23.1</v>
      </c>
      <c r="X38" s="11">
        <v>23.3</v>
      </c>
      <c r="Y38" s="11">
        <v>23.7</v>
      </c>
      <c r="Z38" s="11">
        <v>23.7</v>
      </c>
      <c r="AA38" s="11">
        <v>24.2</v>
      </c>
      <c r="AB38" s="11">
        <v>24.3</v>
      </c>
      <c r="AC38" s="11">
        <v>24.6</v>
      </c>
      <c r="AD38" s="11">
        <v>23.3</v>
      </c>
      <c r="AE38" s="11">
        <v>23.2</v>
      </c>
      <c r="AF38" s="11">
        <v>22.9</v>
      </c>
      <c r="AG38" s="11">
        <v>21.7</v>
      </c>
      <c r="AH38" s="12">
        <f t="shared" si="1"/>
        <v>24.6</v>
      </c>
      <c r="AI38" s="13">
        <f t="shared" si="2"/>
        <v>21.7</v>
      </c>
      <c r="AJ38" s="16">
        <f t="shared" si="6"/>
        <v>23.230769230769226</v>
      </c>
      <c r="AM38" s="15">
        <v>30</v>
      </c>
      <c r="AN38" s="11">
        <v>21.09184168384748</v>
      </c>
      <c r="AO38" s="11">
        <v>21.20048601042123</v>
      </c>
      <c r="AP38" s="11">
        <v>21.600686315847177</v>
      </c>
      <c r="AQ38" s="11">
        <v>21.566858861312522</v>
      </c>
      <c r="AR38" s="11">
        <v>21.354340552923322</v>
      </c>
      <c r="AS38" s="11">
        <v>20.839881148537017</v>
      </c>
      <c r="AT38" s="11">
        <v>21.366887025155211</v>
      </c>
      <c r="AU38" s="11">
        <v>21.532732680700015</v>
      </c>
      <c r="AV38" s="11">
        <v>22.1714776017124</v>
      </c>
      <c r="AW38" s="11">
        <v>20.64125484485303</v>
      </c>
      <c r="AX38" s="11">
        <v>21.356569638730033</v>
      </c>
      <c r="AY38" s="11">
        <v>21.486176608450648</v>
      </c>
      <c r="AZ38" s="11">
        <v>19.978432804240207</v>
      </c>
      <c r="BA38" s="12">
        <f t="shared" si="7"/>
        <v>22.1714776017124</v>
      </c>
      <c r="BB38" s="13">
        <f t="shared" si="3"/>
        <v>19.978432804240207</v>
      </c>
      <c r="BC38" s="16">
        <f t="shared" si="8"/>
        <v>21.245201982825407</v>
      </c>
    </row>
    <row r="39" spans="1:55" ht="15.6" thickBot="1" x14ac:dyDescent="0.3">
      <c r="A39" s="15">
        <v>31</v>
      </c>
      <c r="B39" s="11">
        <v>21.2</v>
      </c>
      <c r="C39" s="11">
        <v>23.8</v>
      </c>
      <c r="D39" s="11">
        <v>25.4</v>
      </c>
      <c r="E39" s="11">
        <v>27.9</v>
      </c>
      <c r="F39" s="11">
        <v>28.6</v>
      </c>
      <c r="G39" s="11">
        <v>29.3</v>
      </c>
      <c r="H39" s="11">
        <v>29.2</v>
      </c>
      <c r="I39" s="11">
        <v>29.8</v>
      </c>
      <c r="J39" s="11">
        <v>29.5</v>
      </c>
      <c r="K39" s="11">
        <v>28.5</v>
      </c>
      <c r="L39" s="11">
        <v>27.4</v>
      </c>
      <c r="M39" s="11">
        <v>26.2</v>
      </c>
      <c r="N39" s="11">
        <v>25.4</v>
      </c>
      <c r="O39" s="17">
        <f t="shared" si="4"/>
        <v>29.8</v>
      </c>
      <c r="P39" s="18">
        <f t="shared" si="0"/>
        <v>21.2</v>
      </c>
      <c r="Q39" s="19">
        <f t="shared" si="5"/>
        <v>27.092307692307692</v>
      </c>
      <c r="T39" s="15">
        <v>31</v>
      </c>
      <c r="U39" s="11">
        <v>20.2</v>
      </c>
      <c r="V39" s="11">
        <v>21.8</v>
      </c>
      <c r="W39" s="11">
        <v>22.5</v>
      </c>
      <c r="X39" s="11">
        <v>23.2</v>
      </c>
      <c r="Y39" s="11">
        <v>23.8</v>
      </c>
      <c r="Z39" s="11">
        <v>24.2</v>
      </c>
      <c r="AA39" s="11">
        <v>24.2</v>
      </c>
      <c r="AB39" s="11">
        <v>24.6</v>
      </c>
      <c r="AC39" s="11">
        <v>24.6</v>
      </c>
      <c r="AD39" s="11">
        <v>24.2</v>
      </c>
      <c r="AE39" s="11">
        <v>23.8</v>
      </c>
      <c r="AF39" s="11">
        <v>22.8</v>
      </c>
      <c r="AG39" s="11">
        <v>23</v>
      </c>
      <c r="AH39" s="12">
        <f t="shared" si="1"/>
        <v>24.6</v>
      </c>
      <c r="AI39" s="20">
        <f t="shared" si="2"/>
        <v>20.2</v>
      </c>
      <c r="AJ39" s="19">
        <f t="shared" si="6"/>
        <v>23.299999999999997</v>
      </c>
      <c r="AM39" s="15">
        <v>31</v>
      </c>
      <c r="AN39" s="11">
        <v>19.548191753661882</v>
      </c>
      <c r="AO39" s="11">
        <v>20.675572534002853</v>
      </c>
      <c r="AP39" s="11">
        <v>20.953415304456072</v>
      </c>
      <c r="AQ39" s="11">
        <v>20.789959776328534</v>
      </c>
      <c r="AR39" s="11">
        <v>21.416446175167959</v>
      </c>
      <c r="AS39" s="11">
        <v>21.718531189331355</v>
      </c>
      <c r="AT39" s="11">
        <v>21.768231046044811</v>
      </c>
      <c r="AU39" s="11">
        <v>22.122834462404985</v>
      </c>
      <c r="AV39" s="11">
        <v>22.268387984669609</v>
      </c>
      <c r="AW39" s="11">
        <v>22.112490289433367</v>
      </c>
      <c r="AX39" s="11">
        <v>22.013710163189856</v>
      </c>
      <c r="AY39" s="11">
        <v>21.020779142687349</v>
      </c>
      <c r="AZ39" s="11">
        <v>21.743085824045714</v>
      </c>
      <c r="BA39" s="12">
        <f t="shared" si="7"/>
        <v>22.268387984669609</v>
      </c>
      <c r="BB39" s="18">
        <f t="shared" si="3"/>
        <v>19.548191753661882</v>
      </c>
      <c r="BC39" s="19">
        <f t="shared" si="8"/>
        <v>21.39627966503264</v>
      </c>
    </row>
    <row r="40" spans="1:55" ht="15.6" thickTop="1" x14ac:dyDescent="0.25">
      <c r="A40" s="21" t="s">
        <v>25</v>
      </c>
      <c r="B40" s="22">
        <f t="shared" ref="B40:Q40" si="9">MAX(B9:B39)</f>
        <v>24.8</v>
      </c>
      <c r="C40" s="22">
        <f t="shared" si="9"/>
        <v>26.3</v>
      </c>
      <c r="D40" s="22">
        <f t="shared" si="9"/>
        <v>28.1</v>
      </c>
      <c r="E40" s="22">
        <f t="shared" si="9"/>
        <v>30</v>
      </c>
      <c r="F40" s="22">
        <f t="shared" si="9"/>
        <v>30.6</v>
      </c>
      <c r="G40" s="22">
        <f t="shared" si="9"/>
        <v>31</v>
      </c>
      <c r="H40" s="22">
        <f t="shared" si="9"/>
        <v>31.6</v>
      </c>
      <c r="I40" s="22">
        <f t="shared" si="9"/>
        <v>31.8</v>
      </c>
      <c r="J40" s="22">
        <f t="shared" si="9"/>
        <v>31.7</v>
      </c>
      <c r="K40" s="22">
        <f t="shared" si="9"/>
        <v>31.8</v>
      </c>
      <c r="L40" s="22">
        <f t="shared" si="9"/>
        <v>30</v>
      </c>
      <c r="M40" s="22">
        <f t="shared" si="9"/>
        <v>28</v>
      </c>
      <c r="N40" s="22">
        <f t="shared" si="9"/>
        <v>26.9</v>
      </c>
      <c r="O40" s="12">
        <f t="shared" si="9"/>
        <v>31.8</v>
      </c>
      <c r="P40" s="23">
        <f t="shared" si="9"/>
        <v>24.8</v>
      </c>
      <c r="Q40" s="24">
        <f t="shared" si="9"/>
        <v>29.030769230769234</v>
      </c>
      <c r="T40" s="21" t="s">
        <v>25</v>
      </c>
      <c r="U40" s="22">
        <f t="shared" ref="U40:AJ40" si="10">MAX(U9:U39)</f>
        <v>24</v>
      </c>
      <c r="V40" s="22">
        <f t="shared" si="10"/>
        <v>24.3</v>
      </c>
      <c r="W40" s="22">
        <f t="shared" si="10"/>
        <v>25</v>
      </c>
      <c r="X40" s="22">
        <f t="shared" si="10"/>
        <v>25.4</v>
      </c>
      <c r="Y40" s="22">
        <f t="shared" si="10"/>
        <v>25.6</v>
      </c>
      <c r="Z40" s="22">
        <f t="shared" si="10"/>
        <v>26</v>
      </c>
      <c r="AA40" s="22">
        <f t="shared" si="10"/>
        <v>26.8</v>
      </c>
      <c r="AB40" s="22">
        <f t="shared" si="10"/>
        <v>27.1</v>
      </c>
      <c r="AC40" s="22">
        <f t="shared" si="10"/>
        <v>25.9</v>
      </c>
      <c r="AD40" s="22">
        <f t="shared" si="10"/>
        <v>26</v>
      </c>
      <c r="AE40" s="22">
        <f t="shared" si="10"/>
        <v>26.4</v>
      </c>
      <c r="AF40" s="22">
        <f t="shared" si="10"/>
        <v>26.3</v>
      </c>
      <c r="AG40" s="22">
        <f t="shared" si="10"/>
        <v>25.7</v>
      </c>
      <c r="AH40" s="25">
        <f t="shared" si="10"/>
        <v>27.1</v>
      </c>
      <c r="AI40" s="23">
        <f t="shared" si="10"/>
        <v>24</v>
      </c>
      <c r="AJ40" s="24">
        <f t="shared" si="10"/>
        <v>25.423076923076923</v>
      </c>
      <c r="AM40" s="21" t="s">
        <v>25</v>
      </c>
      <c r="AN40" s="22">
        <f t="shared" ref="AN40:BC40" si="11">MAX(AN9:AN39)</f>
        <v>23.541582806104632</v>
      </c>
      <c r="AO40" s="22">
        <f t="shared" si="11"/>
        <v>23.475269202586603</v>
      </c>
      <c r="AP40" s="22">
        <f t="shared" si="11"/>
        <v>23.950825647173037</v>
      </c>
      <c r="AQ40" s="22">
        <f t="shared" si="11"/>
        <v>24.04720732609967</v>
      </c>
      <c r="AR40" s="22">
        <f t="shared" si="11"/>
        <v>23.640370879653982</v>
      </c>
      <c r="AS40" s="22">
        <f t="shared" si="11"/>
        <v>23.835018908079892</v>
      </c>
      <c r="AT40" s="22">
        <f t="shared" si="11"/>
        <v>26.076626053025738</v>
      </c>
      <c r="AU40" s="22">
        <f t="shared" si="11"/>
        <v>25.427593939938845</v>
      </c>
      <c r="AV40" s="22">
        <f t="shared" si="11"/>
        <v>24.580817888895325</v>
      </c>
      <c r="AW40" s="22">
        <f t="shared" si="11"/>
        <v>24.920143789821459</v>
      </c>
      <c r="AX40" s="22">
        <f t="shared" si="11"/>
        <v>24.836802408045006</v>
      </c>
      <c r="AY40" s="22">
        <f t="shared" si="11"/>
        <v>25.519291837086154</v>
      </c>
      <c r="AZ40" s="22">
        <f t="shared" si="11"/>
        <v>25.148253476740489</v>
      </c>
      <c r="BA40" s="12">
        <f t="shared" si="11"/>
        <v>26.076626053025738</v>
      </c>
      <c r="BB40" s="23">
        <f t="shared" si="11"/>
        <v>23.196271327670441</v>
      </c>
      <c r="BC40" s="24">
        <f t="shared" si="11"/>
        <v>23.894410287620317</v>
      </c>
    </row>
    <row r="41" spans="1:55" ht="15" x14ac:dyDescent="0.25">
      <c r="A41" s="15" t="s">
        <v>26</v>
      </c>
      <c r="B41" s="26">
        <f t="shared" ref="B41:Q41" si="12">MIN(B9:B39)</f>
        <v>20.5</v>
      </c>
      <c r="C41" s="26">
        <f t="shared" si="12"/>
        <v>23.1</v>
      </c>
      <c r="D41" s="26">
        <f t="shared" si="12"/>
        <v>24.6</v>
      </c>
      <c r="E41" s="26">
        <f t="shared" si="12"/>
        <v>25.3</v>
      </c>
      <c r="F41" s="26">
        <f t="shared" si="12"/>
        <v>25.6</v>
      </c>
      <c r="G41" s="26">
        <f t="shared" si="12"/>
        <v>26</v>
      </c>
      <c r="H41" s="26">
        <f t="shared" si="12"/>
        <v>26.5</v>
      </c>
      <c r="I41" s="26">
        <f t="shared" si="12"/>
        <v>27.2</v>
      </c>
      <c r="J41" s="26">
        <f t="shared" si="12"/>
        <v>25.4</v>
      </c>
      <c r="K41" s="26">
        <f t="shared" si="12"/>
        <v>22.4</v>
      </c>
      <c r="L41" s="26">
        <f t="shared" si="12"/>
        <v>23.6</v>
      </c>
      <c r="M41" s="26">
        <f t="shared" si="12"/>
        <v>23.6</v>
      </c>
      <c r="N41" s="26">
        <f t="shared" si="12"/>
        <v>23.8</v>
      </c>
      <c r="O41" s="27">
        <f t="shared" si="12"/>
        <v>27.2</v>
      </c>
      <c r="P41" s="26">
        <f t="shared" si="12"/>
        <v>20.5</v>
      </c>
      <c r="Q41" s="28">
        <f t="shared" si="12"/>
        <v>25.499999999999996</v>
      </c>
      <c r="T41" s="15" t="s">
        <v>26</v>
      </c>
      <c r="U41" s="26">
        <f t="shared" ref="U41:AJ41" si="13">MIN(U9:U39)</f>
        <v>18.399999999999999</v>
      </c>
      <c r="V41" s="26">
        <f t="shared" si="13"/>
        <v>20.100000000000001</v>
      </c>
      <c r="W41" s="26">
        <f t="shared" si="13"/>
        <v>20.399999999999999</v>
      </c>
      <c r="X41" s="26">
        <f t="shared" si="13"/>
        <v>20.6</v>
      </c>
      <c r="Y41" s="26">
        <f t="shared" si="13"/>
        <v>20.3</v>
      </c>
      <c r="Z41" s="26">
        <f t="shared" si="13"/>
        <v>21.3</v>
      </c>
      <c r="AA41" s="26">
        <f t="shared" si="13"/>
        <v>21</v>
      </c>
      <c r="AB41" s="26">
        <f t="shared" si="13"/>
        <v>21.4</v>
      </c>
      <c r="AC41" s="26">
        <f t="shared" si="13"/>
        <v>21.4</v>
      </c>
      <c r="AD41" s="26">
        <f t="shared" si="13"/>
        <v>21.2</v>
      </c>
      <c r="AE41" s="26">
        <f t="shared" si="13"/>
        <v>20.8</v>
      </c>
      <c r="AF41" s="26">
        <f t="shared" si="13"/>
        <v>20.2</v>
      </c>
      <c r="AG41" s="26">
        <f t="shared" si="13"/>
        <v>20</v>
      </c>
      <c r="AH41" s="27">
        <f t="shared" si="13"/>
        <v>21.4</v>
      </c>
      <c r="AI41" s="26">
        <f t="shared" si="13"/>
        <v>18.399999999999999</v>
      </c>
      <c r="AJ41" s="28">
        <f t="shared" si="13"/>
        <v>20.653846153846153</v>
      </c>
      <c r="AM41" s="15" t="s">
        <v>26</v>
      </c>
      <c r="AN41" s="26">
        <f t="shared" ref="AN41:BC41" si="14">MIN(AN9:AN39)</f>
        <v>16.995992330159833</v>
      </c>
      <c r="AO41" s="26">
        <f t="shared" si="14"/>
        <v>18.043079819846305</v>
      </c>
      <c r="AP41" s="26">
        <f t="shared" si="14"/>
        <v>17.079236947287662</v>
      </c>
      <c r="AQ41" s="26">
        <f t="shared" si="14"/>
        <v>16.739474083286197</v>
      </c>
      <c r="AR41" s="26">
        <f t="shared" si="14"/>
        <v>15.621809806964336</v>
      </c>
      <c r="AS41" s="26">
        <f t="shared" si="14"/>
        <v>16.767391652468955</v>
      </c>
      <c r="AT41" s="26">
        <f t="shared" si="14"/>
        <v>16.048291774323804</v>
      </c>
      <c r="AU41" s="26">
        <f t="shared" si="14"/>
        <v>16.568168527103442</v>
      </c>
      <c r="AV41" s="26">
        <f t="shared" si="14"/>
        <v>16.95924516411883</v>
      </c>
      <c r="AW41" s="26">
        <f t="shared" si="14"/>
        <v>16.835731434304584</v>
      </c>
      <c r="AX41" s="26">
        <f t="shared" si="14"/>
        <v>17.113148573522995</v>
      </c>
      <c r="AY41" s="26">
        <f t="shared" si="14"/>
        <v>16.512943003651291</v>
      </c>
      <c r="AZ41" s="26">
        <f t="shared" si="14"/>
        <v>17.685725753632511</v>
      </c>
      <c r="BA41" s="27">
        <f t="shared" si="14"/>
        <v>19.121029195522599</v>
      </c>
      <c r="BB41" s="26">
        <f t="shared" si="14"/>
        <v>15.621809806964336</v>
      </c>
      <c r="BC41" s="28">
        <f t="shared" si="14"/>
        <v>17.028898370840999</v>
      </c>
    </row>
    <row r="42" spans="1:55" ht="15.6" thickBot="1" x14ac:dyDescent="0.3">
      <c r="A42" s="29" t="s">
        <v>27</v>
      </c>
      <c r="B42" s="18">
        <f t="shared" ref="B42:Q42" si="15">AVERAGE(B9:B39)</f>
        <v>23.093548387096774</v>
      </c>
      <c r="C42" s="18">
        <f t="shared" si="15"/>
        <v>24.735483870967748</v>
      </c>
      <c r="D42" s="18">
        <f t="shared" si="15"/>
        <v>26.264516129032252</v>
      </c>
      <c r="E42" s="18">
        <f t="shared" si="15"/>
        <v>27.56129032258065</v>
      </c>
      <c r="F42" s="18">
        <f t="shared" si="15"/>
        <v>28.587096774193544</v>
      </c>
      <c r="G42" s="18">
        <f t="shared" si="15"/>
        <v>29.364516129032257</v>
      </c>
      <c r="H42" s="18">
        <f t="shared" si="15"/>
        <v>29.64193548387097</v>
      </c>
      <c r="I42" s="18">
        <f t="shared" si="15"/>
        <v>29.71612903225807</v>
      </c>
      <c r="J42" s="18">
        <f t="shared" si="15"/>
        <v>28.848387096774193</v>
      </c>
      <c r="K42" s="18">
        <f t="shared" si="15"/>
        <v>28.148387096774197</v>
      </c>
      <c r="L42" s="18">
        <f t="shared" si="15"/>
        <v>27.193548387096772</v>
      </c>
      <c r="M42" s="18">
        <f t="shared" si="15"/>
        <v>26.196774193548396</v>
      </c>
      <c r="N42" s="18">
        <f t="shared" si="15"/>
        <v>25.541935483870965</v>
      </c>
      <c r="O42" s="17">
        <f t="shared" si="15"/>
        <v>30.016129032258061</v>
      </c>
      <c r="P42" s="18">
        <f t="shared" si="15"/>
        <v>23.080645161290324</v>
      </c>
      <c r="Q42" s="19">
        <f t="shared" si="15"/>
        <v>27.299503722084374</v>
      </c>
      <c r="T42" s="29" t="s">
        <v>27</v>
      </c>
      <c r="U42" s="18">
        <f t="shared" ref="U42:AJ42" si="16">AVERAGE(U9:U39)</f>
        <v>21.893548387096772</v>
      </c>
      <c r="V42" s="18">
        <f t="shared" si="16"/>
        <v>22.703225806451616</v>
      </c>
      <c r="W42" s="18">
        <f t="shared" si="16"/>
        <v>23.167741935483871</v>
      </c>
      <c r="X42" s="18">
        <f t="shared" si="16"/>
        <v>23.580645161290324</v>
      </c>
      <c r="Y42" s="18">
        <f t="shared" si="16"/>
        <v>23.91935483870968</v>
      </c>
      <c r="Z42" s="18">
        <f t="shared" si="16"/>
        <v>24.193548387096779</v>
      </c>
      <c r="AA42" s="18">
        <f t="shared" si="16"/>
        <v>24.400000000000002</v>
      </c>
      <c r="AB42" s="18">
        <f t="shared" si="16"/>
        <v>24.56451612903226</v>
      </c>
      <c r="AC42" s="18">
        <f t="shared" si="16"/>
        <v>24.312903225806455</v>
      </c>
      <c r="AD42" s="18">
        <f t="shared" si="16"/>
        <v>24.003225806451606</v>
      </c>
      <c r="AE42" s="18">
        <f t="shared" si="16"/>
        <v>23.780645161290316</v>
      </c>
      <c r="AF42" s="18">
        <f t="shared" si="16"/>
        <v>23.587096774193547</v>
      </c>
      <c r="AG42" s="18">
        <f t="shared" si="16"/>
        <v>23.390322580645162</v>
      </c>
      <c r="AH42" s="17">
        <f t="shared" si="16"/>
        <v>24.880645161290325</v>
      </c>
      <c r="AI42" s="18">
        <f t="shared" si="16"/>
        <v>21.8</v>
      </c>
      <c r="AJ42" s="19">
        <f t="shared" si="16"/>
        <v>23.653598014888338</v>
      </c>
      <c r="AM42" s="29" t="s">
        <v>27</v>
      </c>
      <c r="AN42" s="18">
        <f t="shared" ref="AN42:BC42" si="17">AVERAGE(AN9:AN39)</f>
        <v>21.173086144804916</v>
      </c>
      <c r="AO42" s="18">
        <f t="shared" si="17"/>
        <v>21.596038268712611</v>
      </c>
      <c r="AP42" s="18">
        <f t="shared" si="17"/>
        <v>21.545824000938051</v>
      </c>
      <c r="AQ42" s="18">
        <f t="shared" si="17"/>
        <v>21.550536852459462</v>
      </c>
      <c r="AR42" s="18">
        <f t="shared" si="17"/>
        <v>21.584127063791772</v>
      </c>
      <c r="AS42" s="18">
        <f t="shared" si="17"/>
        <v>21.645391763620726</v>
      </c>
      <c r="AT42" s="18">
        <f t="shared" si="17"/>
        <v>21.8299690880242</v>
      </c>
      <c r="AU42" s="18">
        <f t="shared" si="17"/>
        <v>22.068557667671573</v>
      </c>
      <c r="AV42" s="18">
        <f t="shared" si="17"/>
        <v>22.083466464839812</v>
      </c>
      <c r="AW42" s="18">
        <f t="shared" si="17"/>
        <v>21.932686353389414</v>
      </c>
      <c r="AX42" s="18">
        <f t="shared" si="17"/>
        <v>22.051502455145467</v>
      </c>
      <c r="AY42" s="18">
        <f t="shared" si="17"/>
        <v>22.224409755030806</v>
      </c>
      <c r="AZ42" s="18">
        <f t="shared" si="17"/>
        <v>22.249125617867001</v>
      </c>
      <c r="BA42" s="17">
        <f t="shared" si="17"/>
        <v>23.162504519955728</v>
      </c>
      <c r="BB42" s="18">
        <f t="shared" si="17"/>
        <v>20.391692657975732</v>
      </c>
      <c r="BC42" s="19">
        <f t="shared" si="17"/>
        <v>21.810363192022759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[1]QFF!C42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[1]QFF!C43</f>
        <v>Kepala Stasiun Klimatologi Kelas IV</v>
      </c>
      <c r="N45" s="1" t="str">
        <f>[1]QFF!N43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">
        <v>30</v>
      </c>
      <c r="N46" s="1"/>
      <c r="T46" s="1"/>
      <c r="V46" s="1" t="str">
        <f>C46</f>
        <v>D.I Yogyakarta</v>
      </c>
      <c r="AG46" s="1"/>
      <c r="AM46" s="1"/>
      <c r="AO46" s="1" t="str">
        <f>V46</f>
        <v>D.I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[1]QFF!C49</f>
        <v>RENI KRANINGTYAS, SP, M.Si</v>
      </c>
      <c r="N51" s="30" t="str">
        <f>[1]QFF!N49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[1]QFF!C50</f>
        <v>NIP.  19740203 199703 2 001</v>
      </c>
      <c r="N52" s="1" t="str">
        <f>[1]QFF!N50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59"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Y1:AE1"/>
    <mergeCell ref="AR1:AX1"/>
    <mergeCell ref="G4:K4"/>
    <mergeCell ref="O4:Q4"/>
    <mergeCell ref="Z4:AD4"/>
    <mergeCell ref="AH4:AJ4"/>
    <mergeCell ref="AS4:AW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E90"/>
  <sheetViews>
    <sheetView showGridLines="0" topLeftCell="AF19" zoomScaleNormal="100" zoomScaleSheetLayoutView="100"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93" t="str">
        <f>'[2]input data'!C1136</f>
        <v>STASIUN KLIMATOLOGI KL. IV SLEMAN</v>
      </c>
      <c r="G1" s="93"/>
      <c r="H1" s="93"/>
      <c r="I1" s="93"/>
      <c r="J1" s="93"/>
      <c r="K1" s="93"/>
      <c r="L1" s="93"/>
      <c r="T1" s="1"/>
      <c r="Y1" s="93" t="str">
        <f>F1</f>
        <v>STASIUN KLIMATOLOGI KL. IV SLEMAN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KL. IV SLEMAN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4.25" customHeight="1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4.25" customHeight="1" x14ac:dyDescent="0.25">
      <c r="A4" s="2" t="s">
        <v>4</v>
      </c>
      <c r="C4" s="7"/>
      <c r="D4" s="4" t="str">
        <f>UPPER([2]QFE!C3)</f>
        <v>JANUARI 2022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JANUARI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JANUARI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4.25" customHeight="1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4.25" customHeight="1" thickBot="1" x14ac:dyDescent="0.3">
      <c r="K6" s="2" t="s">
        <v>7</v>
      </c>
      <c r="M6" s="8" t="str">
        <f>'[2]input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4.25" customHeight="1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4.25" customHeight="1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4.25" customHeight="1" thickTop="1" x14ac:dyDescent="0.25">
      <c r="A9" s="10">
        <v>1</v>
      </c>
      <c r="B9" s="11">
        <f>'[2]input data'!E6</f>
        <v>26.2</v>
      </c>
      <c r="C9" s="11">
        <f>'[2]input data'!E7</f>
        <v>27.4</v>
      </c>
      <c r="D9" s="11">
        <f>'[2]input data'!E8</f>
        <v>28.6</v>
      </c>
      <c r="E9" s="11">
        <f>'[2]input data'!E9</f>
        <v>29.2</v>
      </c>
      <c r="F9" s="11">
        <f>'[2]input data'!E10</f>
        <v>30.5</v>
      </c>
      <c r="G9" s="11">
        <f>'[2]input data'!E11</f>
        <v>30.8</v>
      </c>
      <c r="H9" s="11">
        <f>'[2]input data'!E12</f>
        <v>29.4</v>
      </c>
      <c r="I9" s="11">
        <f>'[2]input data'!E13</f>
        <v>29.8</v>
      </c>
      <c r="J9" s="11">
        <f>'[2]input data'!E14</f>
        <v>29</v>
      </c>
      <c r="K9" s="11">
        <f>'[2]input data'!E15</f>
        <v>28.6</v>
      </c>
      <c r="L9" s="11">
        <f>'[2]input data'!E16</f>
        <v>27.4</v>
      </c>
      <c r="M9" s="11">
        <f>'[2]input data'!E17</f>
        <v>27.2</v>
      </c>
      <c r="N9" s="11">
        <f>'[2]input data'!E18</f>
        <v>26.8</v>
      </c>
      <c r="O9" s="12">
        <f t="shared" ref="O9:O39" si="0">MAX(B9:N9)</f>
        <v>30.8</v>
      </c>
      <c r="P9" s="13">
        <f t="shared" ref="P9:P39" si="1">MIN(B9:N9)</f>
        <v>26.2</v>
      </c>
      <c r="Q9" s="14">
        <f>AVERAGE(B9:N9)</f>
        <v>28.530769230769231</v>
      </c>
      <c r="T9" s="10">
        <v>1</v>
      </c>
      <c r="U9" s="11">
        <f>INDEX('[2]input data'!$F$1:$F$1108,U58,1)</f>
        <v>24</v>
      </c>
      <c r="V9" s="11">
        <f>INDEX('[2]input data'!$F$1:$F$1108,V58,1)</f>
        <v>24.2</v>
      </c>
      <c r="W9" s="11">
        <f>INDEX('[2]input data'!$F$1:$F$1108,W58,1)</f>
        <v>24</v>
      </c>
      <c r="X9" s="11">
        <f>INDEX('[2]input data'!$F$1:$F$1108,X58,1)</f>
        <v>24.5</v>
      </c>
      <c r="Y9" s="11">
        <f>INDEX('[2]input data'!$F$1:$F$1108,Y58,1)</f>
        <v>24.8</v>
      </c>
      <c r="Z9" s="11">
        <f>INDEX('[2]input data'!$F$1:$F$1108,Z58,1)</f>
        <v>24.8</v>
      </c>
      <c r="AA9" s="11">
        <f>INDEX('[2]input data'!$F$1:$F$1108,AA58,1)</f>
        <v>24.8</v>
      </c>
      <c r="AB9" s="11">
        <f>INDEX('[2]input data'!$F$1:$F$1108,AB58,1)</f>
        <v>25.4</v>
      </c>
      <c r="AC9" s="11">
        <f>INDEX('[2]input data'!$F$1:$F$1108,AC58,1)</f>
        <v>25.2</v>
      </c>
      <c r="AD9" s="11">
        <f>INDEX('[2]input data'!$F$1:$F$1108,AD58,1)</f>
        <v>25</v>
      </c>
      <c r="AE9" s="11">
        <f>INDEX('[2]input data'!$F$1:$F$1108,AE58,1)</f>
        <v>24.6</v>
      </c>
      <c r="AF9" s="11">
        <f>INDEX('[2]input data'!$F$1:$F$1108,AF58,1)</f>
        <v>24.2</v>
      </c>
      <c r="AG9" s="11">
        <f>INDEX('[2]input data'!$F$1:$F$1108,AG58,1)</f>
        <v>24.2</v>
      </c>
      <c r="AH9" s="12">
        <f t="shared" ref="AH9:AH39" si="2">MAX(U9:AG9)</f>
        <v>25.4</v>
      </c>
      <c r="AI9" s="13">
        <f t="shared" ref="AI9:AI39" si="3">MIN(U9:AG9)</f>
        <v>24</v>
      </c>
      <c r="AJ9" s="14">
        <f>AVERAGE(U9:AG9)</f>
        <v>24.592307692307692</v>
      </c>
      <c r="AM9" s="10">
        <v>1</v>
      </c>
      <c r="AN9" s="11">
        <f>INDEX('[2]input data'!$G$1:$G$1108,AO58,1)</f>
        <v>22.898249002326494</v>
      </c>
      <c r="AO9" s="11">
        <f>INDEX('[2]input data'!$G$1:$G$1108,AP58,1)</f>
        <v>22.64104632271264</v>
      </c>
      <c r="AP9" s="11">
        <f>INDEX('[2]input data'!$G$1:$G$1108,AQ58,1)</f>
        <v>21.741688210998174</v>
      </c>
      <c r="AQ9" s="11">
        <f>INDEX('[2]input data'!$G$1:$G$1108,AR58,1)</f>
        <v>22.25286027093837</v>
      </c>
      <c r="AR9" s="11">
        <f>INDEX('[2]input data'!$G$1:$G$1108,AS58,1)</f>
        <v>22.107177604789719</v>
      </c>
      <c r="AS9" s="11">
        <f>INDEX('[2]input data'!$G$1:$G$1108,AT58,1)</f>
        <v>21.96036328282305</v>
      </c>
      <c r="AT9" s="11">
        <f>INDEX('[2]input data'!$G$1:$G$1108,AU58,1)</f>
        <v>22.635900736480924</v>
      </c>
      <c r="AU9" s="11">
        <f>INDEX('[2]input data'!$G$1:$G$1108,AV58,1)</f>
        <v>23.394590685489504</v>
      </c>
      <c r="AV9" s="11">
        <f>INDEX('[2]input data'!$G$1:$G$1108,AW58,1)</f>
        <v>23.447926951785295</v>
      </c>
      <c r="AW9" s="11">
        <f>INDEX('[2]input data'!$G$1:$G$1108,AX58,1)</f>
        <v>23.321392650725961</v>
      </c>
      <c r="AX9" s="11">
        <f>INDEX('[2]input data'!$G$1:$G$1108,AY58,1)</f>
        <v>23.256970699803183</v>
      </c>
      <c r="AY9" s="11">
        <f>INDEX('[2]input data'!$G$1:$G$1108,AZ58,1)</f>
        <v>22.735575147904516</v>
      </c>
      <c r="AZ9" s="11">
        <f>INDEX('[2]input data'!$G$1:$G$1108,BA58,1)</f>
        <v>22.923225481997395</v>
      </c>
      <c r="BA9" s="12">
        <f t="shared" ref="BA9:BA39" si="4">MAX(AN9:AZ9)</f>
        <v>23.447926951785295</v>
      </c>
      <c r="BB9" s="13">
        <f t="shared" ref="BB9:BB39" si="5">MIN(AN9:AZ9)</f>
        <v>21.741688210998174</v>
      </c>
      <c r="BC9" s="14">
        <f>AVERAGE(AN9:AZ9)</f>
        <v>22.716689772982708</v>
      </c>
    </row>
    <row r="10" spans="1:57" ht="14.25" customHeight="1" x14ac:dyDescent="0.25">
      <c r="A10" s="15">
        <v>2</v>
      </c>
      <c r="B10" s="11">
        <f>'[2]input data'!E42</f>
        <v>25.1</v>
      </c>
      <c r="C10" s="11">
        <f>'[2]input data'!E43</f>
        <v>27</v>
      </c>
      <c r="D10" s="11">
        <f>'[2]input data'!E44</f>
        <v>28.2</v>
      </c>
      <c r="E10" s="11">
        <f>'[2]input data'!E45</f>
        <v>29</v>
      </c>
      <c r="F10" s="11">
        <f>'[2]input data'!E46</f>
        <v>29.3</v>
      </c>
      <c r="G10" s="11">
        <f>'[2]input data'!E47</f>
        <v>29.8</v>
      </c>
      <c r="H10" s="11">
        <f>'[2]input data'!E48</f>
        <v>30.2</v>
      </c>
      <c r="I10" s="11">
        <f>'[2]input data'!E49</f>
        <v>29.6</v>
      </c>
      <c r="J10" s="11">
        <f>'[2]input data'!E50</f>
        <v>28.8</v>
      </c>
      <c r="K10" s="11">
        <f>'[2]input data'!E51</f>
        <v>28.4</v>
      </c>
      <c r="L10" s="11">
        <f>'[2]input data'!E52</f>
        <v>27.8</v>
      </c>
      <c r="M10" s="11">
        <f>'[2]input data'!E53</f>
        <v>26.9</v>
      </c>
      <c r="N10" s="11">
        <f>'[2]input data'!E54</f>
        <v>26.3</v>
      </c>
      <c r="O10" s="12">
        <f t="shared" si="0"/>
        <v>30.2</v>
      </c>
      <c r="P10" s="13">
        <f t="shared" si="1"/>
        <v>25.1</v>
      </c>
      <c r="Q10" s="16">
        <f t="shared" ref="Q10:Q39" si="6">AVERAGE(B10:N10)</f>
        <v>28.184615384615384</v>
      </c>
      <c r="T10" s="15">
        <v>2</v>
      </c>
      <c r="U10" s="11">
        <f>INDEX('[2]input data'!$F$1:$F$1108,U59,1)</f>
        <v>24.4</v>
      </c>
      <c r="V10" s="11">
        <f>INDEX('[2]input data'!$F$1:$F$1108,V59,1)</f>
        <v>24.6</v>
      </c>
      <c r="W10" s="11">
        <f>INDEX('[2]input data'!$F$1:$F$1108,W59,1)</f>
        <v>24.8</v>
      </c>
      <c r="X10" s="11">
        <f>INDEX('[2]input data'!$F$1:$F$1108,X59,1)</f>
        <v>24.8</v>
      </c>
      <c r="Y10" s="11">
        <f>INDEX('[2]input data'!$F$1:$F$1108,Y59,1)</f>
        <v>25</v>
      </c>
      <c r="Z10" s="11">
        <f>INDEX('[2]input data'!$F$1:$F$1108,Z59,1)</f>
        <v>25</v>
      </c>
      <c r="AA10" s="11">
        <f>INDEX('[2]input data'!$F$1:$F$1108,AA59,1)</f>
        <v>25.6</v>
      </c>
      <c r="AB10" s="11">
        <f>INDEX('[2]input data'!$F$1:$F$1108,AB59,1)</f>
        <v>25.2</v>
      </c>
      <c r="AC10" s="11">
        <f>INDEX('[2]input data'!$F$1:$F$1108,AC59,1)</f>
        <v>25</v>
      </c>
      <c r="AD10" s="11">
        <f>INDEX('[2]input data'!$F$1:$F$1108,AD59,1)</f>
        <v>25</v>
      </c>
      <c r="AE10" s="11">
        <f>INDEX('[2]input data'!$F$1:$F$1108,AE59,1)</f>
        <v>24.5</v>
      </c>
      <c r="AF10" s="11">
        <f>INDEX('[2]input data'!$F$1:$F$1108,AF59,1)</f>
        <v>24.4</v>
      </c>
      <c r="AG10" s="11">
        <f>INDEX('[2]input data'!$F$1:$F$1108,AG59,1)</f>
        <v>24.4</v>
      </c>
      <c r="AH10" s="12">
        <f t="shared" si="2"/>
        <v>25.6</v>
      </c>
      <c r="AI10" s="13">
        <f t="shared" si="3"/>
        <v>24.4</v>
      </c>
      <c r="AJ10" s="16">
        <f t="shared" ref="AJ10:AJ39" si="7">AVERAGE(U10:AG10)</f>
        <v>24.823076923076918</v>
      </c>
      <c r="AM10" s="15">
        <v>2</v>
      </c>
      <c r="AN10" s="11">
        <f>INDEX('[2]input data'!$G$1:$G$1108,AO59,1)</f>
        <v>23.993318566443666</v>
      </c>
      <c r="AO10" s="11">
        <f>INDEX('[2]input data'!$G$1:$G$1108,AP59,1)</f>
        <v>23.439555090650348</v>
      </c>
      <c r="AP10" s="11">
        <f>INDEX('[2]input data'!$G$1:$G$1108,AQ59,1)</f>
        <v>23.196283144013933</v>
      </c>
      <c r="AQ10" s="11">
        <f>INDEX('[2]input data'!$G$1:$G$1108,AR59,1)</f>
        <v>22.824546080853771</v>
      </c>
      <c r="AR10" s="11">
        <f>INDEX('[2]input data'!$G$1:$G$1108,AS59,1)</f>
        <v>22.998676685198461</v>
      </c>
      <c r="AS10" s="11">
        <f>INDEX('[2]input data'!$G$1:$G$1108,AT59,1)</f>
        <v>22.764750111093644</v>
      </c>
      <c r="AT10" s="11">
        <f>INDEX('[2]input data'!$G$1:$G$1108,AU59,1)</f>
        <v>23.525167159390978</v>
      </c>
      <c r="AU10" s="11">
        <f>INDEX('[2]input data'!$G$1:$G$1108,AV59,1)</f>
        <v>23.173497959213115</v>
      </c>
      <c r="AV10" s="11">
        <f>INDEX('[2]input data'!$G$1:$G$1108,AW59,1)</f>
        <v>23.229747355809128</v>
      </c>
      <c r="AW10" s="11">
        <f>INDEX('[2]input data'!$G$1:$G$1108,AX59,1)</f>
        <v>23.412597481878489</v>
      </c>
      <c r="AX10" s="11">
        <f>INDEX('[2]input data'!$G$1:$G$1108,AY59,1)</f>
        <v>22.918160749608798</v>
      </c>
      <c r="AY10" s="11">
        <f>INDEX('[2]input data'!$G$1:$G$1108,AZ59,1)</f>
        <v>23.182038337621304</v>
      </c>
      <c r="AZ10" s="11">
        <f>INDEX('[2]input data'!$G$1:$G$1108,BA59,1)</f>
        <v>23.456330079990238</v>
      </c>
      <c r="BA10" s="12">
        <f t="shared" si="4"/>
        <v>23.993318566443666</v>
      </c>
      <c r="BB10" s="13">
        <f t="shared" si="5"/>
        <v>22.764750111093644</v>
      </c>
      <c r="BC10" s="16">
        <f t="shared" ref="BC10:BC39" si="8">AVERAGE(AN10:AZ10)</f>
        <v>23.239589907828147</v>
      </c>
    </row>
    <row r="11" spans="1:57" ht="14.25" customHeight="1" x14ac:dyDescent="0.25">
      <c r="A11" s="15">
        <v>3</v>
      </c>
      <c r="B11" s="11">
        <f>'[2]input data'!E78</f>
        <v>25</v>
      </c>
      <c r="C11" s="11">
        <f>'[2]input data'!E79</f>
        <v>26</v>
      </c>
      <c r="D11" s="11">
        <f>'[2]input data'!E80</f>
        <v>27</v>
      </c>
      <c r="E11" s="11">
        <f>'[2]input data'!E81</f>
        <v>28</v>
      </c>
      <c r="F11" s="11">
        <f>'[2]input data'!E82</f>
        <v>29.2</v>
      </c>
      <c r="G11" s="11">
        <f>'[2]input data'!E83</f>
        <v>29.6</v>
      </c>
      <c r="H11" s="11">
        <f>'[2]input data'!E84</f>
        <v>29.9</v>
      </c>
      <c r="I11" s="11">
        <f>'[2]input data'!E85</f>
        <v>30.2</v>
      </c>
      <c r="J11" s="11">
        <f>'[2]input data'!E86</f>
        <v>29.8</v>
      </c>
      <c r="K11" s="11">
        <f>'[2]input data'!E87</f>
        <v>28.6</v>
      </c>
      <c r="L11" s="11">
        <f>'[2]input data'!E88</f>
        <v>27.8</v>
      </c>
      <c r="M11" s="11">
        <f>'[2]input data'!E89</f>
        <v>26.6</v>
      </c>
      <c r="N11" s="11">
        <f>'[2]input data'!E90</f>
        <v>25.8</v>
      </c>
      <c r="O11" s="12">
        <f t="shared" si="0"/>
        <v>30.2</v>
      </c>
      <c r="P11" s="13">
        <f t="shared" si="1"/>
        <v>25</v>
      </c>
      <c r="Q11" s="16">
        <f t="shared" si="6"/>
        <v>27.961538461538467</v>
      </c>
      <c r="T11" s="15">
        <v>3</v>
      </c>
      <c r="U11" s="11">
        <f>INDEX('[2]input data'!$F$1:$F$1108,U60,1)</f>
        <v>23.7</v>
      </c>
      <c r="V11" s="11">
        <f>INDEX('[2]input data'!$F$1:$F$1108,V60,1)</f>
        <v>24</v>
      </c>
      <c r="W11" s="11">
        <f>INDEX('[2]input data'!$F$1:$F$1108,W60,1)</f>
        <v>23.7</v>
      </c>
      <c r="X11" s="11">
        <f>INDEX('[2]input data'!$F$1:$F$1108,X60,1)</f>
        <v>24.5</v>
      </c>
      <c r="Y11" s="11">
        <f>INDEX('[2]input data'!$F$1:$F$1108,Y60,1)</f>
        <v>24.4</v>
      </c>
      <c r="Z11" s="11">
        <f>INDEX('[2]input data'!$F$1:$F$1108,Z60,1)</f>
        <v>24.4</v>
      </c>
      <c r="AA11" s="11">
        <f>INDEX('[2]input data'!$F$1:$F$1108,AA60,1)</f>
        <v>23.7</v>
      </c>
      <c r="AB11" s="11">
        <f>INDEX('[2]input data'!$F$1:$F$1108,AB60,1)</f>
        <v>24</v>
      </c>
      <c r="AC11" s="11">
        <f>INDEX('[2]input data'!$F$1:$F$1108,AC60,1)</f>
        <v>24</v>
      </c>
      <c r="AD11" s="11">
        <f>INDEX('[2]input data'!$F$1:$F$1108,AD60,1)</f>
        <v>24</v>
      </c>
      <c r="AE11" s="11">
        <f>INDEX('[2]input data'!$F$1:$F$1108,AE60,1)</f>
        <v>23.2</v>
      </c>
      <c r="AF11" s="11">
        <f>INDEX('[2]input data'!$F$1:$F$1108,AF60,1)</f>
        <v>23.2</v>
      </c>
      <c r="AG11" s="11">
        <f>INDEX('[2]input data'!$F$1:$F$1108,AG60,1)</f>
        <v>23</v>
      </c>
      <c r="AH11" s="12">
        <f t="shared" si="2"/>
        <v>24.5</v>
      </c>
      <c r="AI11" s="13">
        <f t="shared" si="3"/>
        <v>23</v>
      </c>
      <c r="AJ11" s="16">
        <f t="shared" si="7"/>
        <v>23.830769230769231</v>
      </c>
      <c r="AM11" s="15">
        <v>3</v>
      </c>
      <c r="AN11" s="11">
        <f>INDEX('[2]input data'!$G$1:$G$1108,AO60,1)</f>
        <v>23.004814665351681</v>
      </c>
      <c r="AO11" s="11">
        <f>INDEX('[2]input data'!$G$1:$G$1108,AP60,1)</f>
        <v>22.991501967304046</v>
      </c>
      <c r="AP11" s="11">
        <f>INDEX('[2]input data'!$G$1:$G$1108,AQ60,1)</f>
        <v>22.051586021703706</v>
      </c>
      <c r="AQ11" s="11">
        <f>INDEX('[2]input data'!$G$1:$G$1108,AR60,1)</f>
        <v>22.824541481553876</v>
      </c>
      <c r="AR11" s="11">
        <f>INDEX('[2]input data'!$G$1:$G$1108,AS60,1)</f>
        <v>22.092115402846034</v>
      </c>
      <c r="AS11" s="11">
        <f>INDEX('[2]input data'!$G$1:$G$1108,AT60,1)</f>
        <v>21.895953551222608</v>
      </c>
      <c r="AT11" s="11">
        <f>INDEX('[2]input data'!$G$1:$G$1108,AU60,1)</f>
        <v>20.577218059830393</v>
      </c>
      <c r="AU11" s="11">
        <f>INDEX('[2]input data'!$G$1:$G$1108,AV60,1)</f>
        <v>20.929016635840025</v>
      </c>
      <c r="AV11" s="11">
        <f>INDEX('[2]input data'!$G$1:$G$1108,AW60,1)</f>
        <v>21.135526160314516</v>
      </c>
      <c r="AW11" s="11">
        <f>INDEX('[2]input data'!$G$1:$G$1108,AX60,1)</f>
        <v>21.741688210998174</v>
      </c>
      <c r="AX11" s="11">
        <f>INDEX('[2]input data'!$G$1:$G$1108,AY60,1)</f>
        <v>20.842188166907764</v>
      </c>
      <c r="AY11" s="11">
        <f>INDEX('[2]input data'!$G$1:$G$1108,AZ60,1)</f>
        <v>21.457765521889179</v>
      </c>
      <c r="AZ11" s="11">
        <f>INDEX('[2]input data'!$G$1:$G$1108,BA60,1)</f>
        <v>21.543235108904849</v>
      </c>
      <c r="BA11" s="12">
        <f t="shared" si="4"/>
        <v>23.004814665351681</v>
      </c>
      <c r="BB11" s="13">
        <f t="shared" si="5"/>
        <v>20.577218059830393</v>
      </c>
      <c r="BC11" s="16">
        <f t="shared" si="8"/>
        <v>21.775934688820527</v>
      </c>
    </row>
    <row r="12" spans="1:57" ht="14.25" customHeight="1" x14ac:dyDescent="0.25">
      <c r="A12" s="15">
        <v>4</v>
      </c>
      <c r="B12" s="11">
        <f>'[2]input data'!E114</f>
        <v>24.2</v>
      </c>
      <c r="C12" s="11">
        <f>'[2]input data'!E115</f>
        <v>27</v>
      </c>
      <c r="D12" s="11">
        <f>'[2]input data'!E116</f>
        <v>28.4</v>
      </c>
      <c r="E12" s="11">
        <f>'[2]input data'!E117</f>
        <v>28.8</v>
      </c>
      <c r="F12" s="11">
        <f>'[2]input data'!E118</f>
        <v>29.6</v>
      </c>
      <c r="G12" s="11">
        <f>'[2]input data'!E119</f>
        <v>30.1</v>
      </c>
      <c r="H12" s="11">
        <f>'[2]input data'!E120</f>
        <v>30.3</v>
      </c>
      <c r="I12" s="11">
        <f>'[2]input data'!E121</f>
        <v>29.8</v>
      </c>
      <c r="J12" s="11">
        <f>'[2]input data'!E122</f>
        <v>30.6</v>
      </c>
      <c r="K12" s="11">
        <f>'[2]input data'!E123</f>
        <v>29.7</v>
      </c>
      <c r="L12" s="11">
        <f>'[2]input data'!E124</f>
        <v>28.7</v>
      </c>
      <c r="M12" s="11">
        <f>'[2]input data'!E125</f>
        <v>27.7</v>
      </c>
      <c r="N12" s="11">
        <f>'[2]input data'!E126</f>
        <v>26.6</v>
      </c>
      <c r="O12" s="12">
        <f t="shared" si="0"/>
        <v>30.6</v>
      </c>
      <c r="P12" s="13">
        <f t="shared" si="1"/>
        <v>24.2</v>
      </c>
      <c r="Q12" s="16">
        <f t="shared" si="6"/>
        <v>28.576923076923077</v>
      </c>
      <c r="T12" s="15">
        <v>4</v>
      </c>
      <c r="U12" s="11">
        <f>INDEX('[2]input data'!$F$1:$F$1108,U61,1)</f>
        <v>21.8</v>
      </c>
      <c r="V12" s="11">
        <f>INDEX('[2]input data'!$F$1:$F$1108,V61,1)</f>
        <v>23.6</v>
      </c>
      <c r="W12" s="11">
        <f>INDEX('[2]input data'!$F$1:$F$1108,W61,1)</f>
        <v>24.4</v>
      </c>
      <c r="X12" s="11">
        <f>INDEX('[2]input data'!$F$1:$F$1108,X61,1)</f>
        <v>24.6</v>
      </c>
      <c r="Y12" s="11">
        <f>INDEX('[2]input data'!$F$1:$F$1108,Y61,1)</f>
        <v>24.5</v>
      </c>
      <c r="Z12" s="11">
        <f>INDEX('[2]input data'!$F$1:$F$1108,Z61,1)</f>
        <v>24.6</v>
      </c>
      <c r="AA12" s="11">
        <f>INDEX('[2]input data'!$F$1:$F$1108,AA61,1)</f>
        <v>25.5</v>
      </c>
      <c r="AB12" s="11">
        <f>INDEX('[2]input data'!$F$1:$F$1108,AB61,1)</f>
        <v>24.5</v>
      </c>
      <c r="AC12" s="11">
        <f>INDEX('[2]input data'!$F$1:$F$1108,AC61,1)</f>
        <v>24.9</v>
      </c>
      <c r="AD12" s="11">
        <f>INDEX('[2]input data'!$F$1:$F$1108,AD61,1)</f>
        <v>24.7</v>
      </c>
      <c r="AE12" s="11">
        <f>INDEX('[2]input data'!$F$1:$F$1108,AE61,1)</f>
        <v>24.4</v>
      </c>
      <c r="AF12" s="11">
        <f>INDEX('[2]input data'!$F$1:$F$1108,AF61,1)</f>
        <v>24.3</v>
      </c>
      <c r="AG12" s="11">
        <f>INDEX('[2]input data'!$F$1:$F$1108,AG61,1)</f>
        <v>23.9</v>
      </c>
      <c r="AH12" s="12">
        <f t="shared" si="2"/>
        <v>25.5</v>
      </c>
      <c r="AI12" s="13">
        <f t="shared" si="3"/>
        <v>21.8</v>
      </c>
      <c r="AJ12" s="16">
        <f t="shared" si="7"/>
        <v>24.284615384615385</v>
      </c>
      <c r="AM12" s="15">
        <v>4</v>
      </c>
      <c r="AN12" s="11">
        <f>INDEX('[2]input data'!$G$1:$G$1108,AO61,1)</f>
        <v>20.463887755674129</v>
      </c>
      <c r="AO12" s="11">
        <f>INDEX('[2]input data'!$G$1:$G$1108,AP61,1)</f>
        <v>21.893778896731295</v>
      </c>
      <c r="AP12" s="11">
        <f>INDEX('[2]input data'!$G$1:$G$1108,AQ61,1)</f>
        <v>22.478402908283279</v>
      </c>
      <c r="AQ12" s="11">
        <f>INDEX('[2]input data'!$G$1:$G$1108,AR61,1)</f>
        <v>22.603699197462753</v>
      </c>
      <c r="AR12" s="11">
        <f>INDEX('[2]input data'!$G$1:$G$1108,AS61,1)</f>
        <v>22.058377213189214</v>
      </c>
      <c r="AS12" s="11">
        <f>INDEX('[2]input data'!$G$1:$G$1108,AT61,1)</f>
        <v>21.976144820928056</v>
      </c>
      <c r="AT12" s="11">
        <f>INDEX('[2]input data'!$G$1:$G$1108,AU61,1)</f>
        <v>23.323068469901976</v>
      </c>
      <c r="AU12" s="11">
        <f>INDEX('[2]input data'!$G$1:$G$1108,AV61,1)</f>
        <v>21.960375502763952</v>
      </c>
      <c r="AV12" s="11">
        <f>INDEX('[2]input data'!$G$1:$G$1108,AW61,1)</f>
        <v>22.221757861918281</v>
      </c>
      <c r="AW12" s="11">
        <f>INDEX('[2]input data'!$G$1:$G$1108,AX61,1)</f>
        <v>22.332716175421421</v>
      </c>
      <c r="AX12" s="11">
        <f>INDEX('[2]input data'!$G$1:$G$1108,AY61,1)</f>
        <v>22.33447262077301</v>
      </c>
      <c r="AY12" s="11">
        <f>INDEX('[2]input data'!$G$1:$G$1108,AZ61,1)</f>
        <v>22.654552974113553</v>
      </c>
      <c r="AZ12" s="11">
        <f>INDEX('[2]input data'!$G$1:$G$1108,BA61,1)</f>
        <v>22.556317057403774</v>
      </c>
      <c r="BA12" s="12">
        <f t="shared" si="4"/>
        <v>23.323068469901976</v>
      </c>
      <c r="BB12" s="13">
        <f t="shared" si="5"/>
        <v>20.463887755674129</v>
      </c>
      <c r="BC12" s="16">
        <f t="shared" si="8"/>
        <v>22.219811650351126</v>
      </c>
    </row>
    <row r="13" spans="1:57" ht="14.25" customHeight="1" x14ac:dyDescent="0.25">
      <c r="A13" s="15">
        <v>5</v>
      </c>
      <c r="B13" s="11">
        <f>'[2]input data'!E150</f>
        <v>25.2</v>
      </c>
      <c r="C13" s="11">
        <f>'[2]input data'!E151</f>
        <v>27.4</v>
      </c>
      <c r="D13" s="11">
        <f>'[2]input data'!E152</f>
        <v>28</v>
      </c>
      <c r="E13" s="11">
        <f>'[2]input data'!E153</f>
        <v>29.2</v>
      </c>
      <c r="F13" s="11">
        <f>'[2]input data'!E154</f>
        <v>29.8</v>
      </c>
      <c r="G13" s="11">
        <f>'[2]input data'!E155</f>
        <v>30.8</v>
      </c>
      <c r="H13" s="11">
        <f>'[2]input data'!E156</f>
        <v>31.3</v>
      </c>
      <c r="I13" s="11">
        <f>'[2]input data'!E157</f>
        <v>31.2</v>
      </c>
      <c r="J13" s="11">
        <f>'[2]input data'!E158</f>
        <v>30.8</v>
      </c>
      <c r="K13" s="11">
        <f>'[2]input data'!E159</f>
        <v>30.4</v>
      </c>
      <c r="L13" s="11">
        <f>'[2]input data'!E160</f>
        <v>28.6</v>
      </c>
      <c r="M13" s="11">
        <f>'[2]input data'!E161</f>
        <v>28.4</v>
      </c>
      <c r="N13" s="11">
        <f>'[2]input data'!E162</f>
        <v>27.6</v>
      </c>
      <c r="O13" s="12">
        <f t="shared" si="0"/>
        <v>31.3</v>
      </c>
      <c r="P13" s="13">
        <f t="shared" si="1"/>
        <v>25.2</v>
      </c>
      <c r="Q13" s="16">
        <f t="shared" si="6"/>
        <v>29.130769230769229</v>
      </c>
      <c r="T13" s="15">
        <v>5</v>
      </c>
      <c r="U13" s="11">
        <f>INDEX('[2]input data'!$F$1:$F$1108,U62,1)</f>
        <v>23.4</v>
      </c>
      <c r="V13" s="11">
        <f>INDEX('[2]input data'!$F$1:$F$1108,V62,1)</f>
        <v>23.9</v>
      </c>
      <c r="W13" s="11">
        <f>INDEX('[2]input data'!$F$1:$F$1108,W62,1)</f>
        <v>23.1</v>
      </c>
      <c r="X13" s="11">
        <f>INDEX('[2]input data'!$F$1:$F$1108,X62,1)</f>
        <v>23</v>
      </c>
      <c r="Y13" s="11">
        <f>INDEX('[2]input data'!$F$1:$F$1108,Y62,1)</f>
        <v>23.4</v>
      </c>
      <c r="Z13" s="11">
        <f>INDEX('[2]input data'!$F$1:$F$1108,Z62,1)</f>
        <v>24.4</v>
      </c>
      <c r="AA13" s="11">
        <f>INDEX('[2]input data'!$F$1:$F$1108,AA62,1)</f>
        <v>25.2</v>
      </c>
      <c r="AB13" s="11">
        <f>INDEX('[2]input data'!$F$1:$F$1108,AB62,1)</f>
        <v>24.7</v>
      </c>
      <c r="AC13" s="11">
        <f>INDEX('[2]input data'!$F$1:$F$1108,AC62,1)</f>
        <v>24.6</v>
      </c>
      <c r="AD13" s="11">
        <f>INDEX('[2]input data'!$F$1:$F$1108,AD62,1)</f>
        <v>24.2</v>
      </c>
      <c r="AE13" s="11">
        <f>INDEX('[2]input data'!$F$1:$F$1108,AE62,1)</f>
        <v>23.8</v>
      </c>
      <c r="AF13" s="11">
        <f>INDEX('[2]input data'!$F$1:$F$1108,AF62,1)</f>
        <v>23.4</v>
      </c>
      <c r="AG13" s="11">
        <f>INDEX('[2]input data'!$F$1:$F$1108,AG62,1)</f>
        <v>23.4</v>
      </c>
      <c r="AH13" s="12">
        <f t="shared" si="2"/>
        <v>25.2</v>
      </c>
      <c r="AI13" s="13">
        <f t="shared" si="3"/>
        <v>23</v>
      </c>
      <c r="AJ13" s="16">
        <f t="shared" si="7"/>
        <v>23.88461538461538</v>
      </c>
      <c r="AM13" s="15">
        <v>5</v>
      </c>
      <c r="AN13" s="11">
        <f>INDEX('[2]input data'!$G$1:$G$1108,AO62,1)</f>
        <v>22.45741703757486</v>
      </c>
      <c r="AO13" s="11">
        <f>INDEX('[2]input data'!$G$1:$G$1108,AP62,1)</f>
        <v>22.171653956910621</v>
      </c>
      <c r="AP13" s="11">
        <f>INDEX('[2]input data'!$G$1:$G$1108,AQ62,1)</f>
        <v>20.571272807619781</v>
      </c>
      <c r="AQ13" s="11">
        <f>INDEX('[2]input data'!$G$1:$G$1108,AR62,1)</f>
        <v>19.751901806029988</v>
      </c>
      <c r="AR13" s="11">
        <f>INDEX('[2]input data'!$G$1:$G$1108,AS62,1)</f>
        <v>20.116128402295594</v>
      </c>
      <c r="AS13" s="11">
        <f>INDEX('[2]input data'!$G$1:$G$1108,AT62,1)</f>
        <v>21.294837240921414</v>
      </c>
      <c r="AT13" s="11">
        <f>INDEX('[2]input data'!$G$1:$G$1108,AU62,1)</f>
        <v>22.373619264117171</v>
      </c>
      <c r="AU13" s="11">
        <f>INDEX('[2]input data'!$G$1:$G$1108,AV62,1)</f>
        <v>21.595968088767467</v>
      </c>
      <c r="AV13" s="11">
        <f>INDEX('[2]input data'!$G$1:$G$1108,AW62,1)</f>
        <v>21.629341608776524</v>
      </c>
      <c r="AW13" s="11">
        <f>INDEX('[2]input data'!$G$1:$G$1108,AX62,1)</f>
        <v>21.162935778277308</v>
      </c>
      <c r="AX13" s="11">
        <f>INDEX('[2]input data'!$G$1:$G$1108,AY62,1)</f>
        <v>21.416446175167959</v>
      </c>
      <c r="AY13" s="11">
        <f>INDEX('[2]input data'!$G$1:$G$1108,AZ62,1)</f>
        <v>20.860317420053146</v>
      </c>
      <c r="AZ13" s="11">
        <f>INDEX('[2]input data'!$G$1:$G$1108,BA62,1)</f>
        <v>21.272559563855115</v>
      </c>
      <c r="BA13" s="12">
        <f t="shared" si="4"/>
        <v>22.45741703757486</v>
      </c>
      <c r="BB13" s="13">
        <f t="shared" si="5"/>
        <v>19.751901806029988</v>
      </c>
      <c r="BC13" s="16">
        <f t="shared" si="8"/>
        <v>21.282646088489766</v>
      </c>
    </row>
    <row r="14" spans="1:57" ht="14.25" customHeight="1" x14ac:dyDescent="0.25">
      <c r="A14" s="15">
        <v>6</v>
      </c>
      <c r="B14" s="11">
        <f>'[2]input data'!E186</f>
        <v>25</v>
      </c>
      <c r="C14" s="11">
        <f>'[2]input data'!E187</f>
        <v>26.8</v>
      </c>
      <c r="D14" s="11">
        <f>'[2]input data'!E188</f>
        <v>28</v>
      </c>
      <c r="E14" s="11">
        <f>'[2]input data'!E189</f>
        <v>29</v>
      </c>
      <c r="F14" s="11">
        <f>'[2]input data'!E190</f>
        <v>30.2</v>
      </c>
      <c r="G14" s="11">
        <f>'[2]input data'!E191</f>
        <v>31.2</v>
      </c>
      <c r="H14" s="11">
        <f>'[2]input data'!E192</f>
        <v>31.3</v>
      </c>
      <c r="I14" s="11">
        <f>'[2]input data'!E193</f>
        <v>30.6</v>
      </c>
      <c r="J14" s="11">
        <f>'[2]input data'!E194</f>
        <v>30</v>
      </c>
      <c r="K14" s="11">
        <f>'[2]input data'!E195</f>
        <v>29.6</v>
      </c>
      <c r="L14" s="11">
        <f>'[2]input data'!E196</f>
        <v>28.6</v>
      </c>
      <c r="M14" s="11">
        <f>'[2]input data'!E197</f>
        <v>28.4</v>
      </c>
      <c r="N14" s="11">
        <f>'[2]input data'!E198</f>
        <v>28</v>
      </c>
      <c r="O14" s="12">
        <f t="shared" si="0"/>
        <v>31.3</v>
      </c>
      <c r="P14" s="13">
        <f t="shared" si="1"/>
        <v>25</v>
      </c>
      <c r="Q14" s="16">
        <f t="shared" si="6"/>
        <v>28.976923076923079</v>
      </c>
      <c r="T14" s="15">
        <v>6</v>
      </c>
      <c r="U14" s="11">
        <f>INDEX('[2]input data'!$F$1:$F$1108,U63,1)</f>
        <v>23</v>
      </c>
      <c r="V14" s="11">
        <f>INDEX('[2]input data'!$F$1:$F$1108,V63,1)</f>
        <v>23.3</v>
      </c>
      <c r="W14" s="11">
        <f>INDEX('[2]input data'!$F$1:$F$1108,W63,1)</f>
        <v>22.8</v>
      </c>
      <c r="X14" s="11">
        <f>INDEX('[2]input data'!$F$1:$F$1108,X63,1)</f>
        <v>23.4</v>
      </c>
      <c r="Y14" s="11">
        <f>INDEX('[2]input data'!$F$1:$F$1108,Y63,1)</f>
        <v>24</v>
      </c>
      <c r="Z14" s="11">
        <f>INDEX('[2]input data'!$F$1:$F$1108,Z63,1)</f>
        <v>25.2</v>
      </c>
      <c r="AA14" s="11">
        <f>INDEX('[2]input data'!$F$1:$F$1108,AA63,1)</f>
        <v>25</v>
      </c>
      <c r="AB14" s="11">
        <f>INDEX('[2]input data'!$F$1:$F$1108,AB63,1)</f>
        <v>24.4</v>
      </c>
      <c r="AC14" s="11">
        <f>INDEX('[2]input data'!$F$1:$F$1108,AC63,1)</f>
        <v>24.2</v>
      </c>
      <c r="AD14" s="11">
        <f>INDEX('[2]input data'!$F$1:$F$1108,AD63,1)</f>
        <v>24</v>
      </c>
      <c r="AE14" s="11">
        <f>INDEX('[2]input data'!$F$1:$F$1108,AE63,1)</f>
        <v>24</v>
      </c>
      <c r="AF14" s="11">
        <f>INDEX('[2]input data'!$F$1:$F$1108,AF63,1)</f>
        <v>24</v>
      </c>
      <c r="AG14" s="11">
        <f>INDEX('[2]input data'!$F$1:$F$1108,AG63,1)</f>
        <v>23.8</v>
      </c>
      <c r="AH14" s="12">
        <f t="shared" si="2"/>
        <v>25.2</v>
      </c>
      <c r="AI14" s="13">
        <f t="shared" si="3"/>
        <v>22.8</v>
      </c>
      <c r="AJ14" s="16">
        <f t="shared" si="7"/>
        <v>23.930769230769229</v>
      </c>
      <c r="AM14" s="15">
        <v>6</v>
      </c>
      <c r="AN14" s="11">
        <f>INDEX('[2]input data'!$G$1:$G$1108,AO63,1)</f>
        <v>21.940827013458751</v>
      </c>
      <c r="AO14" s="11">
        <f>INDEX('[2]input data'!$G$1:$G$1108,AP63,1)</f>
        <v>21.516623527620698</v>
      </c>
      <c r="AP14" s="11">
        <f>INDEX('[2]input data'!$G$1:$G$1108,AQ63,1)</f>
        <v>20.066897343478452</v>
      </c>
      <c r="AQ14" s="11">
        <f>INDEX('[2]input data'!$G$1:$G$1108,AR63,1)</f>
        <v>20.545028509059279</v>
      </c>
      <c r="AR14" s="11">
        <f>INDEX('[2]input data'!$G$1:$G$1108,AS63,1)</f>
        <v>20.929016635840025</v>
      </c>
      <c r="AS14" s="11">
        <f>INDEX('[2]input data'!$G$1:$G$1108,AT63,1)</f>
        <v>22.421621048731168</v>
      </c>
      <c r="AT14" s="11">
        <f>INDEX('[2]input data'!$G$1:$G$1108,AU63,1)</f>
        <v>22.045047742075486</v>
      </c>
      <c r="AU14" s="11">
        <f>INDEX('[2]input data'!$G$1:$G$1108,AV63,1)</f>
        <v>21.396374581182265</v>
      </c>
      <c r="AV14" s="11">
        <f>INDEX('[2]input data'!$G$1:$G$1108,AW63,1)</f>
        <v>21.366887025155211</v>
      </c>
      <c r="AW14" s="11">
        <f>INDEX('[2]input data'!$G$1:$G$1108,AX63,1)</f>
        <v>21.237929123275833</v>
      </c>
      <c r="AX14" s="11">
        <f>INDEX('[2]input data'!$G$1:$G$1108,AY63,1)</f>
        <v>21.741688210998174</v>
      </c>
      <c r="AY14" s="11">
        <f>INDEX('[2]input data'!$G$1:$G$1108,AZ63,1)</f>
        <v>21.840832967532137</v>
      </c>
      <c r="AZ14" s="11">
        <f>INDEX('[2]input data'!$G$1:$G$1108,BA63,1)</f>
        <v>21.717458711152801</v>
      </c>
      <c r="BA14" s="12">
        <f t="shared" si="4"/>
        <v>22.421621048731168</v>
      </c>
      <c r="BB14" s="13">
        <f t="shared" si="5"/>
        <v>20.066897343478452</v>
      </c>
      <c r="BC14" s="16">
        <f t="shared" si="8"/>
        <v>21.443556341504639</v>
      </c>
    </row>
    <row r="15" spans="1:57" ht="14.25" customHeight="1" x14ac:dyDescent="0.25">
      <c r="A15" s="15">
        <v>7</v>
      </c>
      <c r="B15" s="11">
        <f>'[2]input data'!E222</f>
        <v>26</v>
      </c>
      <c r="C15" s="11">
        <f>'[2]input data'!E223</f>
        <v>27.4</v>
      </c>
      <c r="D15" s="11">
        <f>'[2]input data'!E224</f>
        <v>29</v>
      </c>
      <c r="E15" s="11">
        <f>'[2]input data'!E225</f>
        <v>29.8</v>
      </c>
      <c r="F15" s="11">
        <f>'[2]input data'!E226</f>
        <v>30.3</v>
      </c>
      <c r="G15" s="11">
        <f>'[2]input data'!E227</f>
        <v>30.8</v>
      </c>
      <c r="H15" s="11">
        <f>'[2]input data'!E228</f>
        <v>30.2</v>
      </c>
      <c r="I15" s="11">
        <f>'[2]input data'!E229</f>
        <v>30.8</v>
      </c>
      <c r="J15" s="11">
        <f>'[2]input data'!E230</f>
        <v>29.5</v>
      </c>
      <c r="K15" s="11">
        <f>'[2]input data'!E231</f>
        <v>28.6</v>
      </c>
      <c r="L15" s="11">
        <f>'[2]input data'!E232</f>
        <v>28.3</v>
      </c>
      <c r="M15" s="11">
        <f>'[2]input data'!E233</f>
        <v>27.5</v>
      </c>
      <c r="N15" s="11">
        <f>'[2]input data'!E234</f>
        <v>26.8</v>
      </c>
      <c r="O15" s="12">
        <f t="shared" si="0"/>
        <v>30.8</v>
      </c>
      <c r="P15" s="13">
        <f t="shared" si="1"/>
        <v>26</v>
      </c>
      <c r="Q15" s="16">
        <f t="shared" si="6"/>
        <v>28.84615384615385</v>
      </c>
      <c r="T15" s="15">
        <v>7</v>
      </c>
      <c r="U15" s="11">
        <f>INDEX('[2]input data'!$F$1:$F$1108,U64,1)</f>
        <v>23.8</v>
      </c>
      <c r="V15" s="11">
        <f>INDEX('[2]input data'!$F$1:$F$1108,V64,1)</f>
        <v>23.6</v>
      </c>
      <c r="W15" s="11">
        <f>INDEX('[2]input data'!$F$1:$F$1108,W64,1)</f>
        <v>24.2</v>
      </c>
      <c r="X15" s="11">
        <f>INDEX('[2]input data'!$F$1:$F$1108,X64,1)</f>
        <v>24.4</v>
      </c>
      <c r="Y15" s="11">
        <f>INDEX('[2]input data'!$F$1:$F$1108,Y64,1)</f>
        <v>24.8</v>
      </c>
      <c r="Z15" s="11">
        <f>INDEX('[2]input data'!$F$1:$F$1108,Z64,1)</f>
        <v>25.6</v>
      </c>
      <c r="AA15" s="11">
        <f>INDEX('[2]input data'!$F$1:$F$1108,AA64,1)</f>
        <v>25.6</v>
      </c>
      <c r="AB15" s="11">
        <f>INDEX('[2]input data'!$F$1:$F$1108,AB64,1)</f>
        <v>25.3</v>
      </c>
      <c r="AC15" s="11">
        <f>INDEX('[2]input data'!$F$1:$F$1108,AC64,1)</f>
        <v>24.5</v>
      </c>
      <c r="AD15" s="11">
        <f>INDEX('[2]input data'!$F$1:$F$1108,AD64,1)</f>
        <v>24.1</v>
      </c>
      <c r="AE15" s="11">
        <f>INDEX('[2]input data'!$F$1:$F$1108,AE64,1)</f>
        <v>23.9</v>
      </c>
      <c r="AF15" s="11">
        <f>INDEX('[2]input data'!$F$1:$F$1108,AF64,1)</f>
        <v>24</v>
      </c>
      <c r="AG15" s="11">
        <f>INDEX('[2]input data'!$F$1:$F$1108,AG64,1)</f>
        <v>23.8</v>
      </c>
      <c r="AH15" s="12">
        <f t="shared" si="2"/>
        <v>25.6</v>
      </c>
      <c r="AI15" s="13">
        <f t="shared" si="3"/>
        <v>23.6</v>
      </c>
      <c r="AJ15" s="16">
        <f t="shared" si="7"/>
        <v>24.430769230769233</v>
      </c>
      <c r="AM15" s="15">
        <v>7</v>
      </c>
      <c r="AN15" s="11">
        <f>INDEX('[2]input data'!$G$1:$G$1108,AO64,1)</f>
        <v>22.687327425827569</v>
      </c>
      <c r="AO15" s="11">
        <f>INDEX('[2]input data'!$G$1:$G$1108,AP64,1)</f>
        <v>21.695530782643495</v>
      </c>
      <c r="AP15" s="11">
        <f>INDEX('[2]input data'!$G$1:$G$1108,AQ64,1)</f>
        <v>21.867237103039482</v>
      </c>
      <c r="AQ15" s="11">
        <f>INDEX('[2]input data'!$G$1:$G$1108,AR64,1)</f>
        <v>21.797098187157214</v>
      </c>
      <c r="AR15" s="11">
        <f>INDEX('[2]input data'!$G$1:$G$1108,AS64,1)</f>
        <v>22.204420328480694</v>
      </c>
      <c r="AS15" s="11">
        <f>INDEX('[2]input data'!$G$1:$G$1108,AT64,1)</f>
        <v>23.251853221643302</v>
      </c>
      <c r="AT15" s="11">
        <f>INDEX('[2]input data'!$G$1:$G$1108,AU64,1)</f>
        <v>23.525167159390978</v>
      </c>
      <c r="AU15" s="11">
        <f>INDEX('[2]input data'!$G$1:$G$1108,AV64,1)</f>
        <v>22.773425031193796</v>
      </c>
      <c r="AV15" s="11">
        <f>INDEX('[2]input data'!$G$1:$G$1108,AW64,1)</f>
        <v>22.107186961561457</v>
      </c>
      <c r="AW15" s="11">
        <f>INDEX('[2]input data'!$G$1:$G$1108,AX64,1)</f>
        <v>21.90308947260036</v>
      </c>
      <c r="AX15" s="11">
        <f>INDEX('[2]input data'!$G$1:$G$1108,AY64,1)</f>
        <v>21.729285010984476</v>
      </c>
      <c r="AY15" s="11">
        <f>INDEX('[2]input data'!$G$1:$G$1108,AZ64,1)</f>
        <v>22.280614582943233</v>
      </c>
      <c r="AZ15" s="11">
        <f>INDEX('[2]input data'!$G$1:$G$1108,BA64,1)</f>
        <v>22.305359709723426</v>
      </c>
      <c r="BA15" s="12">
        <f t="shared" si="4"/>
        <v>23.525167159390978</v>
      </c>
      <c r="BB15" s="13">
        <f t="shared" si="5"/>
        <v>21.695530782643495</v>
      </c>
      <c r="BC15" s="16">
        <f t="shared" si="8"/>
        <v>22.317507305937657</v>
      </c>
    </row>
    <row r="16" spans="1:57" ht="14.25" customHeight="1" x14ac:dyDescent="0.25">
      <c r="A16" s="15">
        <v>8</v>
      </c>
      <c r="B16" s="11">
        <f>'[2]input data'!E258</f>
        <v>25</v>
      </c>
      <c r="C16" s="11">
        <f>'[2]input data'!E259</f>
        <v>27</v>
      </c>
      <c r="D16" s="11">
        <f>'[2]input data'!E260</f>
        <v>28.9</v>
      </c>
      <c r="E16" s="11">
        <f>'[2]input data'!E261</f>
        <v>29.6</v>
      </c>
      <c r="F16" s="11">
        <f>'[2]input data'!E262</f>
        <v>30.9</v>
      </c>
      <c r="G16" s="11">
        <f>'[2]input data'!E263</f>
        <v>31.9</v>
      </c>
      <c r="H16" s="11">
        <f>'[2]input data'!E264</f>
        <v>32.1</v>
      </c>
      <c r="I16" s="11">
        <f>'[2]input data'!E265</f>
        <v>31.2</v>
      </c>
      <c r="J16" s="11">
        <f>'[2]input data'!E266</f>
        <v>31.2</v>
      </c>
      <c r="K16" s="11">
        <f>'[2]input data'!E267</f>
        <v>30.8</v>
      </c>
      <c r="L16" s="11">
        <f>'[2]input data'!E268</f>
        <v>29.2</v>
      </c>
      <c r="M16" s="11">
        <f>'[2]input data'!E269</f>
        <v>27.4</v>
      </c>
      <c r="N16" s="11">
        <f>'[2]input data'!E270</f>
        <v>26.2</v>
      </c>
      <c r="O16" s="12">
        <f t="shared" si="0"/>
        <v>32.1</v>
      </c>
      <c r="P16" s="13">
        <f t="shared" si="1"/>
        <v>25</v>
      </c>
      <c r="Q16" s="16">
        <f t="shared" si="6"/>
        <v>29.338461538461537</v>
      </c>
      <c r="T16" s="15">
        <v>8</v>
      </c>
      <c r="U16" s="11">
        <f>INDEX('[2]input data'!$F$1:$F$1108,U65,1)</f>
        <v>23.2</v>
      </c>
      <c r="V16" s="11">
        <f>INDEX('[2]input data'!$F$1:$F$1108,V65,1)</f>
        <v>23.9</v>
      </c>
      <c r="W16" s="11">
        <f>INDEX('[2]input data'!$F$1:$F$1108,W65,1)</f>
        <v>23.6</v>
      </c>
      <c r="X16" s="11">
        <f>INDEX('[2]input data'!$F$1:$F$1108,X65,1)</f>
        <v>24</v>
      </c>
      <c r="Y16" s="11">
        <f>INDEX('[2]input data'!$F$1:$F$1108,Y65,1)</f>
        <v>24.4</v>
      </c>
      <c r="Z16" s="11">
        <f>INDEX('[2]input data'!$F$1:$F$1108,Z65,1)</f>
        <v>24.6</v>
      </c>
      <c r="AA16" s="11">
        <f>INDEX('[2]input data'!$F$1:$F$1108,AA65,1)</f>
        <v>24.6</v>
      </c>
      <c r="AB16" s="11">
        <f>INDEX('[2]input data'!$F$1:$F$1108,AB65,1)</f>
        <v>26.1</v>
      </c>
      <c r="AC16" s="11">
        <f>INDEX('[2]input data'!$F$1:$F$1108,AC65,1)</f>
        <v>25.2</v>
      </c>
      <c r="AD16" s="11">
        <f>INDEX('[2]input data'!$F$1:$F$1108,AD65,1)</f>
        <v>25.6</v>
      </c>
      <c r="AE16" s="11">
        <f>INDEX('[2]input data'!$F$1:$F$1108,AE65,1)</f>
        <v>25.2</v>
      </c>
      <c r="AF16" s="11">
        <f>INDEX('[2]input data'!$F$1:$F$1108,AF65,1)</f>
        <v>23.6</v>
      </c>
      <c r="AG16" s="11">
        <f>INDEX('[2]input data'!$F$1:$F$1108,AG65,1)</f>
        <v>23.8</v>
      </c>
      <c r="AH16" s="12">
        <f t="shared" si="2"/>
        <v>26.1</v>
      </c>
      <c r="AI16" s="13">
        <f t="shared" si="3"/>
        <v>23.2</v>
      </c>
      <c r="AJ16" s="16">
        <f t="shared" si="7"/>
        <v>24.446153846153848</v>
      </c>
      <c r="AM16" s="15">
        <v>8</v>
      </c>
      <c r="AN16" s="11">
        <f>INDEX('[2]input data'!$G$1:$G$1108,AO65,1)</f>
        <v>22.248227889936057</v>
      </c>
      <c r="AO16" s="11">
        <f>INDEX('[2]input data'!$G$1:$G$1108,AP65,1)</f>
        <v>22.364967773946255</v>
      </c>
      <c r="AP16" s="11">
        <f>INDEX('[2]input data'!$G$1:$G$1108,AQ65,1)</f>
        <v>20.932798496159396</v>
      </c>
      <c r="AQ16" s="11">
        <f>INDEX('[2]input data'!$G$1:$G$1108,AR65,1)</f>
        <v>21.237929123275833</v>
      </c>
      <c r="AR16" s="11">
        <f>INDEX('[2]input data'!$G$1:$G$1108,AS65,1)</f>
        <v>21.243860731961245</v>
      </c>
      <c r="AS16" s="11">
        <f>INDEX('[2]input data'!$G$1:$G$1108,AT65,1)</f>
        <v>21.071033465368004</v>
      </c>
      <c r="AT16" s="11">
        <f>INDEX('[2]input data'!$G$1:$G$1108,AU65,1)</f>
        <v>20.967703097486954</v>
      </c>
      <c r="AU16" s="11">
        <f>INDEX('[2]input data'!$G$1:$G$1108,AV65,1)</f>
        <v>23.857649708441681</v>
      </c>
      <c r="AV16" s="11">
        <f>INDEX('[2]input data'!$G$1:$G$1108,AW65,1)</f>
        <v>22.421621048731168</v>
      </c>
      <c r="AW16" s="11">
        <f>INDEX('[2]input data'!$G$1:$G$1108,AX65,1)</f>
        <v>23.251853221643302</v>
      </c>
      <c r="AX16" s="11">
        <f>INDEX('[2]input data'!$G$1:$G$1108,AY65,1)</f>
        <v>23.356890846549941</v>
      </c>
      <c r="AY16" s="11">
        <f>INDEX('[2]input data'!$G$1:$G$1108,AZ65,1)</f>
        <v>21.695530782643495</v>
      </c>
      <c r="AZ16" s="11">
        <f>INDEX('[2]input data'!$G$1:$G$1108,BA65,1)</f>
        <v>22.592558509173742</v>
      </c>
      <c r="BA16" s="12">
        <f t="shared" si="4"/>
        <v>23.857649708441681</v>
      </c>
      <c r="BB16" s="13">
        <f t="shared" si="5"/>
        <v>20.932798496159396</v>
      </c>
      <c r="BC16" s="16">
        <f t="shared" si="8"/>
        <v>22.095586515024387</v>
      </c>
    </row>
    <row r="17" spans="1:55" ht="14.25" customHeight="1" x14ac:dyDescent="0.25">
      <c r="A17" s="15">
        <v>9</v>
      </c>
      <c r="B17" s="11">
        <f>'[2]input data'!E294</f>
        <v>25.2</v>
      </c>
      <c r="C17" s="11">
        <f>'[2]input data'!E295</f>
        <v>27</v>
      </c>
      <c r="D17" s="11">
        <f>'[2]input data'!E296</f>
        <v>27.8</v>
      </c>
      <c r="E17" s="11">
        <f>'[2]input data'!E297</f>
        <v>28.2</v>
      </c>
      <c r="F17" s="11">
        <f>'[2]input data'!E298</f>
        <v>26.4</v>
      </c>
      <c r="G17" s="11">
        <f>'[2]input data'!E299</f>
        <v>28.2</v>
      </c>
      <c r="H17" s="11">
        <f>'[2]input data'!E300</f>
        <v>28.8</v>
      </c>
      <c r="I17" s="11">
        <f>'[2]input data'!E301</f>
        <v>27.5</v>
      </c>
      <c r="J17" s="11">
        <f>'[2]input data'!E302</f>
        <v>24.6</v>
      </c>
      <c r="K17" s="11">
        <f>'[2]input data'!E303</f>
        <v>25.5</v>
      </c>
      <c r="L17" s="11">
        <f>'[2]input data'!E304</f>
        <v>25.8</v>
      </c>
      <c r="M17" s="11">
        <f>'[2]input data'!E305</f>
        <v>25.7</v>
      </c>
      <c r="N17" s="11">
        <f>'[2]input data'!E306</f>
        <v>25.2</v>
      </c>
      <c r="O17" s="12">
        <f t="shared" si="0"/>
        <v>28.8</v>
      </c>
      <c r="P17" s="13">
        <f t="shared" si="1"/>
        <v>24.6</v>
      </c>
      <c r="Q17" s="16">
        <f t="shared" si="6"/>
        <v>26.607692307692307</v>
      </c>
      <c r="T17" s="15">
        <v>9</v>
      </c>
      <c r="U17" s="11">
        <f>INDEX('[2]input data'!$F$1:$F$1108,U66,1)</f>
        <v>24.2</v>
      </c>
      <c r="V17" s="11">
        <f>INDEX('[2]input data'!$F$1:$F$1108,V66,1)</f>
        <v>24.6</v>
      </c>
      <c r="W17" s="11">
        <f>INDEX('[2]input data'!$F$1:$F$1108,W66,1)</f>
        <v>25.2</v>
      </c>
      <c r="X17" s="11">
        <f>INDEX('[2]input data'!$F$1:$F$1108,X66,1)</f>
        <v>25.2</v>
      </c>
      <c r="Y17" s="11">
        <f>INDEX('[2]input data'!$F$1:$F$1108,Y66,1)</f>
        <v>24.2</v>
      </c>
      <c r="Z17" s="11">
        <f>INDEX('[2]input data'!$F$1:$F$1108,Z66,1)</f>
        <v>24.9</v>
      </c>
      <c r="AA17" s="11">
        <f>INDEX('[2]input data'!$F$1:$F$1108,AA66,1)</f>
        <v>25.6</v>
      </c>
      <c r="AB17" s="11">
        <f>INDEX('[2]input data'!$F$1:$F$1108,AB66,1)</f>
        <v>23.9</v>
      </c>
      <c r="AC17" s="11">
        <f>INDEX('[2]input data'!$F$1:$F$1108,AC66,1)</f>
        <v>23.2</v>
      </c>
      <c r="AD17" s="11">
        <f>INDEX('[2]input data'!$F$1:$F$1108,AD66,1)</f>
        <v>24</v>
      </c>
      <c r="AE17" s="11">
        <f>INDEX('[2]input data'!$F$1:$F$1108,AE66,1)</f>
        <v>24.2</v>
      </c>
      <c r="AF17" s="11">
        <f>INDEX('[2]input data'!$F$1:$F$1108,AF66,1)</f>
        <v>24.5</v>
      </c>
      <c r="AG17" s="11">
        <f>INDEX('[2]input data'!$F$1:$F$1108,AG66,1)</f>
        <v>24.2</v>
      </c>
      <c r="AH17" s="12">
        <f t="shared" si="2"/>
        <v>25.6</v>
      </c>
      <c r="AI17" s="13">
        <f t="shared" si="3"/>
        <v>23.2</v>
      </c>
      <c r="AJ17" s="16">
        <f t="shared" si="7"/>
        <v>24.45384615384615</v>
      </c>
      <c r="AM17" s="15">
        <v>9</v>
      </c>
      <c r="AN17" s="11">
        <f>INDEX('[2]input data'!$G$1:$G$1108,AO66,1)</f>
        <v>23.655772475405435</v>
      </c>
      <c r="AO17" s="11">
        <f>INDEX('[2]input data'!$G$1:$G$1108,AP66,1)</f>
        <v>23.439555090650348</v>
      </c>
      <c r="AP17" s="11">
        <f>INDEX('[2]input data'!$G$1:$G$1108,AQ66,1)</f>
        <v>23.985178287701391</v>
      </c>
      <c r="AQ17" s="11">
        <f>INDEX('[2]input data'!$G$1:$G$1108,AR66,1)</f>
        <v>23.807773416804665</v>
      </c>
      <c r="AR17" s="11">
        <f>INDEX('[2]input data'!$G$1:$G$1108,AS66,1)</f>
        <v>23.109032442757304</v>
      </c>
      <c r="AS17" s="11">
        <f>INDEX('[2]input data'!$G$1:$G$1108,AT66,1)</f>
        <v>23.350164439350358</v>
      </c>
      <c r="AT17" s="11">
        <f>INDEX('[2]input data'!$G$1:$G$1108,AU66,1)</f>
        <v>24.148033521051371</v>
      </c>
      <c r="AU17" s="11">
        <f>INDEX('[2]input data'!$G$1:$G$1108,AV66,1)</f>
        <v>22.123013428901654</v>
      </c>
      <c r="AV17" s="11">
        <f>INDEX('[2]input data'!$G$1:$G$1108,AW66,1)</f>
        <v>22.440752283690482</v>
      </c>
      <c r="AW17" s="11">
        <f>INDEX('[2]input data'!$G$1:$G$1108,AX66,1)</f>
        <v>23.222644384066268</v>
      </c>
      <c r="AX17" s="11">
        <f>INDEX('[2]input data'!$G$1:$G$1108,AY66,1)</f>
        <v>23.384370540910407</v>
      </c>
      <c r="AY17" s="11">
        <f>INDEX('[2]input data'!$G$1:$G$1108,AZ66,1)</f>
        <v>23.874222865361531</v>
      </c>
      <c r="AZ17" s="11">
        <f>INDEX('[2]input data'!$G$1:$G$1108,BA66,1)</f>
        <v>23.655772475405435</v>
      </c>
      <c r="BA17" s="12">
        <f t="shared" si="4"/>
        <v>24.148033521051371</v>
      </c>
      <c r="BB17" s="13">
        <f t="shared" si="5"/>
        <v>22.123013428901654</v>
      </c>
      <c r="BC17" s="16">
        <f t="shared" si="8"/>
        <v>23.399714280927434</v>
      </c>
    </row>
    <row r="18" spans="1:55" ht="14.25" customHeight="1" x14ac:dyDescent="0.25">
      <c r="A18" s="15">
        <v>10</v>
      </c>
      <c r="B18" s="11">
        <f>'[2]input data'!E330</f>
        <v>23.3</v>
      </c>
      <c r="C18" s="11">
        <f>'[2]input data'!E331</f>
        <v>24.2</v>
      </c>
      <c r="D18" s="11">
        <f>'[2]input data'!E332</f>
        <v>25.8</v>
      </c>
      <c r="E18" s="11">
        <f>'[2]input data'!E333</f>
        <v>27.9</v>
      </c>
      <c r="F18" s="11">
        <f>'[2]input data'!E334</f>
        <v>28.9</v>
      </c>
      <c r="G18" s="11">
        <f>'[2]input data'!E335</f>
        <v>29.6</v>
      </c>
      <c r="H18" s="11">
        <f>'[2]input data'!E336</f>
        <v>30.6</v>
      </c>
      <c r="I18" s="11">
        <f>'[2]input data'!E337</f>
        <v>31</v>
      </c>
      <c r="J18" s="11">
        <f>'[2]input data'!E338</f>
        <v>26</v>
      </c>
      <c r="K18" s="11">
        <f>'[2]input data'!E339</f>
        <v>24.6</v>
      </c>
      <c r="L18" s="11">
        <f>'[2]input data'!E340</f>
        <v>25.8</v>
      </c>
      <c r="M18" s="11">
        <f>'[2]input data'!E341</f>
        <v>25.8</v>
      </c>
      <c r="N18" s="11">
        <f>'[2]input data'!E342</f>
        <v>26</v>
      </c>
      <c r="O18" s="12">
        <f t="shared" si="0"/>
        <v>31</v>
      </c>
      <c r="P18" s="13">
        <f t="shared" si="1"/>
        <v>23.3</v>
      </c>
      <c r="Q18" s="16">
        <f t="shared" si="6"/>
        <v>26.884615384615383</v>
      </c>
      <c r="T18" s="15">
        <v>10</v>
      </c>
      <c r="U18" s="11">
        <f>INDEX('[2]input data'!$F$1:$F$1108,U67,1)</f>
        <v>22.8</v>
      </c>
      <c r="V18" s="11">
        <f>INDEX('[2]input data'!$F$1:$F$1108,V67,1)</f>
        <v>23.2</v>
      </c>
      <c r="W18" s="11">
        <f>INDEX('[2]input data'!$F$1:$F$1108,W67,1)</f>
        <v>24.1</v>
      </c>
      <c r="X18" s="11">
        <f>INDEX('[2]input data'!$F$1:$F$1108,X67,1)</f>
        <v>24.7</v>
      </c>
      <c r="Y18" s="11">
        <f>INDEX('[2]input data'!$F$1:$F$1108,Y67,1)</f>
        <v>24.4</v>
      </c>
      <c r="Z18" s="11">
        <f>INDEX('[2]input data'!$F$1:$F$1108,Z67,1)</f>
        <v>24.8</v>
      </c>
      <c r="AA18" s="11">
        <f>INDEX('[2]input data'!$F$1:$F$1108,AA67,1)</f>
        <v>25.5</v>
      </c>
      <c r="AB18" s="11">
        <f>INDEX('[2]input data'!$F$1:$F$1108,AB67,1)</f>
        <v>25</v>
      </c>
      <c r="AC18" s="11">
        <f>INDEX('[2]input data'!$F$1:$F$1108,AC67,1)</f>
        <v>24.6</v>
      </c>
      <c r="AD18" s="11">
        <f>INDEX('[2]input data'!$F$1:$F$1108,AD67,1)</f>
        <v>23.6</v>
      </c>
      <c r="AE18" s="11">
        <f>INDEX('[2]input data'!$F$1:$F$1108,AE67,1)</f>
        <v>24.8</v>
      </c>
      <c r="AF18" s="11">
        <f>INDEX('[2]input data'!$F$1:$F$1108,AF67,1)</f>
        <v>24.8</v>
      </c>
      <c r="AG18" s="11">
        <f>INDEX('[2]input data'!$F$1:$F$1108,AG67,1)</f>
        <v>25</v>
      </c>
      <c r="AH18" s="12">
        <f t="shared" si="2"/>
        <v>25.5</v>
      </c>
      <c r="AI18" s="13">
        <f t="shared" si="3"/>
        <v>22.8</v>
      </c>
      <c r="AJ18" s="16">
        <f t="shared" si="7"/>
        <v>24.407692307692308</v>
      </c>
      <c r="AM18" s="15">
        <v>10</v>
      </c>
      <c r="AN18" s="11">
        <f>INDEX('[2]input data'!$G$1:$G$1108,AO67,1)</f>
        <v>22.461810497075199</v>
      </c>
      <c r="AO18" s="11">
        <f>INDEX('[2]input data'!$G$1:$G$1108,AP67,1)</f>
        <v>22.631329178936141</v>
      </c>
      <c r="AP18" s="11">
        <f>INDEX('[2]input data'!$G$1:$G$1108,AQ67,1)</f>
        <v>23.234654421351522</v>
      </c>
      <c r="AQ18" s="11">
        <f>INDEX('[2]input data'!$G$1:$G$1108,AR67,1)</f>
        <v>23.180375201803859</v>
      </c>
      <c r="AR18" s="11">
        <f>INDEX('[2]input data'!$G$1:$G$1108,AS67,1)</f>
        <v>22.23790416583001</v>
      </c>
      <c r="AS18" s="11">
        <f>INDEX('[2]input data'!$G$1:$G$1108,AT67,1)</f>
        <v>22.540866348822316</v>
      </c>
      <c r="AT18" s="11">
        <f>INDEX('[2]input data'!$G$1:$G$1108,AU67,1)</f>
        <v>23.18544147210784</v>
      </c>
      <c r="AU18" s="11">
        <f>INDEX('[2]input data'!$G$1:$G$1108,AV67,1)</f>
        <v>22.191206158280181</v>
      </c>
      <c r="AV18" s="11">
        <f>INDEX('[2]input data'!$G$1:$G$1108,AW67,1)</f>
        <v>23.88848726151063</v>
      </c>
      <c r="AW18" s="11">
        <f>INDEX('[2]input data'!$G$1:$G$1108,AX67,1)</f>
        <v>23.041286800704647</v>
      </c>
      <c r="AX18" s="11">
        <f>INDEX('[2]input data'!$G$1:$G$1108,AY67,1)</f>
        <v>24.269737574447021</v>
      </c>
      <c r="AY18" s="11">
        <f>INDEX('[2]input data'!$G$1:$G$1108,AZ67,1)</f>
        <v>24.269737574447021</v>
      </c>
      <c r="AZ18" s="11">
        <f>INDEX('[2]input data'!$G$1:$G$1108,BA67,1)</f>
        <v>24.474280736128826</v>
      </c>
      <c r="BA18" s="12">
        <f t="shared" si="4"/>
        <v>24.474280736128826</v>
      </c>
      <c r="BB18" s="13">
        <f t="shared" si="5"/>
        <v>22.191206158280181</v>
      </c>
      <c r="BC18" s="16">
        <f t="shared" si="8"/>
        <v>23.200547491649633</v>
      </c>
    </row>
    <row r="19" spans="1:55" ht="14.25" customHeight="1" x14ac:dyDescent="0.25">
      <c r="A19" s="15">
        <v>11</v>
      </c>
      <c r="B19" s="11">
        <f>'[2]input data'!E366</f>
        <v>25</v>
      </c>
      <c r="C19" s="11">
        <f>'[2]input data'!E367</f>
        <v>26.7</v>
      </c>
      <c r="D19" s="11">
        <f>'[2]input data'!E368</f>
        <v>28</v>
      </c>
      <c r="E19" s="11">
        <f>'[2]input data'!E369</f>
        <v>29.2</v>
      </c>
      <c r="F19" s="11">
        <f>'[2]input data'!E370</f>
        <v>29.6</v>
      </c>
      <c r="G19" s="11">
        <f>'[2]input data'!E371</f>
        <v>30.3</v>
      </c>
      <c r="H19" s="11">
        <f>'[2]input data'!E372</f>
        <v>30</v>
      </c>
      <c r="I19" s="11">
        <f>'[2]input data'!E373</f>
        <v>29.8</v>
      </c>
      <c r="J19" s="11">
        <f>'[2]input data'!E374</f>
        <v>25.4</v>
      </c>
      <c r="K19" s="11">
        <f>'[2]input data'!E375</f>
        <v>23.4</v>
      </c>
      <c r="L19" s="11">
        <f>'[2]input data'!E376</f>
        <v>23.6</v>
      </c>
      <c r="M19" s="11">
        <f>'[2]input data'!E377</f>
        <v>23.6</v>
      </c>
      <c r="N19" s="11">
        <f>'[2]input data'!E378</f>
        <v>23.6</v>
      </c>
      <c r="O19" s="12">
        <f t="shared" si="0"/>
        <v>30.3</v>
      </c>
      <c r="P19" s="13">
        <f t="shared" si="1"/>
        <v>23.4</v>
      </c>
      <c r="Q19" s="16">
        <f t="shared" si="6"/>
        <v>26.784615384615392</v>
      </c>
      <c r="T19" s="15">
        <v>11</v>
      </c>
      <c r="U19" s="11">
        <f>INDEX('[2]input data'!$F$1:$F$1108,U68,1)</f>
        <v>24</v>
      </c>
      <c r="V19" s="11">
        <f>INDEX('[2]input data'!$F$1:$F$1108,V68,1)</f>
        <v>24.2</v>
      </c>
      <c r="W19" s="11">
        <f>INDEX('[2]input data'!$F$1:$F$1108,W68,1)</f>
        <v>24.8</v>
      </c>
      <c r="X19" s="11">
        <f>INDEX('[2]input data'!$F$1:$F$1108,X68,1)</f>
        <v>25.3</v>
      </c>
      <c r="Y19" s="11">
        <f>INDEX('[2]input data'!$F$1:$F$1108,Y68,1)</f>
        <v>25.4</v>
      </c>
      <c r="Z19" s="11">
        <f>INDEX('[2]input data'!$F$1:$F$1108,Z68,1)</f>
        <v>26.1</v>
      </c>
      <c r="AA19" s="11">
        <f>INDEX('[2]input data'!$F$1:$F$1108,AA68,1)</f>
        <v>26</v>
      </c>
      <c r="AB19" s="11">
        <f>INDEX('[2]input data'!$F$1:$F$1108,AB68,1)</f>
        <v>25.2</v>
      </c>
      <c r="AC19" s="11">
        <f>INDEX('[2]input data'!$F$1:$F$1108,AC68,1)</f>
        <v>24.6</v>
      </c>
      <c r="AD19" s="11">
        <f>INDEX('[2]input data'!$F$1:$F$1108,AD68,1)</f>
        <v>23</v>
      </c>
      <c r="AE19" s="11">
        <f>INDEX('[2]input data'!$F$1:$F$1108,AE68,1)</f>
        <v>23.4</v>
      </c>
      <c r="AF19" s="11">
        <f>INDEX('[2]input data'!$F$1:$F$1108,AF68,1)</f>
        <v>23.4</v>
      </c>
      <c r="AG19" s="11">
        <f>INDEX('[2]input data'!$F$1:$F$1108,AG68,1)</f>
        <v>23.4</v>
      </c>
      <c r="AH19" s="12">
        <f t="shared" si="2"/>
        <v>26.1</v>
      </c>
      <c r="AI19" s="13">
        <f t="shared" si="3"/>
        <v>23</v>
      </c>
      <c r="AJ19" s="16">
        <f t="shared" si="7"/>
        <v>24.523076923076914</v>
      </c>
      <c r="AM19" s="15">
        <v>11</v>
      </c>
      <c r="AN19" s="11">
        <f>INDEX('[2]input data'!$G$1:$G$1108,AO68,1)</f>
        <v>23.451002870250118</v>
      </c>
      <c r="AO19" s="11">
        <f>INDEX('[2]input data'!$G$1:$G$1108,AP68,1)</f>
        <v>22.969848511361342</v>
      </c>
      <c r="AP19" s="11">
        <f>INDEX('[2]input data'!$G$1:$G$1108,AQ68,1)</f>
        <v>23.28808865472617</v>
      </c>
      <c r="AQ19" s="11">
        <f>INDEX('[2]input data'!$G$1:$G$1108,AR68,1)</f>
        <v>23.511724268218156</v>
      </c>
      <c r="AR19" s="11">
        <f>INDEX('[2]input data'!$G$1:$G$1108,AS68,1)</f>
        <v>23.485447924589423</v>
      </c>
      <c r="AS19" s="11">
        <f>INDEX('[2]input data'!$G$1:$G$1108,AT68,1)</f>
        <v>24.253515668765594</v>
      </c>
      <c r="AT19" s="11">
        <f>INDEX('[2]input data'!$G$1:$G$1108,AU68,1)</f>
        <v>24.231346865433</v>
      </c>
      <c r="AU19" s="11">
        <f>INDEX('[2]input data'!$G$1:$G$1108,AV68,1)</f>
        <v>23.081131949841016</v>
      </c>
      <c r="AV19" s="11">
        <f>INDEX('[2]input data'!$G$1:$G$1108,AW68,1)</f>
        <v>24.152855495117279</v>
      </c>
      <c r="AW19" s="11">
        <f>INDEX('[2]input data'!$G$1:$G$1108,AX68,1)</f>
        <v>22.71161972509778</v>
      </c>
      <c r="AX19" s="11">
        <f>INDEX('[2]input data'!$G$1:$G$1108,AY68,1)</f>
        <v>23.207812519635773</v>
      </c>
      <c r="AY19" s="11">
        <f>INDEX('[2]input data'!$G$1:$G$1108,AZ68,1)</f>
        <v>23.207812519635773</v>
      </c>
      <c r="AZ19" s="11">
        <f>INDEX('[2]input data'!$G$1:$G$1108,BA68,1)</f>
        <v>23.207812519635773</v>
      </c>
      <c r="BA19" s="12">
        <f t="shared" si="4"/>
        <v>24.253515668765594</v>
      </c>
      <c r="BB19" s="13">
        <f t="shared" si="5"/>
        <v>22.71161972509778</v>
      </c>
      <c r="BC19" s="16">
        <f t="shared" si="8"/>
        <v>23.443078422485165</v>
      </c>
    </row>
    <row r="20" spans="1:55" ht="14.25" customHeight="1" x14ac:dyDescent="0.25">
      <c r="A20" s="15">
        <v>12</v>
      </c>
      <c r="B20" s="11">
        <f>'[2]input data'!E402</f>
        <v>24</v>
      </c>
      <c r="C20" s="11">
        <f>'[2]input data'!E403</f>
        <v>24.6</v>
      </c>
      <c r="D20" s="11">
        <f>'[2]input data'!E404</f>
        <v>26.2</v>
      </c>
      <c r="E20" s="11">
        <f>'[2]input data'!E405</f>
        <v>27.6</v>
      </c>
      <c r="F20" s="11">
        <f>'[2]input data'!E406</f>
        <v>28.5</v>
      </c>
      <c r="G20" s="11">
        <f>'[2]input data'!E407</f>
        <v>29.6</v>
      </c>
      <c r="H20" s="11">
        <f>'[2]input data'!E408</f>
        <v>30.4</v>
      </c>
      <c r="I20" s="11">
        <f>'[2]input data'!E409</f>
        <v>23.5</v>
      </c>
      <c r="J20" s="11">
        <f>'[2]input data'!E410</f>
        <v>23.5</v>
      </c>
      <c r="K20" s="11">
        <f>'[2]input data'!E411</f>
        <v>24.4</v>
      </c>
      <c r="L20" s="11">
        <f>'[2]input data'!E412</f>
        <v>24.5</v>
      </c>
      <c r="M20" s="11">
        <f>'[2]input data'!E413</f>
        <v>24.5</v>
      </c>
      <c r="N20" s="11">
        <f>'[2]input data'!E414</f>
        <v>24.5</v>
      </c>
      <c r="O20" s="12">
        <f t="shared" si="0"/>
        <v>30.4</v>
      </c>
      <c r="P20" s="13">
        <f t="shared" si="1"/>
        <v>23.5</v>
      </c>
      <c r="Q20" s="16">
        <f t="shared" si="6"/>
        <v>25.830769230769231</v>
      </c>
      <c r="T20" s="15">
        <v>12</v>
      </c>
      <c r="U20" s="11">
        <f>INDEX('[2]input data'!$F$1:$F$1108,U69,1)</f>
        <v>23</v>
      </c>
      <c r="V20" s="11">
        <f>INDEX('[2]input data'!$F$1:$F$1108,V69,1)</f>
        <v>23.2</v>
      </c>
      <c r="W20" s="11">
        <f>INDEX('[2]input data'!$F$1:$F$1108,W69,1)</f>
        <v>24.2</v>
      </c>
      <c r="X20" s="11">
        <f>INDEX('[2]input data'!$F$1:$F$1108,X69,1)</f>
        <v>24.6</v>
      </c>
      <c r="Y20" s="11">
        <f>INDEX('[2]input data'!$F$1:$F$1108,Y69,1)</f>
        <v>25</v>
      </c>
      <c r="Z20" s="11">
        <f>INDEX('[2]input data'!$F$1:$F$1108,Z69,1)</f>
        <v>25</v>
      </c>
      <c r="AA20" s="11">
        <f>INDEX('[2]input data'!$F$1:$F$1108,AA69,1)</f>
        <v>25.2</v>
      </c>
      <c r="AB20" s="11">
        <f>INDEX('[2]input data'!$F$1:$F$1108,AB69,1)</f>
        <v>23.4</v>
      </c>
      <c r="AC20" s="11">
        <f>INDEX('[2]input data'!$F$1:$F$1108,AC69,1)</f>
        <v>23.4</v>
      </c>
      <c r="AD20" s="11">
        <f>INDEX('[2]input data'!$F$1:$F$1108,AD69,1)</f>
        <v>24.3</v>
      </c>
      <c r="AE20" s="11">
        <f>INDEX('[2]input data'!$F$1:$F$1108,AE69,1)</f>
        <v>24.3</v>
      </c>
      <c r="AF20" s="11">
        <f>INDEX('[2]input data'!$F$1:$F$1108,AF69,1)</f>
        <v>24.3</v>
      </c>
      <c r="AG20" s="11">
        <f>INDEX('[2]input data'!$F$1:$F$1108,AG69,1)</f>
        <v>24.3</v>
      </c>
      <c r="AH20" s="12">
        <f t="shared" si="2"/>
        <v>25.2</v>
      </c>
      <c r="AI20" s="13">
        <f t="shared" si="3"/>
        <v>23</v>
      </c>
      <c r="AJ20" s="16">
        <f t="shared" si="7"/>
        <v>24.169230769230772</v>
      </c>
      <c r="AM20" s="15">
        <v>12</v>
      </c>
      <c r="AN20" s="11">
        <f>INDEX('[2]input data'!$G$1:$G$1108,AO69,1)</f>
        <v>22.426257580226199</v>
      </c>
      <c r="AO20" s="11">
        <f>INDEX('[2]input data'!$G$1:$G$1108,AP69,1)</f>
        <v>22.440752283690482</v>
      </c>
      <c r="AP20" s="11">
        <f>INDEX('[2]input data'!$G$1:$G$1108,AQ69,1)</f>
        <v>23.201256751926248</v>
      </c>
      <c r="AQ20" s="11">
        <f>INDEX('[2]input data'!$G$1:$G$1108,AR69,1)</f>
        <v>23.165015271595813</v>
      </c>
      <c r="AR20" s="11">
        <f>INDEX('[2]input data'!$G$1:$G$1108,AS69,1)</f>
        <v>23.36704983931029</v>
      </c>
      <c r="AS20" s="11">
        <f>INDEX('[2]input data'!$G$1:$G$1108,AT69,1)</f>
        <v>22.858668311959782</v>
      </c>
      <c r="AT20" s="11">
        <f>INDEX('[2]input data'!$G$1:$G$1108,AU69,1)</f>
        <v>22.801298714331175</v>
      </c>
      <c r="AU20" s="11">
        <f>INDEX('[2]input data'!$G$1:$G$1108,AV69,1)</f>
        <v>23.253738653530814</v>
      </c>
      <c r="AV20" s="11">
        <f>INDEX('[2]input data'!$G$1:$G$1108,AW69,1)</f>
        <v>23.253738653530814</v>
      </c>
      <c r="AW20" s="11">
        <f>INDEX('[2]input data'!$G$1:$G$1108,AX69,1)</f>
        <v>24.156000452673076</v>
      </c>
      <c r="AX20" s="11">
        <f>INDEX('[2]input data'!$G$1:$G$1108,AY69,1)</f>
        <v>24.11220071358369</v>
      </c>
      <c r="AY20" s="11">
        <f>INDEX('[2]input data'!$G$1:$G$1108,AZ69,1)</f>
        <v>24.11220071358369</v>
      </c>
      <c r="AZ20" s="11">
        <f>INDEX('[2]input data'!$G$1:$G$1108,BA69,1)</f>
        <v>24.11220071358369</v>
      </c>
      <c r="BA20" s="12">
        <f t="shared" si="4"/>
        <v>24.156000452673076</v>
      </c>
      <c r="BB20" s="13">
        <f t="shared" si="5"/>
        <v>22.426257580226199</v>
      </c>
      <c r="BC20" s="16">
        <f t="shared" si="8"/>
        <v>23.327721434886598</v>
      </c>
    </row>
    <row r="21" spans="1:55" ht="14.25" customHeight="1" x14ac:dyDescent="0.25">
      <c r="A21" s="15">
        <v>13</v>
      </c>
      <c r="B21" s="11">
        <f>'[2]input data'!E438</f>
        <v>23.8</v>
      </c>
      <c r="C21" s="11">
        <f>'[2]input data'!E439</f>
        <v>24.5</v>
      </c>
      <c r="D21" s="11">
        <f>'[2]input data'!E440</f>
        <v>25.6</v>
      </c>
      <c r="E21" s="11">
        <f>'[2]input data'!E441</f>
        <v>26.4</v>
      </c>
      <c r="F21" s="11">
        <f>'[2]input data'!E442</f>
        <v>27.1</v>
      </c>
      <c r="G21" s="11">
        <f>'[2]input data'!E443</f>
        <v>28.2</v>
      </c>
      <c r="H21" s="11">
        <f>'[2]input data'!E444</f>
        <v>28.7</v>
      </c>
      <c r="I21" s="11">
        <f>'[2]input data'!E445</f>
        <v>29.5</v>
      </c>
      <c r="J21" s="11">
        <f>'[2]input data'!E446</f>
        <v>28.8</v>
      </c>
      <c r="K21" s="11">
        <f>'[2]input data'!E447</f>
        <v>27.8</v>
      </c>
      <c r="L21" s="11">
        <f>'[2]input data'!E448</f>
        <v>24.6</v>
      </c>
      <c r="M21" s="11">
        <f>'[2]input data'!E449</f>
        <v>24</v>
      </c>
      <c r="N21" s="11">
        <f>'[2]input data'!E450</f>
        <v>23.8</v>
      </c>
      <c r="O21" s="12">
        <f t="shared" si="0"/>
        <v>29.5</v>
      </c>
      <c r="P21" s="13">
        <f t="shared" si="1"/>
        <v>23.8</v>
      </c>
      <c r="Q21" s="16">
        <f t="shared" si="6"/>
        <v>26.369230769230771</v>
      </c>
      <c r="T21" s="15">
        <v>13</v>
      </c>
      <c r="U21" s="11">
        <f>INDEX('[2]input data'!$F$1:$F$1108,U70,1)</f>
        <v>23.4</v>
      </c>
      <c r="V21" s="11">
        <f>INDEX('[2]input data'!$F$1:$F$1108,V70,1)</f>
        <v>23.7</v>
      </c>
      <c r="W21" s="11">
        <f>INDEX('[2]input data'!$F$1:$F$1108,W70,1)</f>
        <v>23.4</v>
      </c>
      <c r="X21" s="11">
        <f>INDEX('[2]input data'!$F$1:$F$1108,X70,1)</f>
        <v>24.3</v>
      </c>
      <c r="Y21" s="11">
        <f>INDEX('[2]input data'!$F$1:$F$1108,Y70,1)</f>
        <v>24.5</v>
      </c>
      <c r="Z21" s="11">
        <f>INDEX('[2]input data'!$F$1:$F$1108,Z70,1)</f>
        <v>24.8</v>
      </c>
      <c r="AA21" s="11">
        <f>INDEX('[2]input data'!$F$1:$F$1108,AA70,1)</f>
        <v>23.9</v>
      </c>
      <c r="AB21" s="11">
        <f>INDEX('[2]input data'!$F$1:$F$1108,AB70,1)</f>
        <v>25.2</v>
      </c>
      <c r="AC21" s="11">
        <f>INDEX('[2]input data'!$F$1:$F$1108,AC70,1)</f>
        <v>25.3</v>
      </c>
      <c r="AD21" s="11">
        <f>INDEX('[2]input data'!$F$1:$F$1108,AD70,1)</f>
        <v>25.2</v>
      </c>
      <c r="AE21" s="11">
        <f>INDEX('[2]input data'!$F$1:$F$1108,AE70,1)</f>
        <v>22.8</v>
      </c>
      <c r="AF21" s="11">
        <f>INDEX('[2]input data'!$F$1:$F$1108,AF70,1)</f>
        <v>22.6</v>
      </c>
      <c r="AG21" s="11">
        <f>INDEX('[2]input data'!$F$1:$F$1108,AG70,1)</f>
        <v>22.6</v>
      </c>
      <c r="AH21" s="12">
        <f t="shared" si="2"/>
        <v>25.3</v>
      </c>
      <c r="AI21" s="13">
        <f t="shared" si="3"/>
        <v>22.6</v>
      </c>
      <c r="AJ21" s="16">
        <f t="shared" si="7"/>
        <v>23.976923076923079</v>
      </c>
      <c r="AM21" s="15">
        <v>13</v>
      </c>
      <c r="AN21" s="11">
        <f>INDEX('[2]input data'!$G$1:$G$1108,AO70,1)</f>
        <v>23.115625074420976</v>
      </c>
      <c r="AO21" s="11">
        <f>INDEX('[2]input data'!$G$1:$G$1108,AP70,1)</f>
        <v>23.235791143172268</v>
      </c>
      <c r="AP21" s="11">
        <f>INDEX('[2]input data'!$G$1:$G$1108,AQ70,1)</f>
        <v>22.265061411393539</v>
      </c>
      <c r="AQ21" s="11">
        <f>INDEX('[2]input data'!$G$1:$G$1108,AR70,1)</f>
        <v>23.260286015261972</v>
      </c>
      <c r="AR21" s="11">
        <f>INDEX('[2]input data'!$G$1:$G$1108,AS70,1)</f>
        <v>23.242228744545454</v>
      </c>
      <c r="AS21" s="11">
        <f>INDEX('[2]input data'!$G$1:$G$1108,AT70,1)</f>
        <v>23.196283144013933</v>
      </c>
      <c r="AT21" s="11">
        <f>INDEX('[2]input data'!$G$1:$G$1108,AU70,1)</f>
        <v>21.529275032990029</v>
      </c>
      <c r="AU21" s="11">
        <f>INDEX('[2]input data'!$G$1:$G$1108,AV70,1)</f>
        <v>23.21951269876568</v>
      </c>
      <c r="AV21" s="11">
        <f>INDEX('[2]input data'!$G$1:$G$1108,AW70,1)</f>
        <v>23.691896911833854</v>
      </c>
      <c r="AW21" s="11">
        <f>INDEX('[2]input data'!$G$1:$G$1108,AX70,1)</f>
        <v>23.985178287701391</v>
      </c>
      <c r="AX21" s="11">
        <f>INDEX('[2]input data'!$G$1:$G$1108,AY70,1)</f>
        <v>21.829495781399554</v>
      </c>
      <c r="AY21" s="11">
        <f>INDEX('[2]input data'!$G$1:$G$1108,AZ70,1)</f>
        <v>21.818982335509961</v>
      </c>
      <c r="AZ21" s="11">
        <f>INDEX('[2]input data'!$G$1:$G$1108,BA70,1)</f>
        <v>21.91771173877353</v>
      </c>
      <c r="BA21" s="12">
        <f t="shared" si="4"/>
        <v>23.985178287701391</v>
      </c>
      <c r="BB21" s="13">
        <f t="shared" si="5"/>
        <v>21.529275032990029</v>
      </c>
      <c r="BC21" s="16">
        <f t="shared" si="8"/>
        <v>22.792871409214005</v>
      </c>
    </row>
    <row r="22" spans="1:55" ht="14.25" customHeight="1" x14ac:dyDescent="0.25">
      <c r="A22" s="15">
        <v>14</v>
      </c>
      <c r="B22" s="11">
        <f>'[2]input data'!E474</f>
        <v>24</v>
      </c>
      <c r="C22" s="11">
        <f>'[2]input data'!E475</f>
        <v>24.8</v>
      </c>
      <c r="D22" s="11">
        <f>'[2]input data'!E476</f>
        <v>26.2</v>
      </c>
      <c r="E22" s="11">
        <f>'[2]input data'!E477</f>
        <v>28.2</v>
      </c>
      <c r="F22" s="11">
        <f>'[2]input data'!E478</f>
        <v>30.2</v>
      </c>
      <c r="G22" s="11">
        <f>'[2]input data'!E479</f>
        <v>31.4</v>
      </c>
      <c r="H22" s="11">
        <f>'[2]input data'!E480</f>
        <v>31.6</v>
      </c>
      <c r="I22" s="11">
        <f>'[2]input data'!E481</f>
        <v>31.9</v>
      </c>
      <c r="J22" s="11">
        <f>'[2]input data'!E482</f>
        <v>31.4</v>
      </c>
      <c r="K22" s="11">
        <f>'[2]input data'!E483</f>
        <v>30.5</v>
      </c>
      <c r="L22" s="11">
        <f>'[2]input data'!E484</f>
        <v>28.4</v>
      </c>
      <c r="M22" s="11">
        <f>'[2]input data'!E485</f>
        <v>26.4</v>
      </c>
      <c r="N22" s="11">
        <f>'[2]input data'!E486</f>
        <v>25.7</v>
      </c>
      <c r="O22" s="12">
        <f t="shared" si="0"/>
        <v>31.9</v>
      </c>
      <c r="P22" s="13">
        <f t="shared" si="1"/>
        <v>24</v>
      </c>
      <c r="Q22" s="16">
        <f t="shared" si="6"/>
        <v>28.515384615384612</v>
      </c>
      <c r="T22" s="15">
        <v>14</v>
      </c>
      <c r="U22" s="11">
        <f>INDEX('[2]input data'!$F$1:$F$1108,U71,1)</f>
        <v>23</v>
      </c>
      <c r="V22" s="11">
        <f>INDEX('[2]input data'!$F$1:$F$1108,V71,1)</f>
        <v>23.4</v>
      </c>
      <c r="W22" s="11">
        <f>INDEX('[2]input data'!$F$1:$F$1108,W71,1)</f>
        <v>24.4</v>
      </c>
      <c r="X22" s="11">
        <f>INDEX('[2]input data'!$F$1:$F$1108,X71,1)</f>
        <v>24.2</v>
      </c>
      <c r="Y22" s="11">
        <f>INDEX('[2]input data'!$F$1:$F$1108,Y71,1)</f>
        <v>25.2</v>
      </c>
      <c r="Z22" s="11">
        <f>INDEX('[2]input data'!$F$1:$F$1108,Z71,1)</f>
        <v>24.2</v>
      </c>
      <c r="AA22" s="11">
        <f>INDEX('[2]input data'!$F$1:$F$1108,AA71,1)</f>
        <v>24.8</v>
      </c>
      <c r="AB22" s="11">
        <f>INDEX('[2]input data'!$F$1:$F$1108,AB71,1)</f>
        <v>26.7</v>
      </c>
      <c r="AC22" s="11">
        <f>INDEX('[2]input data'!$F$1:$F$1108,AC71,1)</f>
        <v>26.2</v>
      </c>
      <c r="AD22" s="11">
        <f>INDEX('[2]input data'!$F$1:$F$1108,AD71,1)</f>
        <v>25.9</v>
      </c>
      <c r="AE22" s="11">
        <f>INDEX('[2]input data'!$F$1:$F$1108,AE71,1)</f>
        <v>23.6</v>
      </c>
      <c r="AF22" s="11">
        <f>INDEX('[2]input data'!$F$1:$F$1108,AF71,1)</f>
        <v>22.6</v>
      </c>
      <c r="AG22" s="11">
        <f>INDEX('[2]input data'!$F$1:$F$1108,AG71,1)</f>
        <v>22.5</v>
      </c>
      <c r="AH22" s="12">
        <f t="shared" si="2"/>
        <v>26.7</v>
      </c>
      <c r="AI22" s="13">
        <f t="shared" si="3"/>
        <v>22.5</v>
      </c>
      <c r="AJ22" s="16">
        <f t="shared" si="7"/>
        <v>24.361538461538466</v>
      </c>
      <c r="AM22" s="15">
        <v>14</v>
      </c>
      <c r="AN22" s="11">
        <f>INDEX('[2]input data'!$G$1:$G$1108,AO71,1)</f>
        <v>22.426257580226199</v>
      </c>
      <c r="AO22" s="11">
        <f>INDEX('[2]input data'!$G$1:$G$1108,AP71,1)</f>
        <v>22.647828842860125</v>
      </c>
      <c r="AP22" s="11">
        <f>INDEX('[2]input data'!$G$1:$G$1108,AQ71,1)</f>
        <v>23.501662544126386</v>
      </c>
      <c r="AQ22" s="11">
        <f>INDEX('[2]input data'!$G$1:$G$1108,AR71,1)</f>
        <v>22.258119917094085</v>
      </c>
      <c r="AR22" s="11">
        <f>INDEX('[2]input data'!$G$1:$G$1108,AS71,1)</f>
        <v>22.895037169362322</v>
      </c>
      <c r="AS22" s="11">
        <f>INDEX('[2]input data'!$G$1:$G$1108,AT71,1)</f>
        <v>20.643070589712298</v>
      </c>
      <c r="AT22" s="11">
        <f>INDEX('[2]input data'!$G$1:$G$1108,AU71,1)</f>
        <v>21.563145517128401</v>
      </c>
      <c r="AU22" s="11">
        <f>INDEX('[2]input data'!$G$1:$G$1108,AV71,1)</f>
        <v>24.484049529388855</v>
      </c>
      <c r="AV22" s="11">
        <f>INDEX('[2]input data'!$G$1:$G$1108,AW71,1)</f>
        <v>23.925167750037577</v>
      </c>
      <c r="AW22" s="11">
        <f>INDEX('[2]input data'!$G$1:$G$1108,AX71,1)</f>
        <v>23.85743191577928</v>
      </c>
      <c r="AX22" s="11">
        <f>INDEX('[2]input data'!$G$1:$G$1108,AY71,1)</f>
        <v>21.190521710331666</v>
      </c>
      <c r="AY22" s="11">
        <f>INDEX('[2]input data'!$G$1:$G$1108,AZ71,1)</f>
        <v>20.591660485396403</v>
      </c>
      <c r="AZ22" s="11">
        <f>INDEX('[2]input data'!$G$1:$G$1108,BA71,1)</f>
        <v>20.797235284811141</v>
      </c>
      <c r="BA22" s="12">
        <f t="shared" si="4"/>
        <v>24.484049529388855</v>
      </c>
      <c r="BB22" s="13">
        <f t="shared" si="5"/>
        <v>20.591660485396403</v>
      </c>
      <c r="BC22" s="16">
        <f t="shared" si="8"/>
        <v>22.367783756634985</v>
      </c>
    </row>
    <row r="23" spans="1:55" ht="14.25" customHeight="1" x14ac:dyDescent="0.25">
      <c r="A23" s="15">
        <v>15</v>
      </c>
      <c r="B23" s="11">
        <f>'[2]input data'!E510</f>
        <v>24.9</v>
      </c>
      <c r="C23" s="11">
        <f>'[2]input data'!E511</f>
        <v>27.3</v>
      </c>
      <c r="D23" s="11">
        <f>'[2]input data'!E512</f>
        <v>29.4</v>
      </c>
      <c r="E23" s="11">
        <f>'[2]input data'!E513</f>
        <v>30.3</v>
      </c>
      <c r="F23" s="11">
        <f>'[2]input data'!E514</f>
        <v>31</v>
      </c>
      <c r="G23" s="11">
        <f>'[2]input data'!E515</f>
        <v>31.6</v>
      </c>
      <c r="H23" s="11">
        <f>'[2]input data'!E516</f>
        <v>31.4</v>
      </c>
      <c r="I23" s="11">
        <f>'[2]input data'!E517</f>
        <v>30</v>
      </c>
      <c r="J23" s="11">
        <f>'[2]input data'!E518</f>
        <v>29.4</v>
      </c>
      <c r="K23" s="11">
        <f>'[2]input data'!E519</f>
        <v>28.6</v>
      </c>
      <c r="L23" s="11">
        <f>'[2]input data'!E520</f>
        <v>27</v>
      </c>
      <c r="M23" s="11">
        <f>'[2]input data'!E521</f>
        <v>27</v>
      </c>
      <c r="N23" s="11">
        <f>'[2]input data'!E522</f>
        <v>26.2</v>
      </c>
      <c r="O23" s="12">
        <f t="shared" si="0"/>
        <v>31.6</v>
      </c>
      <c r="P23" s="13">
        <f t="shared" si="1"/>
        <v>24.9</v>
      </c>
      <c r="Q23" s="16">
        <f t="shared" si="6"/>
        <v>28.776923076923076</v>
      </c>
      <c r="T23" s="15">
        <v>15</v>
      </c>
      <c r="U23" s="11">
        <f>INDEX('[2]input data'!$F$1:$F$1108,U72,1)</f>
        <v>23.6</v>
      </c>
      <c r="V23" s="11">
        <f>INDEX('[2]input data'!$F$1:$F$1108,V72,1)</f>
        <v>24.2</v>
      </c>
      <c r="W23" s="11">
        <f>INDEX('[2]input data'!$F$1:$F$1108,W72,1)</f>
        <v>25</v>
      </c>
      <c r="X23" s="11">
        <f>INDEX('[2]input data'!$F$1:$F$1108,X72,1)</f>
        <v>25.3</v>
      </c>
      <c r="Y23" s="11">
        <f>INDEX('[2]input data'!$F$1:$F$1108,Y72,1)</f>
        <v>25.1</v>
      </c>
      <c r="Z23" s="11">
        <f>INDEX('[2]input data'!$F$1:$F$1108,Z72,1)</f>
        <v>25</v>
      </c>
      <c r="AA23" s="11">
        <f>INDEX('[2]input data'!$F$1:$F$1108,AA72,1)</f>
        <v>25.1</v>
      </c>
      <c r="AB23" s="11">
        <f>INDEX('[2]input data'!$F$1:$F$1108,AB72,1)</f>
        <v>25.2</v>
      </c>
      <c r="AC23" s="11">
        <f>INDEX('[2]input data'!$F$1:$F$1108,AC72,1)</f>
        <v>25</v>
      </c>
      <c r="AD23" s="11">
        <f>INDEX('[2]input data'!$F$1:$F$1108,AD72,1)</f>
        <v>25</v>
      </c>
      <c r="AE23" s="11">
        <f>INDEX('[2]input data'!$F$1:$F$1108,AE72,1)</f>
        <v>24.6</v>
      </c>
      <c r="AF23" s="11">
        <f>INDEX('[2]input data'!$F$1:$F$1108,AF72,1)</f>
        <v>24.6</v>
      </c>
      <c r="AG23" s="11">
        <f>INDEX('[2]input data'!$F$1:$F$1108,AG72,1)</f>
        <v>24</v>
      </c>
      <c r="AH23" s="12">
        <f t="shared" si="2"/>
        <v>25.3</v>
      </c>
      <c r="AI23" s="13">
        <f t="shared" si="3"/>
        <v>23.6</v>
      </c>
      <c r="AJ23" s="16">
        <f t="shared" si="7"/>
        <v>24.746153846153845</v>
      </c>
      <c r="AM23" s="15">
        <v>15</v>
      </c>
      <c r="AN23" s="11">
        <f>INDEX('[2]input data'!$G$1:$G$1108,AO72,1)</f>
        <v>22.901607473693023</v>
      </c>
      <c r="AO23" s="11">
        <f>INDEX('[2]input data'!$G$1:$G$1108,AP72,1)</f>
        <v>22.688369899451935</v>
      </c>
      <c r="AP23" s="11">
        <f>INDEX('[2]input data'!$G$1:$G$1108,AQ72,1)</f>
        <v>22.952122264170168</v>
      </c>
      <c r="AQ23" s="11">
        <f>INDEX('[2]input data'!$G$1:$G$1108,AR72,1)</f>
        <v>23.007249584663022</v>
      </c>
      <c r="AR23" s="11">
        <f>INDEX('[2]input data'!$G$1:$G$1108,AS72,1)</f>
        <v>22.35463937621892</v>
      </c>
      <c r="AS23" s="11">
        <f>INDEX('[2]input data'!$G$1:$G$1108,AT72,1)</f>
        <v>21.897743004464761</v>
      </c>
      <c r="AT23" s="11">
        <f>INDEX('[2]input data'!$G$1:$G$1108,AU72,1)</f>
        <v>22.16120399906259</v>
      </c>
      <c r="AU23" s="11">
        <f>INDEX('[2]input data'!$G$1:$G$1108,AV72,1)</f>
        <v>22.988313287442271</v>
      </c>
      <c r="AV23" s="11">
        <f>INDEX('[2]input data'!$G$1:$G$1108,AW72,1)</f>
        <v>22.952122264170168</v>
      </c>
      <c r="AW23" s="11">
        <f>INDEX('[2]input data'!$G$1:$G$1108,AX72,1)</f>
        <v>23.321392650725961</v>
      </c>
      <c r="AX23" s="11">
        <f>INDEX('[2]input data'!$G$1:$G$1108,AY72,1)</f>
        <v>23.439555090650348</v>
      </c>
      <c r="AY23" s="11">
        <f>INDEX('[2]input data'!$G$1:$G$1108,AZ72,1)</f>
        <v>23.439555090650348</v>
      </c>
      <c r="AZ23" s="11">
        <f>INDEX('[2]input data'!$G$1:$G$1108,BA72,1)</f>
        <v>22.898249002326494</v>
      </c>
      <c r="BA23" s="12">
        <f t="shared" si="4"/>
        <v>23.439555090650348</v>
      </c>
      <c r="BB23" s="13">
        <f t="shared" si="5"/>
        <v>21.897743004464761</v>
      </c>
      <c r="BC23" s="16">
        <f t="shared" si="8"/>
        <v>22.846317152899232</v>
      </c>
    </row>
    <row r="24" spans="1:55" ht="14.25" customHeight="1" x14ac:dyDescent="0.25">
      <c r="A24" s="15">
        <v>16</v>
      </c>
      <c r="B24" s="11">
        <f>'[2]input data'!E546</f>
        <v>26.6</v>
      </c>
      <c r="C24" s="11">
        <f>'[2]input data'!E547</f>
        <v>28.5</v>
      </c>
      <c r="D24" s="11">
        <f>'[2]input data'!E548</f>
        <v>29.2</v>
      </c>
      <c r="E24" s="11">
        <f>'[2]input data'!E549</f>
        <v>30</v>
      </c>
      <c r="F24" s="11">
        <f>'[2]input data'!E550</f>
        <v>31</v>
      </c>
      <c r="G24" s="11">
        <f>'[2]input data'!E551</f>
        <v>32</v>
      </c>
      <c r="H24" s="11">
        <f>'[2]input data'!E552</f>
        <v>31.8</v>
      </c>
      <c r="I24" s="11">
        <f>'[2]input data'!E553</f>
        <v>31</v>
      </c>
      <c r="J24" s="11">
        <f>'[2]input data'!E554</f>
        <v>30</v>
      </c>
      <c r="K24" s="11">
        <f>'[2]input data'!E555</f>
        <v>28.4</v>
      </c>
      <c r="L24" s="11">
        <f>'[2]input data'!E556</f>
        <v>28.2</v>
      </c>
      <c r="M24" s="11">
        <f>'[2]input data'!E557</f>
        <v>27.8</v>
      </c>
      <c r="N24" s="11">
        <f>'[2]input data'!E558</f>
        <v>27.4</v>
      </c>
      <c r="O24" s="12">
        <f t="shared" si="0"/>
        <v>32</v>
      </c>
      <c r="P24" s="13">
        <f t="shared" si="1"/>
        <v>26.6</v>
      </c>
      <c r="Q24" s="16">
        <f t="shared" si="6"/>
        <v>29.376923076923074</v>
      </c>
      <c r="T24" s="15">
        <v>16</v>
      </c>
      <c r="U24" s="11">
        <f>INDEX('[2]input data'!$F$1:$F$1108,U73,1)</f>
        <v>24</v>
      </c>
      <c r="V24" s="11">
        <f>INDEX('[2]input data'!$F$1:$F$1108,V73,1)</f>
        <v>24</v>
      </c>
      <c r="W24" s="11">
        <f>INDEX('[2]input data'!$F$1:$F$1108,W73,1)</f>
        <v>24.1</v>
      </c>
      <c r="X24" s="11">
        <f>INDEX('[2]input data'!$F$1:$F$1108,X73,1)</f>
        <v>24.3</v>
      </c>
      <c r="Y24" s="11">
        <f>INDEX('[2]input data'!$F$1:$F$1108,Y73,1)</f>
        <v>24</v>
      </c>
      <c r="Z24" s="11">
        <f>INDEX('[2]input data'!$F$1:$F$1108,Z73,1)</f>
        <v>24.8</v>
      </c>
      <c r="AA24" s="11">
        <f>INDEX('[2]input data'!$F$1:$F$1108,AA73,1)</f>
        <v>25.4</v>
      </c>
      <c r="AB24" s="11">
        <f>INDEX('[2]input data'!$F$1:$F$1108,AB73,1)</f>
        <v>25.6</v>
      </c>
      <c r="AC24" s="11">
        <f>INDEX('[2]input data'!$F$1:$F$1108,AC73,1)</f>
        <v>25.4</v>
      </c>
      <c r="AD24" s="11">
        <f>INDEX('[2]input data'!$F$1:$F$1108,AD73,1)</f>
        <v>25.2</v>
      </c>
      <c r="AE24" s="11">
        <f>INDEX('[2]input data'!$F$1:$F$1108,AE73,1)</f>
        <v>25</v>
      </c>
      <c r="AF24" s="11">
        <f>INDEX('[2]input data'!$F$1:$F$1108,AF73,1)</f>
        <v>25</v>
      </c>
      <c r="AG24" s="11">
        <f>INDEX('[2]input data'!$F$1:$F$1108,AG73,1)</f>
        <v>24.8</v>
      </c>
      <c r="AH24" s="12">
        <f t="shared" si="2"/>
        <v>25.6</v>
      </c>
      <c r="AI24" s="13">
        <f t="shared" si="3"/>
        <v>24</v>
      </c>
      <c r="AJ24" s="16">
        <f t="shared" si="7"/>
        <v>24.738461538461536</v>
      </c>
      <c r="AM24" s="15">
        <v>16</v>
      </c>
      <c r="AN24" s="11">
        <f>INDEX('[2]input data'!$G$1:$G$1108,AO73,1)</f>
        <v>22.710351727825326</v>
      </c>
      <c r="AO24" s="11">
        <f>INDEX('[2]input data'!$G$1:$G$1108,AP73,1)</f>
        <v>21.791326148024869</v>
      </c>
      <c r="AP24" s="11">
        <f>INDEX('[2]input data'!$G$1:$G$1108,AQ73,1)</f>
        <v>21.605064958105199</v>
      </c>
      <c r="AQ24" s="11">
        <f>INDEX('[2]input data'!$G$1:$G$1108,AR73,1)</f>
        <v>21.532732680700015</v>
      </c>
      <c r="AR24" s="11">
        <f>INDEX('[2]input data'!$G$1:$G$1108,AS73,1)</f>
        <v>20.508989309109545</v>
      </c>
      <c r="AS24" s="11">
        <f>INDEX('[2]input data'!$G$1:$G$1108,AT73,1)</f>
        <v>21.361330246224274</v>
      </c>
      <c r="AT24" s="11">
        <f>INDEX('[2]input data'!$G$1:$G$1108,AU73,1)</f>
        <v>22.461217290434405</v>
      </c>
      <c r="AU24" s="11">
        <f>INDEX('[2]input data'!$G$1:$G$1108,AV73,1)</f>
        <v>23.159866723625395</v>
      </c>
      <c r="AV24" s="11">
        <f>INDEX('[2]input data'!$G$1:$G$1108,AW73,1)</f>
        <v>23.303296611588866</v>
      </c>
      <c r="AW24" s="11">
        <f>INDEX('[2]input data'!$G$1:$G$1108,AX73,1)</f>
        <v>23.718447763009451</v>
      </c>
      <c r="AX24" s="11">
        <f>INDEX('[2]input data'!$G$1:$G$1108,AY73,1)</f>
        <v>23.503366381695525</v>
      </c>
      <c r="AY24" s="11">
        <f>INDEX('[2]input data'!$G$1:$G$1108,AZ73,1)</f>
        <v>23.683614162726549</v>
      </c>
      <c r="AZ24" s="11">
        <f>INDEX('[2]input data'!$G$1:$G$1108,BA73,1)</f>
        <v>23.560870599375164</v>
      </c>
      <c r="BA24" s="12">
        <f t="shared" si="4"/>
        <v>23.718447763009451</v>
      </c>
      <c r="BB24" s="13">
        <f t="shared" si="5"/>
        <v>20.508989309109545</v>
      </c>
      <c r="BC24" s="16">
        <f t="shared" si="8"/>
        <v>22.53080573864958</v>
      </c>
    </row>
    <row r="25" spans="1:55" ht="14.25" customHeight="1" x14ac:dyDescent="0.25">
      <c r="A25" s="15">
        <v>17</v>
      </c>
      <c r="B25" s="11">
        <f>'[2]input data'!E582</f>
        <v>24.5</v>
      </c>
      <c r="C25" s="11">
        <f>'[2]input data'!E583</f>
        <v>25.8</v>
      </c>
      <c r="D25" s="11">
        <f>'[2]input data'!E584</f>
        <v>27.5</v>
      </c>
      <c r="E25" s="11">
        <f>'[2]input data'!E585</f>
        <v>28.2</v>
      </c>
      <c r="F25" s="11">
        <f>'[2]input data'!E586</f>
        <v>29.6</v>
      </c>
      <c r="G25" s="11">
        <f>'[2]input data'!E587</f>
        <v>30</v>
      </c>
      <c r="H25" s="11">
        <f>'[2]input data'!E588</f>
        <v>30.4</v>
      </c>
      <c r="I25" s="11">
        <f>'[2]input data'!E589</f>
        <v>29.9</v>
      </c>
      <c r="J25" s="11">
        <f>'[2]input data'!E590</f>
        <v>26.4</v>
      </c>
      <c r="K25" s="11">
        <f>'[2]input data'!E591</f>
        <v>26</v>
      </c>
      <c r="L25" s="11">
        <f>'[2]input data'!E592</f>
        <v>25.6</v>
      </c>
      <c r="M25" s="11">
        <f>'[2]input data'!E593</f>
        <v>25.4</v>
      </c>
      <c r="N25" s="11">
        <f>'[2]input data'!E594</f>
        <v>24.8</v>
      </c>
      <c r="O25" s="12">
        <f t="shared" si="0"/>
        <v>30.4</v>
      </c>
      <c r="P25" s="13">
        <f t="shared" si="1"/>
        <v>24.5</v>
      </c>
      <c r="Q25" s="16">
        <f t="shared" si="6"/>
        <v>27.238461538461539</v>
      </c>
      <c r="T25" s="15">
        <v>17</v>
      </c>
      <c r="U25" s="11">
        <f>INDEX('[2]input data'!$F$1:$F$1108,U74,1)</f>
        <v>23.6</v>
      </c>
      <c r="V25" s="11">
        <f>INDEX('[2]input data'!$F$1:$F$1108,V74,1)</f>
        <v>24.2</v>
      </c>
      <c r="W25" s="11">
        <f>INDEX('[2]input data'!$F$1:$F$1108,W74,1)</f>
        <v>24.8</v>
      </c>
      <c r="X25" s="11">
        <f>INDEX('[2]input data'!$F$1:$F$1108,X74,1)</f>
        <v>24.6</v>
      </c>
      <c r="Y25" s="11">
        <f>INDEX('[2]input data'!$F$1:$F$1108,Y74,1)</f>
        <v>25.4</v>
      </c>
      <c r="Z25" s="11">
        <f>INDEX('[2]input data'!$F$1:$F$1108,Z74,1)</f>
        <v>25.8</v>
      </c>
      <c r="AA25" s="11">
        <f>INDEX('[2]input data'!$F$1:$F$1108,AA74,1)</f>
        <v>25.3</v>
      </c>
      <c r="AB25" s="11">
        <f>INDEX('[2]input data'!$F$1:$F$1108,AB74,1)</f>
        <v>25.3</v>
      </c>
      <c r="AC25" s="11">
        <f>INDEX('[2]input data'!$F$1:$F$1108,AC74,1)</f>
        <v>23.7</v>
      </c>
      <c r="AD25" s="11">
        <f>INDEX('[2]input data'!$F$1:$F$1108,AD74,1)</f>
        <v>23.2</v>
      </c>
      <c r="AE25" s="11">
        <f>INDEX('[2]input data'!$F$1:$F$1108,AE74,1)</f>
        <v>22.9</v>
      </c>
      <c r="AF25" s="11">
        <f>INDEX('[2]input data'!$F$1:$F$1108,AF74,1)</f>
        <v>22.6</v>
      </c>
      <c r="AG25" s="11">
        <f>INDEX('[2]input data'!$F$1:$F$1108,AG74,1)</f>
        <v>22.8</v>
      </c>
      <c r="AH25" s="12">
        <f t="shared" si="2"/>
        <v>25.8</v>
      </c>
      <c r="AI25" s="13">
        <f t="shared" si="3"/>
        <v>22.6</v>
      </c>
      <c r="AJ25" s="16">
        <f t="shared" si="7"/>
        <v>24.169230769230772</v>
      </c>
      <c r="AM25" s="15">
        <v>17</v>
      </c>
      <c r="AN25" s="11">
        <f>INDEX('[2]input data'!$G$1:$G$1108,AO74,1)</f>
        <v>23.087618446210271</v>
      </c>
      <c r="AO25" s="11">
        <f>INDEX('[2]input data'!$G$1:$G$1108,AP74,1)</f>
        <v>23.384370540910407</v>
      </c>
      <c r="AP25" s="11">
        <f>INDEX('[2]input data'!$G$1:$G$1108,AQ74,1)</f>
        <v>23.51567808679572</v>
      </c>
      <c r="AQ25" s="11">
        <f>INDEX('[2]input data'!$G$1:$G$1108,AR74,1)</f>
        <v>22.886439940964369</v>
      </c>
      <c r="AR25" s="11">
        <f>INDEX('[2]input data'!$G$1:$G$1108,AS74,1)</f>
        <v>23.485447924589423</v>
      </c>
      <c r="AS25" s="11">
        <f>INDEX('[2]input data'!$G$1:$G$1108,AT74,1)</f>
        <v>23.924726871474732</v>
      </c>
      <c r="AT25" s="11">
        <f>INDEX('[2]input data'!$G$1:$G$1108,AU74,1)</f>
        <v>22.960715346435535</v>
      </c>
      <c r="AU25" s="11">
        <f>INDEX('[2]input data'!$G$1:$G$1108,AV74,1)</f>
        <v>23.192251346547145</v>
      </c>
      <c r="AV25" s="11">
        <f>INDEX('[2]input data'!$G$1:$G$1108,AW74,1)</f>
        <v>22.342651306421143</v>
      </c>
      <c r="AW25" s="11">
        <f>INDEX('[2]input data'!$G$1:$G$1108,AX74,1)</f>
        <v>21.758108440057615</v>
      </c>
      <c r="AX25" s="11">
        <f>INDEX('[2]input data'!$G$1:$G$1108,AY74,1)</f>
        <v>21.486176608450648</v>
      </c>
      <c r="AY25" s="11">
        <f>INDEX('[2]input data'!$G$1:$G$1108,AZ74,1)</f>
        <v>21.112895903137211</v>
      </c>
      <c r="AZ25" s="11">
        <f>INDEX('[2]input data'!$G$1:$G$1108,BA74,1)</f>
        <v>21.730298217970802</v>
      </c>
      <c r="BA25" s="12">
        <f t="shared" si="4"/>
        <v>23.924726871474732</v>
      </c>
      <c r="BB25" s="13">
        <f t="shared" si="5"/>
        <v>21.112895903137211</v>
      </c>
      <c r="BC25" s="16">
        <f t="shared" si="8"/>
        <v>22.682106075381927</v>
      </c>
    </row>
    <row r="26" spans="1:55" ht="14.25" customHeight="1" x14ac:dyDescent="0.25">
      <c r="A26" s="15">
        <v>18</v>
      </c>
      <c r="B26" s="11">
        <f>'[2]input data'!E618</f>
        <v>24.9</v>
      </c>
      <c r="C26" s="11">
        <f>'[2]input data'!E619</f>
        <v>25.9</v>
      </c>
      <c r="D26" s="11">
        <f>'[2]input data'!E620</f>
        <v>27.4</v>
      </c>
      <c r="E26" s="11">
        <f>'[2]input data'!E621</f>
        <v>28.8</v>
      </c>
      <c r="F26" s="11">
        <f>'[2]input data'!E622</f>
        <v>29.9</v>
      </c>
      <c r="G26" s="11">
        <f>'[2]input data'!E623</f>
        <v>31</v>
      </c>
      <c r="H26" s="11">
        <f>'[2]input data'!E624</f>
        <v>31.1</v>
      </c>
      <c r="I26" s="11">
        <f>'[2]input data'!E625</f>
        <v>30.4</v>
      </c>
      <c r="J26" s="11">
        <f>'[2]input data'!E626</f>
        <v>29.2</v>
      </c>
      <c r="K26" s="11">
        <f>'[2]input data'!E627</f>
        <v>25.8</v>
      </c>
      <c r="L26" s="11">
        <f>'[2]input data'!E628</f>
        <v>24.8</v>
      </c>
      <c r="M26" s="11">
        <f>'[2]input data'!E629</f>
        <v>24.6</v>
      </c>
      <c r="N26" s="11">
        <f>'[2]input data'!E630</f>
        <v>24</v>
      </c>
      <c r="O26" s="12">
        <f t="shared" si="0"/>
        <v>31.1</v>
      </c>
      <c r="P26" s="13">
        <f t="shared" si="1"/>
        <v>24</v>
      </c>
      <c r="Q26" s="16">
        <f t="shared" si="6"/>
        <v>27.523076923076925</v>
      </c>
      <c r="T26" s="15">
        <v>18</v>
      </c>
      <c r="U26" s="11">
        <f>INDEX('[2]input data'!$F$1:$F$1108,U75,1)</f>
        <v>23</v>
      </c>
      <c r="V26" s="11">
        <f>INDEX('[2]input data'!$F$1:$F$1108,V75,1)</f>
        <v>24.2</v>
      </c>
      <c r="W26" s="11">
        <f>INDEX('[2]input data'!$F$1:$F$1108,W75,1)</f>
        <v>24.8</v>
      </c>
      <c r="X26" s="11">
        <f>INDEX('[2]input data'!$F$1:$F$1108,X75,1)</f>
        <v>24.8</v>
      </c>
      <c r="Y26" s="11">
        <f>INDEX('[2]input data'!$F$1:$F$1108,Y75,1)</f>
        <v>25.8</v>
      </c>
      <c r="Z26" s="11">
        <f>INDEX('[2]input data'!$F$1:$F$1108,Z75,1)</f>
        <v>25.7</v>
      </c>
      <c r="AA26" s="11">
        <f>INDEX('[2]input data'!$F$1:$F$1108,AA75,1)</f>
        <v>26</v>
      </c>
      <c r="AB26" s="11">
        <f>INDEX('[2]input data'!$F$1:$F$1108,AB75,1)</f>
        <v>23.8</v>
      </c>
      <c r="AC26" s="11">
        <f>INDEX('[2]input data'!$F$1:$F$1108,AC75,1)</f>
        <v>25</v>
      </c>
      <c r="AD26" s="11">
        <f>INDEX('[2]input data'!$F$1:$F$1108,AD75,1)</f>
        <v>23.4</v>
      </c>
      <c r="AE26" s="11">
        <f>INDEX('[2]input data'!$F$1:$F$1108,AE75,1)</f>
        <v>23</v>
      </c>
      <c r="AF26" s="11">
        <f>INDEX('[2]input data'!$F$1:$F$1108,AF75,1)</f>
        <v>22.6</v>
      </c>
      <c r="AG26" s="11">
        <f>INDEX('[2]input data'!$F$1:$F$1108,AG75,1)</f>
        <v>22.4</v>
      </c>
      <c r="AH26" s="12">
        <f t="shared" si="2"/>
        <v>26</v>
      </c>
      <c r="AI26" s="13">
        <f t="shared" si="3"/>
        <v>22.4</v>
      </c>
      <c r="AJ26" s="16">
        <f t="shared" si="7"/>
        <v>24.192307692307693</v>
      </c>
      <c r="AM26" s="15">
        <v>18</v>
      </c>
      <c r="AN26" s="11">
        <f>INDEX('[2]input data'!$G$1:$G$1108,AO75,1)</f>
        <v>21.989938281850591</v>
      </c>
      <c r="AO26" s="11">
        <f>INDEX('[2]input data'!$G$1:$G$1108,AP75,1)</f>
        <v>23.338757504110937</v>
      </c>
      <c r="AP26" s="11">
        <f>INDEX('[2]input data'!$G$1:$G$1108,AQ75,1)</f>
        <v>23.560870599375164</v>
      </c>
      <c r="AQ26" s="11">
        <f>INDEX('[2]input data'!$G$1:$G$1108,AR75,1)</f>
        <v>22.918167167153779</v>
      </c>
      <c r="AR26" s="11">
        <f>INDEX('[2]input data'!$G$1:$G$1108,AS75,1)</f>
        <v>23.968963072351563</v>
      </c>
      <c r="AS26" s="11">
        <f>INDEX('[2]input data'!$G$1:$G$1108,AT75,1)</f>
        <v>23.318613134823512</v>
      </c>
      <c r="AT26" s="11">
        <f>INDEX('[2]input data'!$G$1:$G$1108,AU75,1)</f>
        <v>23.745816279224478</v>
      </c>
      <c r="AU26" s="11">
        <f>INDEX('[2]input data'!$G$1:$G$1108,AV75,1)</f>
        <v>20.483117326690671</v>
      </c>
      <c r="AV26" s="11">
        <f>INDEX('[2]input data'!$G$1:$G$1108,AW75,1)</f>
        <v>23.045116879889999</v>
      </c>
      <c r="AW26" s="11">
        <f>INDEX('[2]input data'!$G$1:$G$1108,AX75,1)</f>
        <v>22.168141216801725</v>
      </c>
      <c r="AX26" s="11">
        <f>INDEX('[2]input data'!$G$1:$G$1108,AY75,1)</f>
        <v>22.038921395720571</v>
      </c>
      <c r="AY26" s="11">
        <f>INDEX('[2]input data'!$G$1:$G$1108,AZ75,1)</f>
        <v>21.519633459087071</v>
      </c>
      <c r="AZ26" s="11">
        <f>INDEX('[2]input data'!$G$1:$G$1108,BA75,1)</f>
        <v>21.511181316989337</v>
      </c>
      <c r="BA26" s="12">
        <f t="shared" si="4"/>
        <v>23.968963072351563</v>
      </c>
      <c r="BB26" s="13">
        <f t="shared" si="5"/>
        <v>20.483117326690671</v>
      </c>
      <c r="BC26" s="16">
        <f t="shared" si="8"/>
        <v>22.585172125697646</v>
      </c>
    </row>
    <row r="27" spans="1:55" ht="14.25" customHeight="1" x14ac:dyDescent="0.25">
      <c r="A27" s="15">
        <v>19</v>
      </c>
      <c r="B27" s="11">
        <f>'[2]input data'!E654</f>
        <v>24</v>
      </c>
      <c r="C27" s="11">
        <f>'[2]input data'!E655</f>
        <v>25.4</v>
      </c>
      <c r="D27" s="11">
        <f>'[2]input data'!E656</f>
        <v>27.2</v>
      </c>
      <c r="E27" s="11">
        <f>'[2]input data'!E657</f>
        <v>28.4</v>
      </c>
      <c r="F27" s="11">
        <f>'[2]input data'!E658</f>
        <v>29.6</v>
      </c>
      <c r="G27" s="11">
        <f>'[2]input data'!E659</f>
        <v>30.2</v>
      </c>
      <c r="H27" s="11">
        <f>'[2]input data'!E660</f>
        <v>30</v>
      </c>
      <c r="I27" s="11">
        <f>'[2]input data'!E661</f>
        <v>29.7</v>
      </c>
      <c r="J27" s="11">
        <f>'[2]input data'!E662</f>
        <v>25.4</v>
      </c>
      <c r="K27" s="11">
        <f>'[2]input data'!E663</f>
        <v>25.9</v>
      </c>
      <c r="L27" s="11">
        <f>'[2]input data'!E664</f>
        <v>25.6</v>
      </c>
      <c r="M27" s="11">
        <f>'[2]input data'!E665</f>
        <v>24.8</v>
      </c>
      <c r="N27" s="11">
        <f>'[2]input data'!E666</f>
        <v>24.5</v>
      </c>
      <c r="O27" s="12">
        <f t="shared" si="0"/>
        <v>30.2</v>
      </c>
      <c r="P27" s="13">
        <f t="shared" si="1"/>
        <v>24</v>
      </c>
      <c r="Q27" s="16">
        <f t="shared" si="6"/>
        <v>26.976923076923075</v>
      </c>
      <c r="T27" s="15">
        <v>19</v>
      </c>
      <c r="U27" s="11">
        <f>INDEX('[2]input data'!$F$1:$F$1108,U76,1)</f>
        <v>23</v>
      </c>
      <c r="V27" s="11">
        <f>INDEX('[2]input data'!$F$1:$F$1108,V76,1)</f>
        <v>23.6</v>
      </c>
      <c r="W27" s="11">
        <f>INDEX('[2]input data'!$F$1:$F$1108,W76,1)</f>
        <v>24.2</v>
      </c>
      <c r="X27" s="11">
        <f>INDEX('[2]input data'!$F$1:$F$1108,X76,1)</f>
        <v>24.6</v>
      </c>
      <c r="Y27" s="11">
        <f>INDEX('[2]input data'!$F$1:$F$1108,Y76,1)</f>
        <v>25.4</v>
      </c>
      <c r="Z27" s="11">
        <f>INDEX('[2]input data'!$F$1:$F$1108,Z76,1)</f>
        <v>25.2</v>
      </c>
      <c r="AA27" s="11">
        <f>INDEX('[2]input data'!$F$1:$F$1108,AA76,1)</f>
        <v>26</v>
      </c>
      <c r="AB27" s="11">
        <f>INDEX('[2]input data'!$F$1:$F$1108,AB76,1)</f>
        <v>25.5</v>
      </c>
      <c r="AC27" s="11">
        <f>INDEX('[2]input data'!$F$1:$F$1108,AC76,1)</f>
        <v>22.4</v>
      </c>
      <c r="AD27" s="11">
        <f>INDEX('[2]input data'!$F$1:$F$1108,AD76,1)</f>
        <v>24</v>
      </c>
      <c r="AE27" s="11">
        <f>INDEX('[2]input data'!$F$1:$F$1108,AE76,1)</f>
        <v>23.8</v>
      </c>
      <c r="AF27" s="11">
        <f>INDEX('[2]input data'!$F$1:$F$1108,AF76,1)</f>
        <v>23.8</v>
      </c>
      <c r="AG27" s="11">
        <f>INDEX('[2]input data'!$F$1:$F$1108,AG76,1)</f>
        <v>23.6</v>
      </c>
      <c r="AH27" s="12">
        <f t="shared" si="2"/>
        <v>26</v>
      </c>
      <c r="AI27" s="13">
        <f t="shared" si="3"/>
        <v>22.4</v>
      </c>
      <c r="AJ27" s="16">
        <f t="shared" si="7"/>
        <v>24.238461538461539</v>
      </c>
      <c r="AM27" s="15">
        <v>19</v>
      </c>
      <c r="AN27" s="11">
        <f>INDEX('[2]input data'!$G$1:$G$1108,AO76,1)</f>
        <v>22.426257580226199</v>
      </c>
      <c r="AO27" s="11">
        <f>INDEX('[2]input data'!$G$1:$G$1108,AP76,1)</f>
        <v>22.666490581585112</v>
      </c>
      <c r="AP27" s="11">
        <f>INDEX('[2]input data'!$G$1:$G$1108,AQ76,1)</f>
        <v>22.735575147904516</v>
      </c>
      <c r="AQ27" s="11">
        <f>INDEX('[2]input data'!$G$1:$G$1108,AR76,1)</f>
        <v>22.792662448856582</v>
      </c>
      <c r="AR27" s="11">
        <f>INDEX('[2]input data'!$G$1:$G$1108,AS76,1)</f>
        <v>23.485447924589423</v>
      </c>
      <c r="AS27" s="11">
        <f>INDEX('[2]input data'!$G$1:$G$1108,AT76,1)</f>
        <v>22.895037169362322</v>
      </c>
      <c r="AT27" s="11">
        <f>INDEX('[2]input data'!$G$1:$G$1108,AU76,1)</f>
        <v>24.231346865433</v>
      </c>
      <c r="AU27" s="11">
        <f>INDEX('[2]input data'!$G$1:$G$1108,AV76,1)</f>
        <v>23.595364975971581</v>
      </c>
      <c r="AV27" s="11">
        <f>INDEX('[2]input data'!$G$1:$G$1108,AW76,1)</f>
        <v>20.793135845008763</v>
      </c>
      <c r="AW27" s="11">
        <f>INDEX('[2]input data'!$G$1:$G$1108,AX76,1)</f>
        <v>23.037956678897412</v>
      </c>
      <c r="AX27" s="11">
        <f>INDEX('[2]input data'!$G$1:$G$1108,AY76,1)</f>
        <v>22.875450234951316</v>
      </c>
      <c r="AY27" s="11">
        <f>INDEX('[2]input data'!$G$1:$G$1108,AZ76,1)</f>
        <v>23.246174595512937</v>
      </c>
      <c r="AZ27" s="11">
        <f>INDEX('[2]input data'!$G$1:$G$1108,BA76,1)</f>
        <v>23.087618446210271</v>
      </c>
      <c r="BA27" s="12">
        <f t="shared" si="4"/>
        <v>24.231346865433</v>
      </c>
      <c r="BB27" s="13">
        <f t="shared" si="5"/>
        <v>20.793135845008763</v>
      </c>
      <c r="BC27" s="16">
        <f t="shared" si="8"/>
        <v>22.912962961116111</v>
      </c>
    </row>
    <row r="28" spans="1:55" ht="14.25" customHeight="1" x14ac:dyDescent="0.25">
      <c r="A28" s="15">
        <v>20</v>
      </c>
      <c r="B28" s="11">
        <f>'[2]input data'!E690</f>
        <v>24</v>
      </c>
      <c r="C28" s="11">
        <f>'[2]input data'!E691</f>
        <v>24.7</v>
      </c>
      <c r="D28" s="11">
        <f>'[2]input data'!E692</f>
        <v>25.8</v>
      </c>
      <c r="E28" s="11">
        <f>'[2]input data'!E693</f>
        <v>27.1</v>
      </c>
      <c r="F28" s="11">
        <f>'[2]input data'!E694</f>
        <v>27.9</v>
      </c>
      <c r="G28" s="11">
        <f>'[2]input data'!E695</f>
        <v>28.6</v>
      </c>
      <c r="H28" s="11">
        <f>'[2]input data'!E696</f>
        <v>28</v>
      </c>
      <c r="I28" s="11">
        <f>'[2]input data'!E697</f>
        <v>26.9</v>
      </c>
      <c r="J28" s="11">
        <f>'[2]input data'!E698</f>
        <v>25.7</v>
      </c>
      <c r="K28" s="11">
        <f>'[2]input data'!E699</f>
        <v>25.1</v>
      </c>
      <c r="L28" s="11">
        <f>'[2]input data'!E700</f>
        <v>24.6</v>
      </c>
      <c r="M28" s="11">
        <f>'[2]input data'!E701</f>
        <v>23.6</v>
      </c>
      <c r="N28" s="11">
        <f>'[2]input data'!E702</f>
        <v>22.3</v>
      </c>
      <c r="O28" s="12">
        <f t="shared" si="0"/>
        <v>28.6</v>
      </c>
      <c r="P28" s="13">
        <f t="shared" si="1"/>
        <v>22.3</v>
      </c>
      <c r="Q28" s="16">
        <f t="shared" si="6"/>
        <v>25.715384615384622</v>
      </c>
      <c r="T28" s="15">
        <v>20</v>
      </c>
      <c r="U28" s="11">
        <f>INDEX('[2]input data'!$F$1:$F$1108,U77,1)</f>
        <v>23.4</v>
      </c>
      <c r="V28" s="11">
        <f>INDEX('[2]input data'!$F$1:$F$1108,V77,1)</f>
        <v>23.5</v>
      </c>
      <c r="W28" s="11">
        <f>INDEX('[2]input data'!$F$1:$F$1108,W77,1)</f>
        <v>24.2</v>
      </c>
      <c r="X28" s="11">
        <f>INDEX('[2]input data'!$F$1:$F$1108,X77,1)</f>
        <v>24.7</v>
      </c>
      <c r="Y28" s="11">
        <f>INDEX('[2]input data'!$F$1:$F$1108,Y77,1)</f>
        <v>24.8</v>
      </c>
      <c r="Z28" s="11">
        <f>INDEX('[2]input data'!$F$1:$F$1108,Z77,1)</f>
        <v>25</v>
      </c>
      <c r="AA28" s="11">
        <f>INDEX('[2]input data'!$F$1:$F$1108,AA77,1)</f>
        <v>24.2</v>
      </c>
      <c r="AB28" s="11">
        <f>INDEX('[2]input data'!$F$1:$F$1108,AB77,1)</f>
        <v>24.6</v>
      </c>
      <c r="AC28" s="11">
        <f>INDEX('[2]input data'!$F$1:$F$1108,AC77,1)</f>
        <v>24.2</v>
      </c>
      <c r="AD28" s="11">
        <f>INDEX('[2]input data'!$F$1:$F$1108,AD77,1)</f>
        <v>23.9</v>
      </c>
      <c r="AE28" s="11">
        <f>INDEX('[2]input data'!$F$1:$F$1108,AE77,1)</f>
        <v>23.5</v>
      </c>
      <c r="AF28" s="11">
        <f>INDEX('[2]input data'!$F$1:$F$1108,AF77,1)</f>
        <v>22.8</v>
      </c>
      <c r="AG28" s="11">
        <f>INDEX('[2]input data'!$F$1:$F$1108,AG77,1)</f>
        <v>22</v>
      </c>
      <c r="AH28" s="12">
        <f t="shared" si="2"/>
        <v>25</v>
      </c>
      <c r="AI28" s="13">
        <f t="shared" si="3"/>
        <v>22</v>
      </c>
      <c r="AJ28" s="16">
        <f t="shared" si="7"/>
        <v>23.907692307692308</v>
      </c>
      <c r="AM28" s="15">
        <v>20</v>
      </c>
      <c r="AN28" s="11">
        <f>INDEX('[2]input data'!$G$1:$G$1108,AO77,1)</f>
        <v>23.022986804446777</v>
      </c>
      <c r="AO28" s="11">
        <f>INDEX('[2]input data'!$G$1:$G$1108,AP77,1)</f>
        <v>22.845309657871482</v>
      </c>
      <c r="AP28" s="11">
        <f>INDEX('[2]input data'!$G$1:$G$1108,AQ77,1)</f>
        <v>23.384370540910407</v>
      </c>
      <c r="AQ28" s="11">
        <f>INDEX('[2]input data'!$G$1:$G$1108,AR77,1)</f>
        <v>23.545262944402548</v>
      </c>
      <c r="AR28" s="11">
        <f>INDEX('[2]input data'!$G$1:$G$1108,AS77,1)</f>
        <v>23.333825326586801</v>
      </c>
      <c r="AS28" s="11">
        <f>INDEX('[2]input data'!$G$1:$G$1108,AT77,1)</f>
        <v>23.321392650725961</v>
      </c>
      <c r="AT28" s="11">
        <f>INDEX('[2]input data'!$G$1:$G$1108,AU77,1)</f>
        <v>22.354583733692817</v>
      </c>
      <c r="AU28" s="11">
        <f>INDEX('[2]input data'!$G$1:$G$1108,AV77,1)</f>
        <v>23.4849281634764</v>
      </c>
      <c r="AV28" s="11">
        <f>INDEX('[2]input data'!$G$1:$G$1108,AW77,1)</f>
        <v>23.42987425288819</v>
      </c>
      <c r="AW28" s="11">
        <f>INDEX('[2]input data'!$G$1:$G$1108,AX77,1)</f>
        <v>23.257089217326385</v>
      </c>
      <c r="AX28" s="11">
        <f>INDEX('[2]input data'!$G$1:$G$1108,AY77,1)</f>
        <v>22.892122789540583</v>
      </c>
      <c r="AY28" s="11">
        <f>INDEX('[2]input data'!$G$1:$G$1108,AZ77,1)</f>
        <v>22.317767571519479</v>
      </c>
      <c r="AZ28" s="11">
        <f>INDEX('[2]input data'!$G$1:$G$1108,BA77,1)</f>
        <v>21.750917737405739</v>
      </c>
      <c r="BA28" s="12">
        <f t="shared" si="4"/>
        <v>23.545262944402548</v>
      </c>
      <c r="BB28" s="13">
        <f t="shared" si="5"/>
        <v>21.750917737405739</v>
      </c>
      <c r="BC28" s="16">
        <f t="shared" si="8"/>
        <v>22.995417799291815</v>
      </c>
    </row>
    <row r="29" spans="1:55" ht="14.25" customHeight="1" x14ac:dyDescent="0.25">
      <c r="A29" s="15">
        <v>21</v>
      </c>
      <c r="B29" s="11">
        <f>'[2]input data'!E726</f>
        <v>23.7</v>
      </c>
      <c r="C29" s="11">
        <f>'[2]input data'!E727</f>
        <v>25.6</v>
      </c>
      <c r="D29" s="11">
        <f>'[2]input data'!E728</f>
        <v>27.3</v>
      </c>
      <c r="E29" s="11">
        <f>'[2]input data'!E729</f>
        <v>28.5</v>
      </c>
      <c r="F29" s="11">
        <f>'[2]input data'!E730</f>
        <v>29.2</v>
      </c>
      <c r="G29" s="11">
        <f>'[2]input data'!E731</f>
        <v>29.8</v>
      </c>
      <c r="H29" s="11">
        <f>'[2]input data'!E732</f>
        <v>29.9</v>
      </c>
      <c r="I29" s="11">
        <f>'[2]input data'!E733</f>
        <v>30</v>
      </c>
      <c r="J29" s="11">
        <f>'[2]input data'!E734</f>
        <v>28.6</v>
      </c>
      <c r="K29" s="11">
        <f>'[2]input data'!E735</f>
        <v>27.8</v>
      </c>
      <c r="L29" s="11">
        <f>'[2]input data'!E736</f>
        <v>27</v>
      </c>
      <c r="M29" s="11">
        <f>'[2]input data'!E737</f>
        <v>26.6</v>
      </c>
      <c r="N29" s="11">
        <f>'[2]input data'!E738</f>
        <v>25.8</v>
      </c>
      <c r="O29" s="12">
        <f t="shared" si="0"/>
        <v>30</v>
      </c>
      <c r="P29" s="13">
        <f t="shared" si="1"/>
        <v>23.7</v>
      </c>
      <c r="Q29" s="16">
        <f t="shared" si="6"/>
        <v>27.676923076923078</v>
      </c>
      <c r="T29" s="15">
        <v>21</v>
      </c>
      <c r="U29" s="11">
        <f>INDEX('[2]input data'!$F$1:$F$1108,U78,1)</f>
        <v>23.1</v>
      </c>
      <c r="V29" s="11">
        <f>INDEX('[2]input data'!$F$1:$F$1108,V78,1)</f>
        <v>23.9</v>
      </c>
      <c r="W29" s="11">
        <f>INDEX('[2]input data'!$F$1:$F$1108,W78,1)</f>
        <v>24.1</v>
      </c>
      <c r="X29" s="11">
        <f>INDEX('[2]input data'!$F$1:$F$1108,X78,1)</f>
        <v>24.5</v>
      </c>
      <c r="Y29" s="11">
        <f>INDEX('[2]input data'!$F$1:$F$1108,Y78,1)</f>
        <v>24.6</v>
      </c>
      <c r="Z29" s="11">
        <f>INDEX('[2]input data'!$F$1:$F$1108,Z78,1)</f>
        <v>24.8</v>
      </c>
      <c r="AA29" s="11">
        <f>INDEX('[2]input data'!$F$1:$F$1108,AA78,1)</f>
        <v>25.7</v>
      </c>
      <c r="AB29" s="11">
        <f>INDEX('[2]input data'!$F$1:$F$1108,AB78,1)</f>
        <v>25</v>
      </c>
      <c r="AC29" s="11">
        <f>INDEX('[2]input data'!$F$1:$F$1108,AC78,1)</f>
        <v>24.8</v>
      </c>
      <c r="AD29" s="11">
        <f>INDEX('[2]input data'!$F$1:$F$1108,AD78,1)</f>
        <v>24.8</v>
      </c>
      <c r="AE29" s="11">
        <f>INDEX('[2]input data'!$F$1:$F$1108,AE78,1)</f>
        <v>24.6</v>
      </c>
      <c r="AF29" s="11">
        <f>INDEX('[2]input data'!$F$1:$F$1108,AF78,1)</f>
        <v>24.4</v>
      </c>
      <c r="AG29" s="11">
        <f>INDEX('[2]input data'!$F$1:$F$1108,AG78,1)</f>
        <v>24</v>
      </c>
      <c r="AH29" s="12">
        <f t="shared" si="2"/>
        <v>25.7</v>
      </c>
      <c r="AI29" s="13">
        <f t="shared" si="3"/>
        <v>23.1</v>
      </c>
      <c r="AJ29" s="16">
        <f t="shared" si="7"/>
        <v>24.484615384615385</v>
      </c>
      <c r="AM29" s="15">
        <v>21</v>
      </c>
      <c r="AN29" s="11">
        <f>INDEX('[2]input data'!$G$1:$G$1108,AO78,1)</f>
        <v>22.718493760265002</v>
      </c>
      <c r="AO29" s="11">
        <f>INDEX('[2]input data'!$G$1:$G$1108,AP78,1)</f>
        <v>23.026370764979553</v>
      </c>
      <c r="AP29" s="11">
        <f>INDEX('[2]input data'!$G$1:$G$1108,AQ78,1)</f>
        <v>22.533025414360566</v>
      </c>
      <c r="AQ29" s="11">
        <f>INDEX('[2]input data'!$G$1:$G$1108,AR78,1)</f>
        <v>22.588443376288346</v>
      </c>
      <c r="AR29" s="11">
        <f>INDEX('[2]input data'!$G$1:$G$1108,AS78,1)</f>
        <v>22.412824160138996</v>
      </c>
      <c r="AS29" s="11">
        <f>INDEX('[2]input data'!$G$1:$G$1108,AT78,1)</f>
        <v>22.445350590029136</v>
      </c>
      <c r="AT29" s="11">
        <f>INDEX('[2]input data'!$G$1:$G$1108,AU78,1)</f>
        <v>23.815003930608807</v>
      </c>
      <c r="AU29" s="11">
        <f>INDEX('[2]input data'!$G$1:$G$1108,AV78,1)</f>
        <v>22.670362668359488</v>
      </c>
      <c r="AV29" s="11">
        <f>INDEX('[2]input data'!$G$1:$G$1108,AW78,1)</f>
        <v>23.011327145203094</v>
      </c>
      <c r="AW29" s="11">
        <f>INDEX('[2]input data'!$G$1:$G$1108,AX78,1)</f>
        <v>23.379452040413032</v>
      </c>
      <c r="AX29" s="11">
        <f>INDEX('[2]input data'!$G$1:$G$1108,AY78,1)</f>
        <v>23.439555090650348</v>
      </c>
      <c r="AY29" s="11">
        <f>INDEX('[2]input data'!$G$1:$G$1108,AZ78,1)</f>
        <v>23.319679814146195</v>
      </c>
      <c r="AZ29" s="11">
        <f>INDEX('[2]input data'!$G$1:$G$1108,BA78,1)</f>
        <v>23.084297681296647</v>
      </c>
      <c r="BA29" s="12">
        <f t="shared" si="4"/>
        <v>23.815003930608807</v>
      </c>
      <c r="BB29" s="13">
        <f t="shared" si="5"/>
        <v>22.412824160138996</v>
      </c>
      <c r="BC29" s="16">
        <f t="shared" si="8"/>
        <v>22.9572451105184</v>
      </c>
    </row>
    <row r="30" spans="1:55" ht="14.25" customHeight="1" x14ac:dyDescent="0.25">
      <c r="A30" s="15">
        <v>22</v>
      </c>
      <c r="B30" s="11">
        <f>'[2]input data'!E762</f>
        <v>24.8</v>
      </c>
      <c r="C30" s="11">
        <f>'[2]input data'!E763</f>
        <v>26.2</v>
      </c>
      <c r="D30" s="11">
        <f>'[2]input data'!E764</f>
        <v>28</v>
      </c>
      <c r="E30" s="11">
        <f>'[2]input data'!E765</f>
        <v>29</v>
      </c>
      <c r="F30" s="11">
        <f>'[2]input data'!E766</f>
        <v>29</v>
      </c>
      <c r="G30" s="11">
        <f>'[2]input data'!E767</f>
        <v>29.8</v>
      </c>
      <c r="H30" s="11">
        <f>'[2]input data'!E768</f>
        <v>29.6</v>
      </c>
      <c r="I30" s="11">
        <f>'[2]input data'!E769</f>
        <v>29.4</v>
      </c>
      <c r="J30" s="11">
        <f>'[2]input data'!E770</f>
        <v>28.6</v>
      </c>
      <c r="K30" s="11">
        <f>'[2]input data'!E771</f>
        <v>28.2</v>
      </c>
      <c r="L30" s="11">
        <f>'[2]input data'!E772</f>
        <v>27.8</v>
      </c>
      <c r="M30" s="11">
        <f>'[2]input data'!E773</f>
        <v>27.2</v>
      </c>
      <c r="N30" s="11">
        <f>'[2]input data'!E774</f>
        <v>26.4</v>
      </c>
      <c r="O30" s="12">
        <f t="shared" si="0"/>
        <v>29.8</v>
      </c>
      <c r="P30" s="13">
        <f t="shared" si="1"/>
        <v>24.8</v>
      </c>
      <c r="Q30" s="16">
        <f t="shared" si="6"/>
        <v>28</v>
      </c>
      <c r="T30" s="15">
        <v>22</v>
      </c>
      <c r="U30" s="11">
        <f>INDEX('[2]input data'!$F$1:$F$1108,U79,1)</f>
        <v>23.2</v>
      </c>
      <c r="V30" s="11">
        <f>INDEX('[2]input data'!$F$1:$F$1108,V79,1)</f>
        <v>23.5</v>
      </c>
      <c r="W30" s="11">
        <f>INDEX('[2]input data'!$F$1:$F$1108,W79,1)</f>
        <v>24</v>
      </c>
      <c r="X30" s="11">
        <f>INDEX('[2]input data'!$F$1:$F$1108,X79,1)</f>
        <v>24.6</v>
      </c>
      <c r="Y30" s="11">
        <f>INDEX('[2]input data'!$F$1:$F$1108,Y79,1)</f>
        <v>24.8</v>
      </c>
      <c r="Z30" s="11">
        <f>INDEX('[2]input data'!$F$1:$F$1108,Z79,1)</f>
        <v>24.8</v>
      </c>
      <c r="AA30" s="11">
        <f>INDEX('[2]input data'!$F$1:$F$1108,AA79,1)</f>
        <v>25.2</v>
      </c>
      <c r="AB30" s="11">
        <f>INDEX('[2]input data'!$F$1:$F$1108,AB79,1)</f>
        <v>25</v>
      </c>
      <c r="AC30" s="11">
        <f>INDEX('[2]input data'!$F$1:$F$1108,AC79,1)</f>
        <v>24.8</v>
      </c>
      <c r="AD30" s="11">
        <f>INDEX('[2]input data'!$F$1:$F$1108,AD79,1)</f>
        <v>24.8</v>
      </c>
      <c r="AE30" s="11">
        <f>INDEX('[2]input data'!$F$1:$F$1108,AE79,1)</f>
        <v>24.6</v>
      </c>
      <c r="AF30" s="11">
        <f>INDEX('[2]input data'!$F$1:$F$1108,AF79,1)</f>
        <v>24.2</v>
      </c>
      <c r="AG30" s="11">
        <f>INDEX('[2]input data'!$F$1:$F$1108,AG79,1)</f>
        <v>23.8</v>
      </c>
      <c r="AH30" s="12">
        <f t="shared" si="2"/>
        <v>25.2</v>
      </c>
      <c r="AI30" s="13">
        <f t="shared" si="3"/>
        <v>23.2</v>
      </c>
      <c r="AJ30" s="16">
        <f t="shared" si="7"/>
        <v>24.407692307692308</v>
      </c>
      <c r="AM30" s="15">
        <v>22</v>
      </c>
      <c r="AN30" s="11">
        <f>INDEX('[2]input data'!$G$1:$G$1108,AO79,1)</f>
        <v>22.344736198934232</v>
      </c>
      <c r="AO30" s="11">
        <f>INDEX('[2]input data'!$G$1:$G$1108,AP79,1)</f>
        <v>22.128807201761973</v>
      </c>
      <c r="AP30" s="11">
        <f>INDEX('[2]input data'!$G$1:$G$1108,AQ79,1)</f>
        <v>22.037563837182521</v>
      </c>
      <c r="AQ30" s="11">
        <f>INDEX('[2]input data'!$G$1:$G$1108,AR79,1)</f>
        <v>22.508503251918363</v>
      </c>
      <c r="AR30" s="11">
        <f>INDEX('[2]input data'!$G$1:$G$1108,AS79,1)</f>
        <v>22.824546080853771</v>
      </c>
      <c r="AS30" s="11">
        <f>INDEX('[2]input data'!$G$1:$G$1108,AT79,1)</f>
        <v>22.445350590029136</v>
      </c>
      <c r="AT30" s="11">
        <f>INDEX('[2]input data'!$G$1:$G$1108,AU79,1)</f>
        <v>23.173497959213115</v>
      </c>
      <c r="AU30" s="11">
        <f>INDEX('[2]input data'!$G$1:$G$1108,AV79,1)</f>
        <v>22.952122264170168</v>
      </c>
      <c r="AV30" s="11">
        <f>INDEX('[2]input data'!$G$1:$G$1108,AW79,1)</f>
        <v>23.011327145203094</v>
      </c>
      <c r="AW30" s="11">
        <f>INDEX('[2]input data'!$G$1:$G$1108,AX79,1)</f>
        <v>23.196283144013933</v>
      </c>
      <c r="AX30" s="11">
        <f>INDEX('[2]input data'!$G$1:$G$1108,AY79,1)</f>
        <v>23.072611503492613</v>
      </c>
      <c r="AY30" s="11">
        <f>INDEX('[2]input data'!$G$1:$G$1108,AZ79,1)</f>
        <v>22.735575147904516</v>
      </c>
      <c r="AZ30" s="11">
        <f>INDEX('[2]input data'!$G$1:$G$1108,BA79,1)</f>
        <v>22.497311086300893</v>
      </c>
      <c r="BA30" s="12">
        <f t="shared" si="4"/>
        <v>23.196283144013933</v>
      </c>
      <c r="BB30" s="13">
        <f t="shared" si="5"/>
        <v>22.037563837182521</v>
      </c>
      <c r="BC30" s="16">
        <f t="shared" si="8"/>
        <v>22.686787339306026</v>
      </c>
    </row>
    <row r="31" spans="1:55" ht="14.25" customHeight="1" x14ac:dyDescent="0.25">
      <c r="A31" s="15">
        <v>23</v>
      </c>
      <c r="B31" s="11">
        <f>'[2]input data'!E798</f>
        <v>24.2</v>
      </c>
      <c r="C31" s="11">
        <f>'[2]input data'!E799</f>
        <v>25</v>
      </c>
      <c r="D31" s="11">
        <f>'[2]input data'!E800</f>
        <v>25.5</v>
      </c>
      <c r="E31" s="11">
        <f>'[2]input data'!E801</f>
        <v>26.6</v>
      </c>
      <c r="F31" s="11">
        <f>'[2]input data'!E802</f>
        <v>27.8</v>
      </c>
      <c r="G31" s="11">
        <f>'[2]input data'!E803</f>
        <v>28.6</v>
      </c>
      <c r="H31" s="11">
        <f>'[2]input data'!E804</f>
        <v>28.8</v>
      </c>
      <c r="I31" s="11">
        <f>'[2]input data'!E805</f>
        <v>29.5</v>
      </c>
      <c r="J31" s="11">
        <f>'[2]input data'!E806</f>
        <v>29.4</v>
      </c>
      <c r="K31" s="11">
        <f>'[2]input data'!E807</f>
        <v>29.4</v>
      </c>
      <c r="L31" s="11">
        <f>'[2]input data'!E808</f>
        <v>27.8</v>
      </c>
      <c r="M31" s="11">
        <f>'[2]input data'!E809</f>
        <v>27.3</v>
      </c>
      <c r="N31" s="11">
        <f>'[2]input data'!E810</f>
        <v>26.3</v>
      </c>
      <c r="O31" s="12">
        <f t="shared" si="0"/>
        <v>29.5</v>
      </c>
      <c r="P31" s="13">
        <f t="shared" si="1"/>
        <v>24.2</v>
      </c>
      <c r="Q31" s="16">
        <f t="shared" si="6"/>
        <v>27.400000000000002</v>
      </c>
      <c r="T31" s="15">
        <v>23</v>
      </c>
      <c r="U31" s="11">
        <f>INDEX('[2]input data'!$F$1:$F$1108,U80,1)</f>
        <v>23.6</v>
      </c>
      <c r="V31" s="11">
        <f>INDEX('[2]input data'!$F$1:$F$1108,V80,1)</f>
        <v>24.1</v>
      </c>
      <c r="W31" s="11">
        <f>INDEX('[2]input data'!$F$1:$F$1108,W80,1)</f>
        <v>24.5</v>
      </c>
      <c r="X31" s="11">
        <f>INDEX('[2]input data'!$F$1:$F$1108,X80,1)</f>
        <v>24.9</v>
      </c>
      <c r="Y31" s="11">
        <f>INDEX('[2]input data'!$F$1:$F$1108,Y80,1)</f>
        <v>25</v>
      </c>
      <c r="Z31" s="11">
        <f>INDEX('[2]input data'!$F$1:$F$1108,Z80,1)</f>
        <v>25.2</v>
      </c>
      <c r="AA31" s="11">
        <f>INDEX('[2]input data'!$F$1:$F$1108,AA80,1)</f>
        <v>25.6</v>
      </c>
      <c r="AB31" s="11">
        <f>INDEX('[2]input data'!$F$1:$F$1108,AB80,1)</f>
        <v>25.6</v>
      </c>
      <c r="AC31" s="11">
        <f>INDEX('[2]input data'!$F$1:$F$1108,AC80,1)</f>
        <v>25.6</v>
      </c>
      <c r="AD31" s="11">
        <f>INDEX('[2]input data'!$F$1:$F$1108,AD80,1)</f>
        <v>25.4</v>
      </c>
      <c r="AE31" s="11">
        <f>INDEX('[2]input data'!$F$1:$F$1108,AE80,1)</f>
        <v>24.5</v>
      </c>
      <c r="AF31" s="11">
        <f>INDEX('[2]input data'!$F$1:$F$1108,AF80,1)</f>
        <v>24.8</v>
      </c>
      <c r="AG31" s="11">
        <f>INDEX('[2]input data'!$F$1:$F$1108,AG80,1)</f>
        <v>24.3</v>
      </c>
      <c r="AH31" s="12">
        <f t="shared" si="2"/>
        <v>25.6</v>
      </c>
      <c r="AI31" s="13">
        <f t="shared" si="3"/>
        <v>23.6</v>
      </c>
      <c r="AJ31" s="16">
        <f t="shared" si="7"/>
        <v>24.853846153846156</v>
      </c>
      <c r="AM31" s="15">
        <v>23</v>
      </c>
      <c r="AN31" s="11">
        <f>INDEX('[2]input data'!$G$1:$G$1108,AO80,1)</f>
        <v>23.225937351919136</v>
      </c>
      <c r="AO31" s="11">
        <f>INDEX('[2]input data'!$G$1:$G$1108,AP80,1)</f>
        <v>23.598495867136165</v>
      </c>
      <c r="AP31" s="11">
        <f>INDEX('[2]input data'!$G$1:$G$1108,AQ80,1)</f>
        <v>23.962818704493536</v>
      </c>
      <c r="AQ31" s="11">
        <f>INDEX('[2]input data'!$G$1:$G$1108,AR80,1)</f>
        <v>24.066773325049194</v>
      </c>
      <c r="AR31" s="11">
        <f>INDEX('[2]input data'!$G$1:$G$1108,AS80,1)</f>
        <v>23.683614162726549</v>
      </c>
      <c r="AS31" s="11">
        <f>INDEX('[2]input data'!$G$1:$G$1108,AT80,1)</f>
        <v>23.628701010435609</v>
      </c>
      <c r="AT31" s="11">
        <f>INDEX('[2]input data'!$G$1:$G$1108,AU80,1)</f>
        <v>24.148033521051371</v>
      </c>
      <c r="AU31" s="11">
        <f>INDEX('[2]input data'!$G$1:$G$1108,AV80,1)</f>
        <v>23.839145063199307</v>
      </c>
      <c r="AV31" s="11">
        <f>INDEX('[2]input data'!$G$1:$G$1108,AW80,1)</f>
        <v>23.883579415901753</v>
      </c>
      <c r="AW31" s="11">
        <f>INDEX('[2]input data'!$G$1:$G$1108,AX80,1)</f>
        <v>23.575872804337322</v>
      </c>
      <c r="AX31" s="11">
        <f>INDEX('[2]input data'!$G$1:$G$1108,AY80,1)</f>
        <v>22.918160749608798</v>
      </c>
      <c r="AY31" s="11">
        <f>INDEX('[2]input data'!$G$1:$G$1108,AZ80,1)</f>
        <v>23.605955947310239</v>
      </c>
      <c r="AZ31" s="11">
        <f>INDEX('[2]input data'!$G$1:$G$1108,BA80,1)</f>
        <v>23.306088145728847</v>
      </c>
      <c r="BA31" s="12">
        <f t="shared" si="4"/>
        <v>24.148033521051371</v>
      </c>
      <c r="BB31" s="13">
        <f t="shared" si="5"/>
        <v>22.918160749608798</v>
      </c>
      <c r="BC31" s="16">
        <f t="shared" si="8"/>
        <v>23.649475082222907</v>
      </c>
    </row>
    <row r="32" spans="1:55" ht="14.25" customHeight="1" x14ac:dyDescent="0.25">
      <c r="A32" s="15">
        <v>24</v>
      </c>
      <c r="B32" s="11">
        <f>'[2]input data'!E834</f>
        <v>25.5</v>
      </c>
      <c r="C32" s="11">
        <f>'[2]input data'!E835</f>
        <v>26.9</v>
      </c>
      <c r="D32" s="11">
        <f>'[2]input data'!E836</f>
        <v>28.2</v>
      </c>
      <c r="E32" s="11">
        <f>'[2]input data'!E837</f>
        <v>29.4</v>
      </c>
      <c r="F32" s="11">
        <f>'[2]input data'!E838</f>
        <v>30.3</v>
      </c>
      <c r="G32" s="11">
        <f>'[2]input data'!E839</f>
        <v>30.7</v>
      </c>
      <c r="H32" s="11">
        <f>'[2]input data'!E840</f>
        <v>31</v>
      </c>
      <c r="I32" s="11">
        <f>'[2]input data'!E841</f>
        <v>31.2</v>
      </c>
      <c r="J32" s="11">
        <f>'[2]input data'!E842</f>
        <v>30.2</v>
      </c>
      <c r="K32" s="11">
        <f>'[2]input data'!E843</f>
        <v>30</v>
      </c>
      <c r="L32" s="11">
        <f>'[2]input data'!E844</f>
        <v>28.6</v>
      </c>
      <c r="M32" s="11">
        <f>'[2]input data'!E845</f>
        <v>27.8</v>
      </c>
      <c r="N32" s="11">
        <f>'[2]input data'!E846</f>
        <v>26.4</v>
      </c>
      <c r="O32" s="12">
        <f t="shared" si="0"/>
        <v>31.2</v>
      </c>
      <c r="P32" s="13">
        <f t="shared" si="1"/>
        <v>25.5</v>
      </c>
      <c r="Q32" s="16">
        <f t="shared" si="6"/>
        <v>28.938461538461539</v>
      </c>
      <c r="T32" s="15">
        <v>24</v>
      </c>
      <c r="U32" s="11">
        <f>INDEX('[2]input data'!$F$1:$F$1108,U81,1)</f>
        <v>23.9</v>
      </c>
      <c r="V32" s="11">
        <f>INDEX('[2]input data'!$F$1:$F$1108,V81,1)</f>
        <v>24.8</v>
      </c>
      <c r="W32" s="11">
        <f>INDEX('[2]input data'!$F$1:$F$1108,W81,1)</f>
        <v>24.1</v>
      </c>
      <c r="X32" s="11">
        <f>INDEX('[2]input data'!$F$1:$F$1108,X81,1)</f>
        <v>24.5</v>
      </c>
      <c r="Y32" s="11">
        <f>INDEX('[2]input data'!$F$1:$F$1108,Y81,1)</f>
        <v>24.5</v>
      </c>
      <c r="Z32" s="11">
        <f>INDEX('[2]input data'!$F$1:$F$1108,Z81,1)</f>
        <v>24.5</v>
      </c>
      <c r="AA32" s="11">
        <f>INDEX('[2]input data'!$F$1:$F$1108,AA81,1)</f>
        <v>25.4</v>
      </c>
      <c r="AB32" s="11">
        <f>INDEX('[2]input data'!$F$1:$F$1108,AB81,1)</f>
        <v>25.4</v>
      </c>
      <c r="AC32" s="11">
        <f>INDEX('[2]input data'!$F$1:$F$1108,AC81,1)</f>
        <v>25.2</v>
      </c>
      <c r="AD32" s="11">
        <f>INDEX('[2]input data'!$F$1:$F$1108,AD81,1)</f>
        <v>25.2</v>
      </c>
      <c r="AE32" s="11">
        <f>INDEX('[2]input data'!$F$1:$F$1108,AE81,1)</f>
        <v>25</v>
      </c>
      <c r="AF32" s="11">
        <f>INDEX('[2]input data'!$F$1:$F$1108,AF81,1)</f>
        <v>24.6</v>
      </c>
      <c r="AG32" s="11">
        <f>INDEX('[2]input data'!$F$1:$F$1108,AG81,1)</f>
        <v>24.2</v>
      </c>
      <c r="AH32" s="12">
        <f t="shared" si="2"/>
        <v>25.4</v>
      </c>
      <c r="AI32" s="13">
        <f t="shared" si="3"/>
        <v>23.9</v>
      </c>
      <c r="AJ32" s="16">
        <f t="shared" si="7"/>
        <v>24.715384615384615</v>
      </c>
      <c r="AM32" s="15">
        <v>24</v>
      </c>
      <c r="AN32" s="11">
        <f>INDEX('[2]input data'!$G$1:$G$1108,AO81,1)</f>
        <v>23.072739791753886</v>
      </c>
      <c r="AO32" s="11">
        <f>INDEX('[2]input data'!$G$1:$G$1108,AP81,1)</f>
        <v>23.785236541264084</v>
      </c>
      <c r="AP32" s="11">
        <f>INDEX('[2]input data'!$G$1:$G$1108,AQ81,1)</f>
        <v>22.09917349386928</v>
      </c>
      <c r="AQ32" s="11">
        <f>INDEX('[2]input data'!$G$1:$G$1108,AR81,1)</f>
        <v>22.155870252918731</v>
      </c>
      <c r="AR32" s="11">
        <f>INDEX('[2]input data'!$G$1:$G$1108,AS81,1)</f>
        <v>21.713107831372216</v>
      </c>
      <c r="AS32" s="11">
        <f>INDEX('[2]input data'!$G$1:$G$1108,AT81,1)</f>
        <v>21.512916539250263</v>
      </c>
      <c r="AT32" s="11">
        <f>INDEX('[2]input data'!$G$1:$G$1108,AU81,1)</f>
        <v>22.840111988888175</v>
      </c>
      <c r="AU32" s="11">
        <f>INDEX('[2]input data'!$G$1:$G$1108,AV81,1)</f>
        <v>22.746098808962643</v>
      </c>
      <c r="AV32" s="11">
        <f>INDEX('[2]input data'!$G$1:$G$1108,AW81,1)</f>
        <v>22.895037169362322</v>
      </c>
      <c r="AW32" s="11">
        <f>INDEX('[2]input data'!$G$1:$G$1108,AX81,1)</f>
        <v>22.988313287442271</v>
      </c>
      <c r="AX32" s="11">
        <f>INDEX('[2]input data'!$G$1:$G$1108,AY81,1)</f>
        <v>23.321392650725961</v>
      </c>
      <c r="AY32" s="11">
        <f>INDEX('[2]input data'!$G$1:$G$1108,AZ81,1)</f>
        <v>23.072611503492613</v>
      </c>
      <c r="AZ32" s="11">
        <f>INDEX('[2]input data'!$G$1:$G$1108,BA81,1)</f>
        <v>23.109032442757304</v>
      </c>
      <c r="BA32" s="12">
        <f t="shared" si="4"/>
        <v>23.785236541264084</v>
      </c>
      <c r="BB32" s="13">
        <f t="shared" si="5"/>
        <v>21.512916539250263</v>
      </c>
      <c r="BC32" s="16">
        <f t="shared" si="8"/>
        <v>22.716280177081519</v>
      </c>
    </row>
    <row r="33" spans="1:55" ht="14.25" customHeight="1" x14ac:dyDescent="0.25">
      <c r="A33" s="15">
        <v>25</v>
      </c>
      <c r="B33" s="11">
        <f>'[2]input data'!E870</f>
        <v>26.4</v>
      </c>
      <c r="C33" s="11">
        <f>'[2]input data'!E871</f>
        <v>27.7</v>
      </c>
      <c r="D33" s="11">
        <f>'[2]input data'!E872</f>
        <v>29.6</v>
      </c>
      <c r="E33" s="11">
        <f>'[2]input data'!E873</f>
        <v>30.6</v>
      </c>
      <c r="F33" s="11">
        <f>'[2]input data'!E874</f>
        <v>31.2</v>
      </c>
      <c r="G33" s="11">
        <f>'[2]input data'!E875</f>
        <v>31.6</v>
      </c>
      <c r="H33" s="11">
        <f>'[2]input data'!E876</f>
        <v>31.9</v>
      </c>
      <c r="I33" s="11">
        <f>'[2]input data'!E877</f>
        <v>32.1</v>
      </c>
      <c r="J33" s="11">
        <f>'[2]input data'!E878</f>
        <v>30.7</v>
      </c>
      <c r="K33" s="11">
        <f>'[2]input data'!E879</f>
        <v>30.1</v>
      </c>
      <c r="L33" s="11">
        <f>'[2]input data'!E880</f>
        <v>29</v>
      </c>
      <c r="M33" s="11">
        <f>'[2]input data'!E881</f>
        <v>25.8</v>
      </c>
      <c r="N33" s="11">
        <f>'[2]input data'!E882</f>
        <v>25.4</v>
      </c>
      <c r="O33" s="12">
        <f t="shared" si="0"/>
        <v>32.1</v>
      </c>
      <c r="P33" s="13">
        <f t="shared" si="1"/>
        <v>25.4</v>
      </c>
      <c r="Q33" s="16">
        <f t="shared" si="6"/>
        <v>29.392307692307689</v>
      </c>
      <c r="T33" s="15">
        <v>25</v>
      </c>
      <c r="U33" s="11">
        <f>INDEX('[2]input data'!$F$1:$F$1108,U82,1)</f>
        <v>23.8</v>
      </c>
      <c r="V33" s="11">
        <f>INDEX('[2]input data'!$F$1:$F$1108,V82,1)</f>
        <v>24.2</v>
      </c>
      <c r="W33" s="11">
        <f>INDEX('[2]input data'!$F$1:$F$1108,W82,1)</f>
        <v>24.6</v>
      </c>
      <c r="X33" s="11">
        <f>INDEX('[2]input data'!$F$1:$F$1108,X82,1)</f>
        <v>24.9</v>
      </c>
      <c r="Y33" s="11">
        <f>INDEX('[2]input data'!$F$1:$F$1108,Y82,1)</f>
        <v>24.8</v>
      </c>
      <c r="Z33" s="11">
        <f>INDEX('[2]input data'!$F$1:$F$1108,Z82,1)</f>
        <v>24.9</v>
      </c>
      <c r="AA33" s="11">
        <f>INDEX('[2]input data'!$F$1:$F$1108,AA82,1)</f>
        <v>24.7</v>
      </c>
      <c r="AB33" s="11">
        <f>INDEX('[2]input data'!$F$1:$F$1108,AB82,1)</f>
        <v>26</v>
      </c>
      <c r="AC33" s="11">
        <f>INDEX('[2]input data'!$F$1:$F$1108,AC82,1)</f>
        <v>25.4</v>
      </c>
      <c r="AD33" s="11">
        <f>INDEX('[2]input data'!$F$1:$F$1108,AD82,1)</f>
        <v>26</v>
      </c>
      <c r="AE33" s="11">
        <f>INDEX('[2]input data'!$F$1:$F$1108,AE82,1)</f>
        <v>25.6</v>
      </c>
      <c r="AF33" s="11">
        <f>INDEX('[2]input data'!$F$1:$F$1108,AF82,1)</f>
        <v>23.3</v>
      </c>
      <c r="AG33" s="11">
        <f>INDEX('[2]input data'!$F$1:$F$1108,AG82,1)</f>
        <v>23.2</v>
      </c>
      <c r="AH33" s="12">
        <f t="shared" si="2"/>
        <v>26</v>
      </c>
      <c r="AI33" s="13">
        <f t="shared" si="3"/>
        <v>23.2</v>
      </c>
      <c r="AJ33" s="16">
        <f t="shared" si="7"/>
        <v>24.723076923076921</v>
      </c>
      <c r="AM33" s="15">
        <v>25</v>
      </c>
      <c r="AN33" s="11">
        <f>INDEX('[2]input data'!$G$1:$G$1108,AO82,1)</f>
        <v>22.497311086300893</v>
      </c>
      <c r="AO33" s="11">
        <f>INDEX('[2]input data'!$G$1:$G$1108,AP82,1)</f>
        <v>22.498359192841523</v>
      </c>
      <c r="AP33" s="11">
        <f>INDEX('[2]input data'!$G$1:$G$1108,AQ82,1)</f>
        <v>22.219995210731696</v>
      </c>
      <c r="AQ33" s="11">
        <f>INDEX('[2]input data'!$G$1:$G$1108,AR82,1)</f>
        <v>22.221757861918281</v>
      </c>
      <c r="AR33" s="11">
        <f>INDEX('[2]input data'!$G$1:$G$1108,AS82,1)</f>
        <v>21.762806904664341</v>
      </c>
      <c r="AS33" s="11">
        <f>INDEX('[2]input data'!$G$1:$G$1108,AT82,1)</f>
        <v>21.730884792792612</v>
      </c>
      <c r="AT33" s="11">
        <f>INDEX('[2]input data'!$G$1:$G$1108,AU82,1)</f>
        <v>21.241978043382993</v>
      </c>
      <c r="AU33" s="11">
        <f>INDEX('[2]input data'!$G$1:$G$1108,AV82,1)</f>
        <v>23.293419238797458</v>
      </c>
      <c r="AV33" s="11">
        <f>INDEX('[2]input data'!$G$1:$G$1108,AW82,1)</f>
        <v>22.980260969641254</v>
      </c>
      <c r="AW33" s="11">
        <f>INDEX('[2]input data'!$G$1:$G$1108,AX82,1)</f>
        <v>24.187714475081204</v>
      </c>
      <c r="AX33" s="11">
        <f>INDEX('[2]input data'!$G$1:$G$1108,AY82,1)</f>
        <v>24.060288665251548</v>
      </c>
      <c r="AY33" s="11">
        <f>INDEX('[2]input data'!$G$1:$G$1108,AZ82,1)</f>
        <v>22.013014015184659</v>
      </c>
      <c r="AZ33" s="11">
        <f>INDEX('[2]input data'!$G$1:$G$1108,BA82,1)</f>
        <v>22.053712651913379</v>
      </c>
      <c r="BA33" s="12">
        <f t="shared" si="4"/>
        <v>24.187714475081204</v>
      </c>
      <c r="BB33" s="13">
        <f t="shared" si="5"/>
        <v>21.241978043382993</v>
      </c>
      <c r="BC33" s="16">
        <f t="shared" si="8"/>
        <v>22.520115623730909</v>
      </c>
    </row>
    <row r="34" spans="1:55" ht="14.25" customHeight="1" x14ac:dyDescent="0.25">
      <c r="A34" s="15">
        <v>26</v>
      </c>
      <c r="B34" s="11">
        <f>'[2]input data'!E906</f>
        <v>25.1</v>
      </c>
      <c r="C34" s="11">
        <f>'[2]input data'!E907</f>
        <v>26.8</v>
      </c>
      <c r="D34" s="11">
        <f>'[2]input data'!E908</f>
        <v>28.8</v>
      </c>
      <c r="E34" s="11">
        <f>'[2]input data'!E909</f>
        <v>30</v>
      </c>
      <c r="F34" s="11">
        <f>'[2]input data'!E910</f>
        <v>30.6</v>
      </c>
      <c r="G34" s="11">
        <f>'[2]input data'!E911</f>
        <v>31.2</v>
      </c>
      <c r="H34" s="11">
        <f>'[2]input data'!E912</f>
        <v>31.6</v>
      </c>
      <c r="I34" s="11">
        <f>'[2]input data'!E913</f>
        <v>29.8</v>
      </c>
      <c r="J34" s="11">
        <f>'[2]input data'!E914</f>
        <v>27</v>
      </c>
      <c r="K34" s="11">
        <f>'[2]input data'!E915</f>
        <v>27.1</v>
      </c>
      <c r="L34" s="11">
        <f>'[2]input data'!E916</f>
        <v>24.2</v>
      </c>
      <c r="M34" s="11">
        <f>'[2]input data'!E917</f>
        <v>23.2</v>
      </c>
      <c r="N34" s="11">
        <f>'[2]input data'!E918</f>
        <v>23.6</v>
      </c>
      <c r="O34" s="12">
        <f t="shared" si="0"/>
        <v>31.6</v>
      </c>
      <c r="P34" s="13">
        <f t="shared" si="1"/>
        <v>23.2</v>
      </c>
      <c r="Q34" s="16">
        <f t="shared" si="6"/>
        <v>27.615384615384617</v>
      </c>
      <c r="T34" s="15">
        <v>26</v>
      </c>
      <c r="U34" s="11">
        <f>INDEX('[2]input data'!$F$1:$F$1108,U83,1)</f>
        <v>23.7</v>
      </c>
      <c r="V34" s="11">
        <f>INDEX('[2]input data'!$F$1:$F$1108,V83,1)</f>
        <v>24.7</v>
      </c>
      <c r="W34" s="11">
        <f>INDEX('[2]input data'!$F$1:$F$1108,W83,1)</f>
        <v>25</v>
      </c>
      <c r="X34" s="11">
        <f>INDEX('[2]input data'!$F$1:$F$1108,X83,1)</f>
        <v>25.8</v>
      </c>
      <c r="Y34" s="11">
        <f>INDEX('[2]input data'!$F$1:$F$1108,Y83,1)</f>
        <v>25.8</v>
      </c>
      <c r="Z34" s="11">
        <f>INDEX('[2]input data'!$F$1:$F$1108,Z83,1)</f>
        <v>26.2</v>
      </c>
      <c r="AA34" s="11">
        <f>INDEX('[2]input data'!$F$1:$F$1108,AA83,1)</f>
        <v>26.4</v>
      </c>
      <c r="AB34" s="11">
        <f>INDEX('[2]input data'!$F$1:$F$1108,AB83,1)</f>
        <v>26.3</v>
      </c>
      <c r="AC34" s="11">
        <f>INDEX('[2]input data'!$F$1:$F$1108,AC83,1)</f>
        <v>25.8</v>
      </c>
      <c r="AD34" s="11">
        <f>INDEX('[2]input data'!$F$1:$F$1108,AD83,1)</f>
        <v>25.9</v>
      </c>
      <c r="AE34" s="11">
        <f>INDEX('[2]input data'!$F$1:$F$1108,AE83,1)</f>
        <v>23.6</v>
      </c>
      <c r="AF34" s="11">
        <f>INDEX('[2]input data'!$F$1:$F$1108,AF83,1)</f>
        <v>23</v>
      </c>
      <c r="AG34" s="11">
        <f>INDEX('[2]input data'!$F$1:$F$1108,AG83,1)</f>
        <v>23.3</v>
      </c>
      <c r="AH34" s="12">
        <f t="shared" si="2"/>
        <v>26.4</v>
      </c>
      <c r="AI34" s="13">
        <f t="shared" si="3"/>
        <v>23</v>
      </c>
      <c r="AJ34" s="16">
        <f t="shared" si="7"/>
        <v>25.038461538461544</v>
      </c>
      <c r="AM34" s="15">
        <v>26</v>
      </c>
      <c r="AN34" s="11">
        <f>INDEX('[2]input data'!$G$1:$G$1108,AO83,1)</f>
        <v>22.958279350460575</v>
      </c>
      <c r="AO34" s="11">
        <f>INDEX('[2]input data'!$G$1:$G$1108,AP83,1)</f>
        <v>23.680309123146266</v>
      </c>
      <c r="AP34" s="11">
        <f>INDEX('[2]input data'!$G$1:$G$1108,AQ83,1)</f>
        <v>23.229747355809128</v>
      </c>
      <c r="AQ34" s="11">
        <f>INDEX('[2]input data'!$G$1:$G$1108,AR83,1)</f>
        <v>23.924726871474732</v>
      </c>
      <c r="AR34" s="11">
        <f>INDEX('[2]input data'!$G$1:$G$1108,AS83,1)</f>
        <v>23.657131550071426</v>
      </c>
      <c r="AS34" s="11">
        <f>INDEX('[2]input data'!$G$1:$G$1108,AT83,1)</f>
        <v>24.013538250316298</v>
      </c>
      <c r="AT34" s="11">
        <f>INDEX('[2]input data'!$G$1:$G$1108,AU83,1)</f>
        <v>24.148956660996692</v>
      </c>
      <c r="AU34" s="11">
        <f>INDEX('[2]input data'!$G$1:$G$1108,AV83,1)</f>
        <v>24.771319719127266</v>
      </c>
      <c r="AV34" s="11">
        <f>INDEX('[2]input data'!$G$1:$G$1108,AW83,1)</f>
        <v>25.20925852351645</v>
      </c>
      <c r="AW34" s="11">
        <f>INDEX('[2]input data'!$G$1:$G$1108,AX83,1)</f>
        <v>25.311840807303817</v>
      </c>
      <c r="AX34" s="11">
        <f>INDEX('[2]input data'!$G$1:$G$1108,AY83,1)</f>
        <v>23.225937351919136</v>
      </c>
      <c r="AY34" s="11">
        <f>INDEX('[2]input data'!$G$1:$G$1108,AZ83,1)</f>
        <v>22.805789529148537</v>
      </c>
      <c r="AZ34" s="11">
        <f>INDEX('[2]input data'!$G$1:$G$1108,BA83,1)</f>
        <v>23.061028547349643</v>
      </c>
      <c r="BA34" s="12">
        <f t="shared" si="4"/>
        <v>25.311840807303817</v>
      </c>
      <c r="BB34" s="13">
        <f t="shared" si="5"/>
        <v>22.805789529148537</v>
      </c>
      <c r="BC34" s="16">
        <f t="shared" si="8"/>
        <v>23.845989510818455</v>
      </c>
    </row>
    <row r="35" spans="1:55" ht="14.25" customHeight="1" x14ac:dyDescent="0.25">
      <c r="A35" s="15">
        <v>27</v>
      </c>
      <c r="B35" s="11">
        <f>'[2]input data'!E942</f>
        <v>25</v>
      </c>
      <c r="C35" s="11">
        <f>'[2]input data'!E943</f>
        <v>26.1</v>
      </c>
      <c r="D35" s="11">
        <f>'[2]input data'!E944</f>
        <v>27.7</v>
      </c>
      <c r="E35" s="11">
        <f>'[2]input data'!E945</f>
        <v>29.3</v>
      </c>
      <c r="F35" s="11">
        <f>'[2]input data'!E946</f>
        <v>30.4</v>
      </c>
      <c r="G35" s="11">
        <f>'[2]input data'!E947</f>
        <v>30.6</v>
      </c>
      <c r="H35" s="11">
        <f>'[2]input data'!E948</f>
        <v>30.6</v>
      </c>
      <c r="I35" s="11">
        <f>'[2]input data'!E949</f>
        <v>29.4</v>
      </c>
      <c r="J35" s="11">
        <f>'[2]input data'!E950</f>
        <v>28</v>
      </c>
      <c r="K35" s="11">
        <f>'[2]input data'!E951</f>
        <v>27.4</v>
      </c>
      <c r="L35" s="11">
        <f>'[2]input data'!E952</f>
        <v>27</v>
      </c>
      <c r="M35" s="11">
        <f>'[2]input data'!E953</f>
        <v>26.4</v>
      </c>
      <c r="N35" s="11">
        <f>'[2]input data'!E954</f>
        <v>24.6</v>
      </c>
      <c r="O35" s="12">
        <f t="shared" si="0"/>
        <v>30.6</v>
      </c>
      <c r="P35" s="13">
        <f t="shared" si="1"/>
        <v>24.6</v>
      </c>
      <c r="Q35" s="16">
        <f t="shared" si="6"/>
        <v>27.884615384615383</v>
      </c>
      <c r="T35" s="15">
        <v>27</v>
      </c>
      <c r="U35" s="11">
        <f>INDEX('[2]input data'!$F$1:$F$1108,U84,1)</f>
        <v>23.9</v>
      </c>
      <c r="V35" s="11">
        <f>INDEX('[2]input data'!$F$1:$F$1108,V84,1)</f>
        <v>24.5</v>
      </c>
      <c r="W35" s="11">
        <f>INDEX('[2]input data'!$F$1:$F$1108,W84,1)</f>
        <v>24.7</v>
      </c>
      <c r="X35" s="11">
        <f>INDEX('[2]input data'!$F$1:$F$1108,X84,1)</f>
        <v>25.3</v>
      </c>
      <c r="Y35" s="11">
        <f>INDEX('[2]input data'!$F$1:$F$1108,Y84,1)</f>
        <v>25.4</v>
      </c>
      <c r="Z35" s="11">
        <f>INDEX('[2]input data'!$F$1:$F$1108,Z84,1)</f>
        <v>25.3</v>
      </c>
      <c r="AA35" s="11">
        <f>INDEX('[2]input data'!$F$1:$F$1108,AA84,1)</f>
        <v>25.8</v>
      </c>
      <c r="AB35" s="11">
        <f>INDEX('[2]input data'!$F$1:$F$1108,AB84,1)</f>
        <v>25.6</v>
      </c>
      <c r="AC35" s="11">
        <f>INDEX('[2]input data'!$F$1:$F$1108,AC84,1)</f>
        <v>25.6</v>
      </c>
      <c r="AD35" s="11">
        <f>INDEX('[2]input data'!$F$1:$F$1108,AD84,1)</f>
        <v>25.6</v>
      </c>
      <c r="AE35" s="11">
        <f>INDEX('[2]input data'!$F$1:$F$1108,AE84,1)</f>
        <v>25.4</v>
      </c>
      <c r="AF35" s="11">
        <f>INDEX('[2]input data'!$F$1:$F$1108,AF84,1)</f>
        <v>25.4</v>
      </c>
      <c r="AG35" s="11">
        <f>INDEX('[2]input data'!$F$1:$F$1108,AG84,1)</f>
        <v>23.4</v>
      </c>
      <c r="AH35" s="12">
        <f t="shared" si="2"/>
        <v>25.8</v>
      </c>
      <c r="AI35" s="13">
        <f t="shared" si="3"/>
        <v>23.4</v>
      </c>
      <c r="AJ35" s="16">
        <f t="shared" si="7"/>
        <v>25.069230769230764</v>
      </c>
      <c r="AM35" s="15">
        <v>27</v>
      </c>
      <c r="AN35" s="11">
        <f>INDEX('[2]input data'!$G$1:$G$1108,AO84,1)</f>
        <v>23.302897837111615</v>
      </c>
      <c r="AO35" s="11">
        <f>INDEX('[2]input data'!$G$1:$G$1108,AP84,1)</f>
        <v>23.695785818957198</v>
      </c>
      <c r="AP35" s="11">
        <f>INDEX('[2]input data'!$G$1:$G$1108,AQ84,1)</f>
        <v>23.272256959776332</v>
      </c>
      <c r="AQ35" s="11">
        <f>INDEX('[2]input data'!$G$1:$G$1108,AR84,1)</f>
        <v>23.466413061032977</v>
      </c>
      <c r="AR35" s="11">
        <f>INDEX('[2]input data'!$G$1:$G$1108,AS84,1)</f>
        <v>23.119379698708254</v>
      </c>
      <c r="AS35" s="11">
        <f>INDEX('[2]input data'!$G$1:$G$1108,AT84,1)</f>
        <v>22.86730209001103</v>
      </c>
      <c r="AT35" s="11">
        <f>INDEX('[2]input data'!$G$1:$G$1108,AU84,1)</f>
        <v>23.657131550071426</v>
      </c>
      <c r="AU35" s="11">
        <f>INDEX('[2]input data'!$G$1:$G$1108,AV84,1)</f>
        <v>23.883579415901753</v>
      </c>
      <c r="AV35" s="11">
        <f>INDEX('[2]input data'!$G$1:$G$1108,AW84,1)</f>
        <v>24.495040198018586</v>
      </c>
      <c r="AW35" s="11">
        <f>INDEX('[2]input data'!$G$1:$G$1108,AX84,1)</f>
        <v>24.751230598214192</v>
      </c>
      <c r="AX35" s="11">
        <f>INDEX('[2]input data'!$G$1:$G$1108,AY84,1)</f>
        <v>24.62878511289367</v>
      </c>
      <c r="AY35" s="11">
        <f>INDEX('[2]input data'!$G$1:$G$1108,AZ84,1)</f>
        <v>24.883203978925096</v>
      </c>
      <c r="AZ35" s="11">
        <f>INDEX('[2]input data'!$G$1:$G$1108,BA84,1)</f>
        <v>22.742318927283165</v>
      </c>
      <c r="BA35" s="12">
        <f t="shared" si="4"/>
        <v>24.883203978925096</v>
      </c>
      <c r="BB35" s="13">
        <f t="shared" si="5"/>
        <v>22.742318927283165</v>
      </c>
      <c r="BC35" s="16">
        <f t="shared" si="8"/>
        <v>23.751178865146564</v>
      </c>
    </row>
    <row r="36" spans="1:55" ht="14.25" customHeight="1" x14ac:dyDescent="0.25">
      <c r="A36" s="15">
        <v>28</v>
      </c>
      <c r="B36" s="11">
        <f>'[2]input data'!E978</f>
        <v>25</v>
      </c>
      <c r="C36" s="11">
        <f>'[2]input data'!E979</f>
        <v>26</v>
      </c>
      <c r="D36" s="11">
        <f>'[2]input data'!E980</f>
        <v>26.6</v>
      </c>
      <c r="E36" s="11">
        <f>'[2]input data'!E981</f>
        <v>28.4</v>
      </c>
      <c r="F36" s="11">
        <f>'[2]input data'!E982</f>
        <v>29.1</v>
      </c>
      <c r="G36" s="11">
        <f>'[2]input data'!E983</f>
        <v>30.2</v>
      </c>
      <c r="H36" s="11">
        <f>'[2]input data'!E984</f>
        <v>30.2</v>
      </c>
      <c r="I36" s="11">
        <f>'[2]input data'!E985</f>
        <v>29.6</v>
      </c>
      <c r="J36" s="11">
        <f>'[2]input data'!E986</f>
        <v>28.6</v>
      </c>
      <c r="K36" s="11">
        <f>'[2]input data'!E987</f>
        <v>27.6</v>
      </c>
      <c r="L36" s="11">
        <f>'[2]input data'!E988</f>
        <v>26.4</v>
      </c>
      <c r="M36" s="11">
        <f>'[2]input data'!E989</f>
        <v>26.4</v>
      </c>
      <c r="N36" s="11">
        <f>'[2]input data'!E990</f>
        <v>26</v>
      </c>
      <c r="O36" s="12">
        <f t="shared" si="0"/>
        <v>30.2</v>
      </c>
      <c r="P36" s="13">
        <f t="shared" si="1"/>
        <v>25</v>
      </c>
      <c r="Q36" s="16">
        <f t="shared" si="6"/>
        <v>27.699999999999992</v>
      </c>
      <c r="T36" s="15">
        <v>28</v>
      </c>
      <c r="U36" s="11">
        <f>INDEX('[2]input data'!$F$1:$F$1108,U85,1)</f>
        <v>23.8</v>
      </c>
      <c r="V36" s="11">
        <f>INDEX('[2]input data'!$F$1:$F$1108,V85,1)</f>
        <v>24.2</v>
      </c>
      <c r="W36" s="11">
        <f>INDEX('[2]input data'!$F$1:$F$1108,W85,1)</f>
        <v>24.6</v>
      </c>
      <c r="X36" s="11">
        <f>INDEX('[2]input data'!$F$1:$F$1108,X85,1)</f>
        <v>25.1</v>
      </c>
      <c r="Y36" s="11">
        <f>INDEX('[2]input data'!$F$1:$F$1108,Y85,1)</f>
        <v>25.7</v>
      </c>
      <c r="Z36" s="11">
        <f>INDEX('[2]input data'!$F$1:$F$1108,Z85,1)</f>
        <v>26</v>
      </c>
      <c r="AA36" s="11">
        <f>INDEX('[2]input data'!$F$1:$F$1108,AA85,1)</f>
        <v>25.2</v>
      </c>
      <c r="AB36" s="11">
        <f>INDEX('[2]input data'!$F$1:$F$1108,AB85,1)</f>
        <v>25.2</v>
      </c>
      <c r="AC36" s="11">
        <f>INDEX('[2]input data'!$F$1:$F$1108,AC85,1)</f>
        <v>25</v>
      </c>
      <c r="AD36" s="11">
        <f>INDEX('[2]input data'!$F$1:$F$1108,AD85,1)</f>
        <v>24.8</v>
      </c>
      <c r="AE36" s="11">
        <f>INDEX('[2]input data'!$F$1:$F$1108,AE85,1)</f>
        <v>24.6</v>
      </c>
      <c r="AF36" s="11">
        <f>INDEX('[2]input data'!$F$1:$F$1108,AF85,1)</f>
        <v>24.6</v>
      </c>
      <c r="AG36" s="11">
        <f>INDEX('[2]input data'!$F$1:$F$1108,AG85,1)</f>
        <v>24</v>
      </c>
      <c r="AH36" s="12">
        <f t="shared" si="2"/>
        <v>26</v>
      </c>
      <c r="AI36" s="13">
        <f t="shared" si="3"/>
        <v>23.8</v>
      </c>
      <c r="AJ36" s="16">
        <f t="shared" si="7"/>
        <v>24.830769230769231</v>
      </c>
      <c r="AM36" s="15">
        <v>28</v>
      </c>
      <c r="AN36" s="11">
        <f>INDEX('[2]input data'!$G$1:$G$1108,AO85,1)</f>
        <v>23.154171566343187</v>
      </c>
      <c r="AO36" s="11">
        <f>INDEX('[2]input data'!$G$1:$G$1108,AP85,1)</f>
        <v>23.293034575471221</v>
      </c>
      <c r="AP36" s="11">
        <f>INDEX('[2]input data'!$G$1:$G$1108,AQ85,1)</f>
        <v>23.620401055617794</v>
      </c>
      <c r="AQ36" s="11">
        <f>INDEX('[2]input data'!$G$1:$G$1108,AR85,1)</f>
        <v>23.565856961624398</v>
      </c>
      <c r="AR36" s="11">
        <f>INDEX('[2]input data'!$G$1:$G$1108,AS85,1)</f>
        <v>24.168058861776881</v>
      </c>
      <c r="AS36" s="11">
        <f>INDEX('[2]input data'!$G$1:$G$1108,AT85,1)</f>
        <v>24.14398223668147</v>
      </c>
      <c r="AT36" s="11">
        <f>INDEX('[2]input data'!$G$1:$G$1108,AU85,1)</f>
        <v>22.895037169362322</v>
      </c>
      <c r="AU36" s="11">
        <f>INDEX('[2]input data'!$G$1:$G$1108,AV85,1)</f>
        <v>23.173497959213115</v>
      </c>
      <c r="AV36" s="11">
        <f>INDEX('[2]input data'!$G$1:$G$1108,AW85,1)</f>
        <v>23.321392650725961</v>
      </c>
      <c r="AW36" s="11">
        <f>INDEX('[2]input data'!$G$1:$G$1108,AX85,1)</f>
        <v>23.470377859669266</v>
      </c>
      <c r="AX36" s="11">
        <f>INDEX('[2]input data'!$G$1:$G$1108,AY85,1)</f>
        <v>23.710183186275557</v>
      </c>
      <c r="AY36" s="11">
        <f>INDEX('[2]input data'!$G$1:$G$1108,AZ85,1)</f>
        <v>23.710183186275557</v>
      </c>
      <c r="AZ36" s="11">
        <f>INDEX('[2]input data'!$G$1:$G$1108,BA85,1)</f>
        <v>22.991501967304046</v>
      </c>
      <c r="BA36" s="12">
        <f t="shared" si="4"/>
        <v>24.168058861776881</v>
      </c>
      <c r="BB36" s="13">
        <f t="shared" si="5"/>
        <v>22.895037169362322</v>
      </c>
      <c r="BC36" s="16">
        <f t="shared" si="8"/>
        <v>23.478283018180058</v>
      </c>
    </row>
    <row r="37" spans="1:55" ht="14.25" customHeight="1" x14ac:dyDescent="0.25">
      <c r="A37" s="15">
        <v>29</v>
      </c>
      <c r="B37" s="11">
        <f>'[2]input data'!E1014</f>
        <v>24.3</v>
      </c>
      <c r="C37" s="11">
        <f>'[2]input data'!E1015</f>
        <v>25.4</v>
      </c>
      <c r="D37" s="11">
        <f>'[2]input data'!E1016</f>
        <v>26.7</v>
      </c>
      <c r="E37" s="11">
        <f>'[2]input data'!E1017</f>
        <v>28.9</v>
      </c>
      <c r="F37" s="11">
        <f>'[2]input data'!E1018</f>
        <v>30.3</v>
      </c>
      <c r="G37" s="11">
        <f>'[2]input data'!E1019</f>
        <v>31.1</v>
      </c>
      <c r="H37" s="11">
        <f>'[2]input data'!E1020</f>
        <v>31.6</v>
      </c>
      <c r="I37" s="11">
        <f>'[2]input data'!E1021</f>
        <v>31.2</v>
      </c>
      <c r="J37" s="11">
        <f>'[2]input data'!E1022</f>
        <v>30.4</v>
      </c>
      <c r="K37" s="11">
        <f>'[2]input data'!E1023</f>
        <v>29</v>
      </c>
      <c r="L37" s="11">
        <f>'[2]input data'!E1024</f>
        <v>28.3</v>
      </c>
      <c r="M37" s="11">
        <f>'[2]input data'!E1025</f>
        <v>27.8</v>
      </c>
      <c r="N37" s="11">
        <f>'[2]input data'!E1026</f>
        <v>27.3</v>
      </c>
      <c r="O37" s="12">
        <f t="shared" si="0"/>
        <v>31.6</v>
      </c>
      <c r="P37" s="13">
        <f t="shared" si="1"/>
        <v>24.3</v>
      </c>
      <c r="Q37" s="16">
        <f t="shared" si="6"/>
        <v>28.638461538461538</v>
      </c>
      <c r="T37" s="15">
        <v>29</v>
      </c>
      <c r="U37" s="11">
        <f>INDEX('[2]input data'!$F$1:$F$1108,U86,1)</f>
        <v>23.1</v>
      </c>
      <c r="V37" s="11">
        <f>INDEX('[2]input data'!$F$1:$F$1108,V86,1)</f>
        <v>23.8</v>
      </c>
      <c r="W37" s="11">
        <f>INDEX('[2]input data'!$F$1:$F$1108,W86,1)</f>
        <v>24.1</v>
      </c>
      <c r="X37" s="11">
        <f>INDEX('[2]input data'!$F$1:$F$1108,X86,1)</f>
        <v>24.1</v>
      </c>
      <c r="Y37" s="11">
        <f>INDEX('[2]input data'!$F$1:$F$1108,Y86,1)</f>
        <v>25</v>
      </c>
      <c r="Z37" s="11">
        <f>INDEX('[2]input data'!$F$1:$F$1108,Z86,1)</f>
        <v>25.5</v>
      </c>
      <c r="AA37" s="11">
        <f>INDEX('[2]input data'!$F$1:$F$1108,AA86,1)</f>
        <v>25.9</v>
      </c>
      <c r="AB37" s="11">
        <f>INDEX('[2]input data'!$F$1:$F$1108,AB86,1)</f>
        <v>26.2</v>
      </c>
      <c r="AC37" s="11">
        <f>INDEX('[2]input data'!$F$1:$F$1108,AC86,1)</f>
        <v>25.5</v>
      </c>
      <c r="AD37" s="11">
        <f>INDEX('[2]input data'!$F$1:$F$1108,AD86,1)</f>
        <v>25.2</v>
      </c>
      <c r="AE37" s="11">
        <f>INDEX('[2]input data'!$F$1:$F$1108,AE86,1)</f>
        <v>24.8</v>
      </c>
      <c r="AF37" s="11">
        <f>INDEX('[2]input data'!$F$1:$F$1108,AF86,1)</f>
        <v>24.6</v>
      </c>
      <c r="AG37" s="11">
        <f>INDEX('[2]input data'!$F$1:$F$1108,AG86,1)</f>
        <v>24.8</v>
      </c>
      <c r="AH37" s="12">
        <f t="shared" si="2"/>
        <v>26.2</v>
      </c>
      <c r="AI37" s="13">
        <f t="shared" si="3"/>
        <v>23.1</v>
      </c>
      <c r="AJ37" s="16">
        <f t="shared" si="7"/>
        <v>24.815384615384616</v>
      </c>
      <c r="AM37" s="15">
        <v>29</v>
      </c>
      <c r="AN37" s="11">
        <f>INDEX('[2]input data'!$G$1:$G$1108,AO86,1)</f>
        <v>22.433234562287311</v>
      </c>
      <c r="AO37" s="11">
        <f>INDEX('[2]input data'!$G$1:$G$1108,AP86,1)</f>
        <v>22.968814165589823</v>
      </c>
      <c r="AP37" s="11">
        <f>INDEX('[2]input data'!$G$1:$G$1108,AQ86,1)</f>
        <v>22.816809305961961</v>
      </c>
      <c r="AQ37" s="11">
        <f>INDEX('[2]input data'!$G$1:$G$1108,AR86,1)</f>
        <v>21.75466975720472</v>
      </c>
      <c r="AR37" s="11">
        <f>INDEX('[2]input data'!$G$1:$G$1108,AS86,1)</f>
        <v>22.527890548735694</v>
      </c>
      <c r="AS37" s="11">
        <f>INDEX('[2]input data'!$G$1:$G$1108,AT86,1)</f>
        <v>22.953818578487795</v>
      </c>
      <c r="AT37" s="11">
        <f>INDEX('[2]input data'!$G$1:$G$1108,AU86,1)</f>
        <v>23.362154904731423</v>
      </c>
      <c r="AU37" s="11">
        <f>INDEX('[2]input data'!$G$1:$G$1108,AV86,1)</f>
        <v>24.013538250316298</v>
      </c>
      <c r="AV37" s="11">
        <f>INDEX('[2]input data'!$G$1:$G$1108,AW86,1)</f>
        <v>23.277303667603046</v>
      </c>
      <c r="AW37" s="11">
        <f>INDEX('[2]input data'!$G$1:$G$1108,AX86,1)</f>
        <v>23.447926951785295</v>
      </c>
      <c r="AX37" s="11">
        <f>INDEX('[2]input data'!$G$1:$G$1108,AY86,1)</f>
        <v>23.15021314722178</v>
      </c>
      <c r="AY37" s="11">
        <f>INDEX('[2]input data'!$G$1:$G$1108,AZ86,1)</f>
        <v>23.072611503492613</v>
      </c>
      <c r="AZ37" s="11">
        <f>INDEX('[2]input data'!$G$1:$G$1108,BA86,1)</f>
        <v>23.605955947310239</v>
      </c>
      <c r="BA37" s="12">
        <f t="shared" si="4"/>
        <v>24.013538250316298</v>
      </c>
      <c r="BB37" s="13">
        <f t="shared" si="5"/>
        <v>21.75466975720472</v>
      </c>
      <c r="BC37" s="16">
        <f t="shared" si="8"/>
        <v>23.029610868517537</v>
      </c>
    </row>
    <row r="38" spans="1:55" ht="14.25" customHeight="1" x14ac:dyDescent="0.25">
      <c r="A38" s="15">
        <v>30</v>
      </c>
      <c r="B38" s="11">
        <f>'[2]input data'!E1050</f>
        <v>25.4</v>
      </c>
      <c r="C38" s="11">
        <f>'[2]input data'!E1051</f>
        <v>26.7</v>
      </c>
      <c r="D38" s="11">
        <f>'[2]input data'!E1052</f>
        <v>28.2</v>
      </c>
      <c r="E38" s="11">
        <f>'[2]input data'!E1053</f>
        <v>29.5</v>
      </c>
      <c r="F38" s="11">
        <f>'[2]input data'!E1054</f>
        <v>30.3</v>
      </c>
      <c r="G38" s="11">
        <f>'[2]input data'!E1055</f>
        <v>30.5</v>
      </c>
      <c r="H38" s="11">
        <f>'[2]input data'!E1056</f>
        <v>31.2</v>
      </c>
      <c r="I38" s="11">
        <f>'[2]input data'!E1057</f>
        <v>30.8</v>
      </c>
      <c r="J38" s="11">
        <f>'[2]input data'!E1058</f>
        <v>30.2</v>
      </c>
      <c r="K38" s="11">
        <f>'[2]input data'!E1059</f>
        <v>29.4</v>
      </c>
      <c r="L38" s="11">
        <f>'[2]input data'!E1060</f>
        <v>28.8</v>
      </c>
      <c r="M38" s="11">
        <f>'[2]input data'!E1061</f>
        <v>28</v>
      </c>
      <c r="N38" s="11">
        <f>'[2]input data'!E1062</f>
        <v>27.4</v>
      </c>
      <c r="O38" s="12">
        <f t="shared" si="0"/>
        <v>31.2</v>
      </c>
      <c r="P38" s="13">
        <f t="shared" si="1"/>
        <v>25.4</v>
      </c>
      <c r="Q38" s="16">
        <f t="shared" si="6"/>
        <v>28.95384615384615</v>
      </c>
      <c r="T38" s="15">
        <v>30</v>
      </c>
      <c r="U38" s="11">
        <f>INDEX('[2]input data'!$F$1:$F$1108,U87,1)</f>
        <v>23.9</v>
      </c>
      <c r="V38" s="11">
        <f>INDEX('[2]input data'!$F$1:$F$1108,V87,1)</f>
        <v>24.5</v>
      </c>
      <c r="W38" s="11">
        <f>INDEX('[2]input data'!$F$1:$F$1108,W87,1)</f>
        <v>24.8</v>
      </c>
      <c r="X38" s="11">
        <f>INDEX('[2]input data'!$F$1:$F$1108,X87,1)</f>
        <v>25</v>
      </c>
      <c r="Y38" s="11">
        <f>INDEX('[2]input data'!$F$1:$F$1108,Y87,1)</f>
        <v>25.7</v>
      </c>
      <c r="Z38" s="11">
        <f>INDEX('[2]input data'!$F$1:$F$1108,Z87,1)</f>
        <v>25.2</v>
      </c>
      <c r="AA38" s="11">
        <f>INDEX('[2]input data'!$F$1:$F$1108,AA87,1)</f>
        <v>26.1</v>
      </c>
      <c r="AB38" s="11">
        <f>INDEX('[2]input data'!$F$1:$F$1108,AB87,1)</f>
        <v>25.6</v>
      </c>
      <c r="AC38" s="11">
        <f>INDEX('[2]input data'!$F$1:$F$1108,AC87,1)</f>
        <v>25</v>
      </c>
      <c r="AD38" s="11">
        <f>INDEX('[2]input data'!$F$1:$F$1108,AD87,1)</f>
        <v>25</v>
      </c>
      <c r="AE38" s="11">
        <f>INDEX('[2]input data'!$F$1:$F$1108,AE87,1)</f>
        <v>25</v>
      </c>
      <c r="AF38" s="11">
        <f>INDEX('[2]input data'!$F$1:$F$1108,AF87,1)</f>
        <v>25.2</v>
      </c>
      <c r="AG38" s="11">
        <f>INDEX('[2]input data'!$F$1:$F$1108,AG87,1)</f>
        <v>25</v>
      </c>
      <c r="AH38" s="12">
        <f t="shared" si="2"/>
        <v>26.1</v>
      </c>
      <c r="AI38" s="13">
        <f t="shared" si="3"/>
        <v>23.9</v>
      </c>
      <c r="AJ38" s="16">
        <f t="shared" si="7"/>
        <v>25.076923076923073</v>
      </c>
      <c r="AM38" s="15">
        <v>30</v>
      </c>
      <c r="AN38" s="11">
        <f>INDEX('[2]input data'!$G$1:$G$1108,AO87,1)</f>
        <v>23.118995558898437</v>
      </c>
      <c r="AO38" s="11">
        <f>INDEX('[2]input data'!$G$1:$G$1108,AP87,1)</f>
        <v>23.424953110002289</v>
      </c>
      <c r="AP38" s="11">
        <f>INDEX('[2]input data'!$G$1:$G$1108,AQ87,1)</f>
        <v>23.196283144013933</v>
      </c>
      <c r="AQ38" s="11">
        <f>INDEX('[2]input data'!$G$1:$G$1108,AR87,1)</f>
        <v>22.905453010257961</v>
      </c>
      <c r="AR38" s="11">
        <f>INDEX('[2]input data'!$G$1:$G$1108,AS87,1)</f>
        <v>23.635993633454174</v>
      </c>
      <c r="AS38" s="11">
        <f>INDEX('[2]input data'!$G$1:$G$1108,AT87,1)</f>
        <v>22.754254563137529</v>
      </c>
      <c r="AT38" s="11">
        <f>INDEX('[2]input data'!$G$1:$G$1108,AU87,1)</f>
        <v>23.857649708441681</v>
      </c>
      <c r="AU38" s="11">
        <f>INDEX('[2]input data'!$G$1:$G$1108,AV87,1)</f>
        <v>23.251853221643302</v>
      </c>
      <c r="AV38" s="11">
        <f>INDEX('[2]input data'!$G$1:$G$1108,AW87,1)</f>
        <v>22.575500907686056</v>
      </c>
      <c r="AW38" s="11">
        <f>INDEX('[2]input data'!$G$1:$G$1108,AX87,1)</f>
        <v>22.952122264170168</v>
      </c>
      <c r="AX38" s="11">
        <f>INDEX('[2]input data'!$G$1:$G$1108,AY87,1)</f>
        <v>23.229747355809128</v>
      </c>
      <c r="AY38" s="11">
        <f>INDEX('[2]input data'!$G$1:$G$1108,AZ87,1)</f>
        <v>23.896682202951688</v>
      </c>
      <c r="AZ38" s="11">
        <f>INDEX('[2]input data'!$G$1:$G$1108,BA87,1)</f>
        <v>23.862170856686003</v>
      </c>
      <c r="BA38" s="12">
        <f t="shared" si="4"/>
        <v>23.896682202951688</v>
      </c>
      <c r="BB38" s="13">
        <f t="shared" si="5"/>
        <v>22.575500907686056</v>
      </c>
      <c r="BC38" s="16">
        <f t="shared" si="8"/>
        <v>23.281666118242487</v>
      </c>
    </row>
    <row r="39" spans="1:55" ht="14.25" customHeight="1" thickBot="1" x14ac:dyDescent="0.3">
      <c r="A39" s="15">
        <v>31</v>
      </c>
      <c r="B39" s="11">
        <f>'[2]input data'!E1086</f>
        <v>25</v>
      </c>
      <c r="C39" s="11">
        <f>'[2]input data'!E1087</f>
        <v>26.2</v>
      </c>
      <c r="D39" s="11">
        <f>'[2]input data'!E1088</f>
        <v>28.2</v>
      </c>
      <c r="E39" s="11">
        <f>'[2]input data'!E1089</f>
        <v>29.8</v>
      </c>
      <c r="F39" s="11">
        <f>'[2]input data'!E1090</f>
        <v>30.6</v>
      </c>
      <c r="G39" s="11">
        <f>'[2]input data'!E1091</f>
        <v>31.2</v>
      </c>
      <c r="H39" s="11">
        <f>'[2]input data'!E1092</f>
        <v>31</v>
      </c>
      <c r="I39" s="11">
        <f>'[2]input data'!E1093</f>
        <v>31.3</v>
      </c>
      <c r="J39" s="11">
        <f>'[2]input data'!E1094</f>
        <v>29.7</v>
      </c>
      <c r="K39" s="11">
        <f>'[2]input data'!E1095</f>
        <v>28.6</v>
      </c>
      <c r="L39" s="11">
        <f>'[2]input data'!E1096</f>
        <v>28.6</v>
      </c>
      <c r="M39" s="11">
        <f>'[2]input data'!E1097</f>
        <v>26.9</v>
      </c>
      <c r="N39" s="11">
        <f>'[2]input data'!E1098</f>
        <v>25.8</v>
      </c>
      <c r="O39" s="17">
        <f t="shared" si="0"/>
        <v>31.3</v>
      </c>
      <c r="P39" s="18">
        <f t="shared" si="1"/>
        <v>25</v>
      </c>
      <c r="Q39" s="19">
        <f t="shared" si="6"/>
        <v>28.684615384615388</v>
      </c>
      <c r="T39" s="15">
        <v>31</v>
      </c>
      <c r="U39" s="11">
        <f>INDEX('[2]input data'!$F$1:$F$1108,U88,1)</f>
        <v>24</v>
      </c>
      <c r="V39" s="11">
        <f>INDEX('[2]input data'!$F$1:$F$1108,V88,1)</f>
        <v>24.2</v>
      </c>
      <c r="W39" s="11">
        <f>INDEX('[2]input data'!$F$1:$F$1108,W88,1)</f>
        <v>24.2</v>
      </c>
      <c r="X39" s="11">
        <f>INDEX('[2]input data'!$F$1:$F$1108,X88,1)</f>
        <v>25.2</v>
      </c>
      <c r="Y39" s="11">
        <f>INDEX('[2]input data'!$F$1:$F$1108,Y88,1)</f>
        <v>25.6</v>
      </c>
      <c r="Z39" s="11">
        <f>INDEX('[2]input data'!$F$1:$F$1108,Z88,1)</f>
        <v>25.4</v>
      </c>
      <c r="AA39" s="11">
        <f>INDEX('[2]input data'!$F$1:$F$1108,AA88,1)</f>
        <v>25</v>
      </c>
      <c r="AB39" s="11">
        <f>INDEX('[2]input data'!$F$1:$F$1108,AB88,1)</f>
        <v>25.7</v>
      </c>
      <c r="AC39" s="11">
        <f>INDEX('[2]input data'!$F$1:$F$1108,AC88,1)</f>
        <v>24.2</v>
      </c>
      <c r="AD39" s="11">
        <f>INDEX('[2]input data'!$F$1:$F$1108,AD88,1)</f>
        <v>22.8</v>
      </c>
      <c r="AE39" s="11">
        <f>INDEX('[2]input data'!$F$1:$F$1108,AE88,1)</f>
        <v>22.8</v>
      </c>
      <c r="AF39" s="11">
        <f>INDEX('[2]input data'!$F$1:$F$1108,AF88,1)</f>
        <v>23.3</v>
      </c>
      <c r="AG39" s="11">
        <f>INDEX('[2]input data'!$F$1:$F$1108,AG88,1)</f>
        <v>23.6</v>
      </c>
      <c r="AH39" s="12">
        <f t="shared" si="2"/>
        <v>25.7</v>
      </c>
      <c r="AI39" s="20">
        <f t="shared" si="3"/>
        <v>22.8</v>
      </c>
      <c r="AJ39" s="19">
        <f t="shared" si="7"/>
        <v>24.307692307692314</v>
      </c>
      <c r="AM39" s="15">
        <v>31</v>
      </c>
      <c r="AN39" s="11">
        <f>INDEX('[2]input data'!$G$1:$G$1108,AO88,1)</f>
        <v>23.451002870250118</v>
      </c>
      <c r="AO39" s="11">
        <f>INDEX('[2]input data'!$G$1:$G$1108,AP88,1)</f>
        <v>23.201256751926248</v>
      </c>
      <c r="AP39" s="11">
        <f>INDEX('[2]input data'!$G$1:$G$1108,AQ88,1)</f>
        <v>22.258119917094085</v>
      </c>
      <c r="AQ39" s="11">
        <f>INDEX('[2]input data'!$G$1:$G$1108,AR88,1)</f>
        <v>23.081131949841016</v>
      </c>
      <c r="AR39" s="11">
        <f>INDEX('[2]input data'!$G$1:$G$1108,AS88,1)</f>
        <v>23.343395747115117</v>
      </c>
      <c r="AS39" s="11">
        <f>INDEX('[2]input data'!$G$1:$G$1108,AT88,1)</f>
        <v>22.746098808962643</v>
      </c>
      <c r="AT39" s="11">
        <f>INDEX('[2]input data'!$G$1:$G$1108,AU88,1)</f>
        <v>22.191206158280181</v>
      </c>
      <c r="AU39" s="11">
        <f>INDEX('[2]input data'!$G$1:$G$1108,AV88,1)</f>
        <v>23.180951820442868</v>
      </c>
      <c r="AV39" s="11">
        <f>INDEX('[2]input data'!$G$1:$G$1108,AW88,1)</f>
        <v>21.518401932247901</v>
      </c>
      <c r="AW39" s="11">
        <f>INDEX('[2]input data'!$G$1:$G$1108,AX88,1)</f>
        <v>19.737691721710537</v>
      </c>
      <c r="AX39" s="11">
        <f>INDEX('[2]input data'!$G$1:$G$1108,AY88,1)</f>
        <v>19.737691721710537</v>
      </c>
      <c r="AY39" s="11">
        <f>INDEX('[2]input data'!$G$1:$G$1108,AZ88,1)</f>
        <v>21.466252876073661</v>
      </c>
      <c r="AZ39" s="11">
        <f>INDEX('[2]input data'!$G$1:$G$1108,BA88,1)</f>
        <v>22.476265609365306</v>
      </c>
      <c r="BA39" s="17">
        <f t="shared" si="4"/>
        <v>23.451002870250118</v>
      </c>
      <c r="BB39" s="18">
        <f t="shared" si="5"/>
        <v>19.737691721710537</v>
      </c>
      <c r="BC39" s="19">
        <f t="shared" si="8"/>
        <v>22.183805221924636</v>
      </c>
    </row>
    <row r="40" spans="1:55" ht="14.25" customHeight="1" thickTop="1" x14ac:dyDescent="0.25">
      <c r="A40" s="21" t="s">
        <v>25</v>
      </c>
      <c r="B40" s="22">
        <f t="shared" ref="B40:Q40" si="9">MAX(B9:B39)</f>
        <v>26.6</v>
      </c>
      <c r="C40" s="22">
        <f t="shared" si="9"/>
        <v>28.5</v>
      </c>
      <c r="D40" s="22">
        <f t="shared" si="9"/>
        <v>29.6</v>
      </c>
      <c r="E40" s="22">
        <f t="shared" si="9"/>
        <v>30.6</v>
      </c>
      <c r="F40" s="22">
        <f t="shared" si="9"/>
        <v>31.2</v>
      </c>
      <c r="G40" s="22">
        <f t="shared" si="9"/>
        <v>32</v>
      </c>
      <c r="H40" s="22">
        <f t="shared" si="9"/>
        <v>32.1</v>
      </c>
      <c r="I40" s="22">
        <f t="shared" si="9"/>
        <v>32.1</v>
      </c>
      <c r="J40" s="22">
        <f t="shared" si="9"/>
        <v>31.4</v>
      </c>
      <c r="K40" s="22">
        <f t="shared" si="9"/>
        <v>30.8</v>
      </c>
      <c r="L40" s="22">
        <f t="shared" si="9"/>
        <v>29.2</v>
      </c>
      <c r="M40" s="22">
        <f t="shared" si="9"/>
        <v>28.4</v>
      </c>
      <c r="N40" s="22">
        <f t="shared" si="9"/>
        <v>28</v>
      </c>
      <c r="O40" s="12">
        <f t="shared" si="9"/>
        <v>32.1</v>
      </c>
      <c r="P40" s="23">
        <f t="shared" si="9"/>
        <v>26.6</v>
      </c>
      <c r="Q40" s="24">
        <f t="shared" si="9"/>
        <v>29.392307692307689</v>
      </c>
      <c r="T40" s="21" t="s">
        <v>25</v>
      </c>
      <c r="U40" s="22">
        <f t="shared" ref="U40:AJ40" si="10">MAX(U9:U39)</f>
        <v>24.4</v>
      </c>
      <c r="V40" s="22">
        <f t="shared" si="10"/>
        <v>24.8</v>
      </c>
      <c r="W40" s="22">
        <f t="shared" si="10"/>
        <v>25.2</v>
      </c>
      <c r="X40" s="22">
        <f t="shared" si="10"/>
        <v>25.8</v>
      </c>
      <c r="Y40" s="22">
        <f t="shared" si="10"/>
        <v>25.8</v>
      </c>
      <c r="Z40" s="22">
        <f t="shared" si="10"/>
        <v>26.2</v>
      </c>
      <c r="AA40" s="22">
        <f t="shared" si="10"/>
        <v>26.4</v>
      </c>
      <c r="AB40" s="22">
        <f t="shared" si="10"/>
        <v>26.7</v>
      </c>
      <c r="AC40" s="22">
        <f t="shared" si="10"/>
        <v>26.2</v>
      </c>
      <c r="AD40" s="22">
        <f t="shared" si="10"/>
        <v>26</v>
      </c>
      <c r="AE40" s="22">
        <f t="shared" si="10"/>
        <v>25.6</v>
      </c>
      <c r="AF40" s="22">
        <f t="shared" si="10"/>
        <v>25.4</v>
      </c>
      <c r="AG40" s="22">
        <f t="shared" si="10"/>
        <v>25</v>
      </c>
      <c r="AH40" s="25">
        <f t="shared" si="10"/>
        <v>26.7</v>
      </c>
      <c r="AI40" s="23">
        <f t="shared" si="10"/>
        <v>24.4</v>
      </c>
      <c r="AJ40" s="24">
        <f t="shared" si="10"/>
        <v>25.076923076923073</v>
      </c>
      <c r="AM40" s="21" t="s">
        <v>25</v>
      </c>
      <c r="AN40" s="22">
        <f t="shared" ref="AN40:BC40" si="11">MAX(AN9:AN39)</f>
        <v>23.993318566443666</v>
      </c>
      <c r="AO40" s="22">
        <f t="shared" si="11"/>
        <v>23.785236541264084</v>
      </c>
      <c r="AP40" s="22">
        <f t="shared" si="11"/>
        <v>23.985178287701391</v>
      </c>
      <c r="AQ40" s="22">
        <f t="shared" si="11"/>
        <v>24.066773325049194</v>
      </c>
      <c r="AR40" s="22">
        <f t="shared" si="11"/>
        <v>24.168058861776881</v>
      </c>
      <c r="AS40" s="22">
        <f t="shared" si="11"/>
        <v>24.253515668765594</v>
      </c>
      <c r="AT40" s="22">
        <f t="shared" si="11"/>
        <v>24.231346865433</v>
      </c>
      <c r="AU40" s="22">
        <f t="shared" si="11"/>
        <v>24.771319719127266</v>
      </c>
      <c r="AV40" s="22">
        <f t="shared" si="11"/>
        <v>25.20925852351645</v>
      </c>
      <c r="AW40" s="22">
        <f t="shared" si="11"/>
        <v>25.311840807303817</v>
      </c>
      <c r="AX40" s="22">
        <f t="shared" si="11"/>
        <v>24.62878511289367</v>
      </c>
      <c r="AY40" s="22">
        <f t="shared" si="11"/>
        <v>24.883203978925096</v>
      </c>
      <c r="AZ40" s="22">
        <f t="shared" si="11"/>
        <v>24.474280736128826</v>
      </c>
      <c r="BA40" s="12">
        <f t="shared" si="11"/>
        <v>25.311840807303817</v>
      </c>
      <c r="BB40" s="23">
        <f t="shared" si="11"/>
        <v>22.918160749608798</v>
      </c>
      <c r="BC40" s="24">
        <f t="shared" si="11"/>
        <v>23.845989510818455</v>
      </c>
    </row>
    <row r="41" spans="1:55" ht="14.25" customHeight="1" x14ac:dyDescent="0.25">
      <c r="A41" s="15" t="s">
        <v>26</v>
      </c>
      <c r="B41" s="26">
        <f t="shared" ref="B41:Q41" si="12">MIN(B9:B39)</f>
        <v>23.3</v>
      </c>
      <c r="C41" s="26">
        <f t="shared" si="12"/>
        <v>24.2</v>
      </c>
      <c r="D41" s="26">
        <f t="shared" si="12"/>
        <v>25.5</v>
      </c>
      <c r="E41" s="26">
        <f t="shared" si="12"/>
        <v>26.4</v>
      </c>
      <c r="F41" s="26">
        <f t="shared" si="12"/>
        <v>26.4</v>
      </c>
      <c r="G41" s="26">
        <f t="shared" si="12"/>
        <v>28.2</v>
      </c>
      <c r="H41" s="26">
        <f t="shared" si="12"/>
        <v>28</v>
      </c>
      <c r="I41" s="26">
        <f t="shared" si="12"/>
        <v>23.5</v>
      </c>
      <c r="J41" s="26">
        <f t="shared" si="12"/>
        <v>23.5</v>
      </c>
      <c r="K41" s="26">
        <f t="shared" si="12"/>
        <v>23.4</v>
      </c>
      <c r="L41" s="26">
        <f t="shared" si="12"/>
        <v>23.6</v>
      </c>
      <c r="M41" s="26">
        <f t="shared" si="12"/>
        <v>23.2</v>
      </c>
      <c r="N41" s="26">
        <f t="shared" si="12"/>
        <v>22.3</v>
      </c>
      <c r="O41" s="27">
        <f t="shared" si="12"/>
        <v>28.6</v>
      </c>
      <c r="P41" s="26">
        <f t="shared" si="12"/>
        <v>22.3</v>
      </c>
      <c r="Q41" s="28">
        <f t="shared" si="12"/>
        <v>25.715384615384622</v>
      </c>
      <c r="T41" s="15" t="s">
        <v>26</v>
      </c>
      <c r="U41" s="26">
        <f t="shared" ref="U41:AJ41" si="13">MIN(U9:U39)</f>
        <v>21.8</v>
      </c>
      <c r="V41" s="26">
        <f t="shared" si="13"/>
        <v>23.2</v>
      </c>
      <c r="W41" s="26">
        <f t="shared" si="13"/>
        <v>22.8</v>
      </c>
      <c r="X41" s="26">
        <f t="shared" si="13"/>
        <v>23</v>
      </c>
      <c r="Y41" s="26">
        <f t="shared" si="13"/>
        <v>23.4</v>
      </c>
      <c r="Z41" s="26">
        <f t="shared" si="13"/>
        <v>24.2</v>
      </c>
      <c r="AA41" s="26">
        <f t="shared" si="13"/>
        <v>23.7</v>
      </c>
      <c r="AB41" s="26">
        <f t="shared" si="13"/>
        <v>23.4</v>
      </c>
      <c r="AC41" s="26">
        <f t="shared" si="13"/>
        <v>22.4</v>
      </c>
      <c r="AD41" s="26">
        <f t="shared" si="13"/>
        <v>22.8</v>
      </c>
      <c r="AE41" s="26">
        <f t="shared" si="13"/>
        <v>22.8</v>
      </c>
      <c r="AF41" s="26">
        <f t="shared" si="13"/>
        <v>22.6</v>
      </c>
      <c r="AG41" s="26">
        <f t="shared" si="13"/>
        <v>22</v>
      </c>
      <c r="AH41" s="27">
        <f t="shared" si="13"/>
        <v>24.5</v>
      </c>
      <c r="AI41" s="26">
        <f t="shared" si="13"/>
        <v>21.8</v>
      </c>
      <c r="AJ41" s="28">
        <f t="shared" si="13"/>
        <v>23.830769230769231</v>
      </c>
      <c r="AM41" s="15" t="s">
        <v>26</v>
      </c>
      <c r="AN41" s="26">
        <f t="shared" ref="AN41:BC41" si="14">MIN(AN9:AN39)</f>
        <v>20.463887755674129</v>
      </c>
      <c r="AO41" s="26">
        <f t="shared" si="14"/>
        <v>21.516623527620698</v>
      </c>
      <c r="AP41" s="26">
        <f t="shared" si="14"/>
        <v>20.066897343478452</v>
      </c>
      <c r="AQ41" s="26">
        <f t="shared" si="14"/>
        <v>19.751901806029988</v>
      </c>
      <c r="AR41" s="26">
        <f t="shared" si="14"/>
        <v>20.116128402295594</v>
      </c>
      <c r="AS41" s="26">
        <f t="shared" si="14"/>
        <v>20.643070589712298</v>
      </c>
      <c r="AT41" s="26">
        <f t="shared" si="14"/>
        <v>20.577218059830393</v>
      </c>
      <c r="AU41" s="26">
        <f t="shared" si="14"/>
        <v>20.483117326690671</v>
      </c>
      <c r="AV41" s="26">
        <f t="shared" si="14"/>
        <v>20.793135845008763</v>
      </c>
      <c r="AW41" s="26">
        <f t="shared" si="14"/>
        <v>19.737691721710537</v>
      </c>
      <c r="AX41" s="26">
        <f t="shared" si="14"/>
        <v>19.737691721710537</v>
      </c>
      <c r="AY41" s="26">
        <f t="shared" si="14"/>
        <v>20.591660485396403</v>
      </c>
      <c r="AZ41" s="26">
        <f t="shared" si="14"/>
        <v>20.797235284811141</v>
      </c>
      <c r="BA41" s="27">
        <f t="shared" si="14"/>
        <v>22.421621048731168</v>
      </c>
      <c r="BB41" s="26">
        <f t="shared" si="14"/>
        <v>19.737691721710537</v>
      </c>
      <c r="BC41" s="28">
        <f t="shared" si="14"/>
        <v>21.282646088489766</v>
      </c>
    </row>
    <row r="42" spans="1:55" ht="14.25" customHeight="1" thickBot="1" x14ac:dyDescent="0.3">
      <c r="A42" s="29" t="s">
        <v>27</v>
      </c>
      <c r="B42" s="18">
        <f t="shared" ref="B42:Q42" si="15">AVERAGE(B9:B39)</f>
        <v>24.848387096774193</v>
      </c>
      <c r="C42" s="18">
        <f t="shared" si="15"/>
        <v>26.258064516129039</v>
      </c>
      <c r="D42" s="18">
        <f t="shared" si="15"/>
        <v>27.645161290322584</v>
      </c>
      <c r="E42" s="18">
        <f t="shared" si="15"/>
        <v>28.803225806451607</v>
      </c>
      <c r="F42" s="18">
        <f t="shared" si="15"/>
        <v>29.622580645161289</v>
      </c>
      <c r="G42" s="18">
        <f t="shared" si="15"/>
        <v>30.354838709677431</v>
      </c>
      <c r="H42" s="18">
        <f t="shared" si="15"/>
        <v>30.480645161290326</v>
      </c>
      <c r="I42" s="18">
        <f t="shared" si="15"/>
        <v>29.954838709677418</v>
      </c>
      <c r="J42" s="18">
        <f t="shared" si="15"/>
        <v>28.609677419354846</v>
      </c>
      <c r="K42" s="18">
        <f t="shared" si="15"/>
        <v>27.912903225806453</v>
      </c>
      <c r="L42" s="18">
        <f t="shared" si="15"/>
        <v>27.045161290322579</v>
      </c>
      <c r="M42" s="18">
        <f t="shared" si="15"/>
        <v>26.345161290322576</v>
      </c>
      <c r="N42" s="18">
        <f t="shared" si="15"/>
        <v>25.712903225806443</v>
      </c>
      <c r="O42" s="17">
        <f t="shared" si="15"/>
        <v>30.716129032258074</v>
      </c>
      <c r="P42" s="18">
        <f t="shared" si="15"/>
        <v>24.570967741935487</v>
      </c>
      <c r="Q42" s="19">
        <f t="shared" si="15"/>
        <v>27.968734491315139</v>
      </c>
      <c r="T42" s="29" t="s">
        <v>27</v>
      </c>
      <c r="U42" s="18">
        <f t="shared" ref="U42:AJ42" si="16">AVERAGE(U9:U39)</f>
        <v>23.493548387096773</v>
      </c>
      <c r="V42" s="18">
        <f t="shared" si="16"/>
        <v>23.983870967741939</v>
      </c>
      <c r="W42" s="18">
        <f t="shared" si="16"/>
        <v>24.2741935483871</v>
      </c>
      <c r="X42" s="18">
        <f t="shared" si="16"/>
        <v>24.635483870967743</v>
      </c>
      <c r="Y42" s="18">
        <f t="shared" si="16"/>
        <v>24.883870967741935</v>
      </c>
      <c r="Z42" s="18">
        <f t="shared" si="16"/>
        <v>25.087096774193547</v>
      </c>
      <c r="AA42" s="18">
        <f t="shared" si="16"/>
        <v>25.290322580645164</v>
      </c>
      <c r="AB42" s="18">
        <f t="shared" si="16"/>
        <v>25.180645161290325</v>
      </c>
      <c r="AC42" s="18">
        <f t="shared" si="16"/>
        <v>24.758064516129028</v>
      </c>
      <c r="AD42" s="18">
        <f t="shared" si="16"/>
        <v>24.606451612903221</v>
      </c>
      <c r="AE42" s="18">
        <f t="shared" si="16"/>
        <v>24.193548387096776</v>
      </c>
      <c r="AF42" s="18">
        <f t="shared" si="16"/>
        <v>23.938709677419361</v>
      </c>
      <c r="AG42" s="18">
        <f t="shared" si="16"/>
        <v>23.725806451612904</v>
      </c>
      <c r="AH42" s="17">
        <f t="shared" si="16"/>
        <v>25.654838709677424</v>
      </c>
      <c r="AI42" s="18">
        <f t="shared" si="16"/>
        <v>23.125806451612899</v>
      </c>
      <c r="AJ42" s="19">
        <f t="shared" si="16"/>
        <v>24.465508684863522</v>
      </c>
      <c r="AM42" s="29" t="s">
        <v>27</v>
      </c>
      <c r="AN42" s="18">
        <f t="shared" ref="AN42:BC42" si="17">AVERAGE(AN9:AN39)</f>
        <v>22.76281792525722</v>
      </c>
      <c r="AO42" s="18">
        <f t="shared" si="17"/>
        <v>22.841800348845847</v>
      </c>
      <c r="AP42" s="18">
        <f t="shared" si="17"/>
        <v>22.625224003312692</v>
      </c>
      <c r="AQ42" s="18">
        <f t="shared" si="17"/>
        <v>22.643323006238017</v>
      </c>
      <c r="AR42" s="18">
        <f t="shared" si="17"/>
        <v>22.647501142066417</v>
      </c>
      <c r="AS42" s="18">
        <f t="shared" si="17"/>
        <v>22.627102141050472</v>
      </c>
      <c r="AT42" s="18">
        <f t="shared" si="17"/>
        <v>22.892808965194448</v>
      </c>
      <c r="AU42" s="18">
        <f t="shared" si="17"/>
        <v>22.971396156951197</v>
      </c>
      <c r="AV42" s="18">
        <f t="shared" si="17"/>
        <v>22.934113555317708</v>
      </c>
      <c r="AW42" s="18">
        <f t="shared" si="17"/>
        <v>23.019300825864612</v>
      </c>
      <c r="AX42" s="18">
        <f t="shared" si="17"/>
        <v>22.784529043795789</v>
      </c>
      <c r="AY42" s="18">
        <f t="shared" si="17"/>
        <v>22.725259506973348</v>
      </c>
      <c r="AZ42" s="18">
        <f t="shared" si="17"/>
        <v>22.705189576584296</v>
      </c>
      <c r="BA42" s="17">
        <f t="shared" si="17"/>
        <v>23.845707838522429</v>
      </c>
      <c r="BB42" s="18">
        <f t="shared" si="17"/>
        <v>21.572546949825018</v>
      </c>
      <c r="BC42" s="19">
        <f t="shared" si="17"/>
        <v>22.783105092111697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[2]QFF!C42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[2]QFF!C43</f>
        <v>Kepala Stasiun Klimatologi Kelas IV</v>
      </c>
      <c r="N45" s="1" t="str">
        <f>[2]QFF!N43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tr">
        <f>[2]QFF!C44</f>
        <v>Sleman Yogyakarta</v>
      </c>
      <c r="N46" s="1"/>
      <c r="T46" s="1"/>
      <c r="V46" s="1" t="str">
        <f>C46</f>
        <v>Sleman Yogyakarta</v>
      </c>
      <c r="AG46" s="1"/>
      <c r="AM46" s="1"/>
      <c r="AO46" s="1" t="str">
        <f>V46</f>
        <v>Sleman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[2]QFF!C49</f>
        <v>RENI KRANINGTYAS, SP, M.Si</v>
      </c>
      <c r="N51" s="30" t="str">
        <f>[2]QFF!N49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[2]QFF!C50</f>
        <v>NIP.  19740203 199703 2 001</v>
      </c>
      <c r="N52" s="1" t="str">
        <f>[2]QFF!N50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60">
    <mergeCell ref="F1:L1"/>
    <mergeCell ref="Y1:AE1"/>
    <mergeCell ref="AR1:AX1"/>
    <mergeCell ref="G4:K4"/>
    <mergeCell ref="O4:Q4"/>
    <mergeCell ref="Z4:AD4"/>
    <mergeCell ref="AH4:AJ4"/>
    <mergeCell ref="AS4:AW4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</mergeCells>
  <printOptions horizontalCentered="1" verticalCentered="1"/>
  <pageMargins left="0.94488188976377963" right="0.23622047244094491" top="0.74803149606299213" bottom="0.31496062992125984" header="0.39370078740157483" footer="0.39370078740157483"/>
  <pageSetup scale="75" orientation="landscape" horizontalDpi="4294967293" verticalDpi="4294967293" r:id="rId1"/>
  <headerFooter alignWithMargins="0"/>
  <colBreaks count="1" manualBreakCount="1">
    <brk id="19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BE90"/>
  <sheetViews>
    <sheetView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19" width="9.109375" style="2"/>
    <col min="20" max="20" width="10.5546875" style="2" customWidth="1"/>
    <col min="21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93" t="str">
        <f>'[3]input data'!C1136</f>
        <v>STASIUN KLIMATOLOGI KL. IV SLEMAN</v>
      </c>
      <c r="G1" s="93"/>
      <c r="H1" s="93"/>
      <c r="I1" s="93"/>
      <c r="J1" s="93"/>
      <c r="K1" s="93"/>
      <c r="L1" s="93"/>
      <c r="T1" s="1"/>
      <c r="Y1" s="93" t="str">
        <f>F1</f>
        <v>STASIUN KLIMATOLOGI KL. IV SLEMAN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KL. IV SLEMAN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4.25" customHeight="1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4.25" customHeight="1" x14ac:dyDescent="0.25">
      <c r="A4" s="2" t="s">
        <v>4</v>
      </c>
      <c r="C4" s="7"/>
      <c r="D4" s="4" t="str">
        <f>UPPER([3]QFE!C3)</f>
        <v>FEBRUARI 2022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FEBRUARI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FEBRUARI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4.25" customHeight="1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4.25" customHeight="1" thickBot="1" x14ac:dyDescent="0.3">
      <c r="K6" s="2" t="s">
        <v>7</v>
      </c>
      <c r="M6" s="8" t="str">
        <f>'[3]input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4.25" customHeight="1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4.25" customHeight="1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4.25" customHeight="1" thickTop="1" x14ac:dyDescent="0.25">
      <c r="A9" s="10">
        <v>1</v>
      </c>
      <c r="B9" s="11">
        <f>'[3]input data'!E6</f>
        <v>25.2</v>
      </c>
      <c r="C9" s="11">
        <f>'[3]input data'!E7</f>
        <v>26.4</v>
      </c>
      <c r="D9" s="11">
        <f>'[3]input data'!E8</f>
        <v>28.4</v>
      </c>
      <c r="E9" s="11">
        <f>'[3]input data'!E9</f>
        <v>30</v>
      </c>
      <c r="F9" s="11">
        <f>'[3]input data'!E10</f>
        <v>30.3</v>
      </c>
      <c r="G9" s="11">
        <f>'[3]input data'!E11</f>
        <v>30.6</v>
      </c>
      <c r="H9" s="11">
        <f>'[3]input data'!E12</f>
        <v>31.2</v>
      </c>
      <c r="I9" s="11">
        <f>'[3]input data'!E13</f>
        <v>31.2</v>
      </c>
      <c r="J9" s="11">
        <f>'[3]input data'!E14</f>
        <v>29.6</v>
      </c>
      <c r="K9" s="11">
        <f>'[3]input data'!E15</f>
        <v>29</v>
      </c>
      <c r="L9" s="11">
        <f>'[3]input data'!E16</f>
        <v>28.8</v>
      </c>
      <c r="M9" s="11">
        <f>'[3]input data'!E17</f>
        <v>28.3</v>
      </c>
      <c r="N9" s="11">
        <f>'[3]input data'!E18</f>
        <v>27</v>
      </c>
      <c r="O9" s="12">
        <f t="shared" ref="O9:O36" si="0">MAX(B9:N9)</f>
        <v>31.2</v>
      </c>
      <c r="P9" s="13">
        <f t="shared" ref="P9:P36" si="1">MIN(B9:N9)</f>
        <v>25.2</v>
      </c>
      <c r="Q9" s="14">
        <f>AVERAGE(B9:N9)</f>
        <v>28.923076923076923</v>
      </c>
      <c r="T9" s="10">
        <v>1</v>
      </c>
      <c r="U9" s="11">
        <f>INDEX('[3]input data'!$F$1:$F$1108,U58,1)</f>
        <v>23.4</v>
      </c>
      <c r="V9" s="11">
        <f>INDEX('[3]input data'!$F$1:$F$1108,V58,1)</f>
        <v>23.8</v>
      </c>
      <c r="W9" s="11">
        <f>INDEX('[3]input data'!$F$1:$F$1108,W58,1)</f>
        <v>24.2</v>
      </c>
      <c r="X9" s="11">
        <f>INDEX('[3]input data'!$F$1:$F$1108,X58,1)</f>
        <v>25.1</v>
      </c>
      <c r="Y9" s="11">
        <f>INDEX('[3]input data'!$F$1:$F$1108,Y58,1)</f>
        <v>25.1</v>
      </c>
      <c r="Z9" s="11">
        <f>INDEX('[3]input data'!$F$1:$F$1108,Z58,1)</f>
        <v>25.4</v>
      </c>
      <c r="AA9" s="11">
        <f>INDEX('[3]input data'!$F$1:$F$1108,AA58,1)</f>
        <v>25.3</v>
      </c>
      <c r="AB9" s="11">
        <f>INDEX('[3]input data'!$F$1:$F$1108,AB58,1)</f>
        <v>24.3</v>
      </c>
      <c r="AC9" s="11">
        <f>INDEX('[3]input data'!$F$1:$F$1108,AC58,1)</f>
        <v>24.9</v>
      </c>
      <c r="AD9" s="11">
        <f>INDEX('[3]input data'!$F$1:$F$1108,AD58,1)</f>
        <v>25.1</v>
      </c>
      <c r="AE9" s="11">
        <f>INDEX('[3]input data'!$F$1:$F$1108,AE58,1)</f>
        <v>25.4</v>
      </c>
      <c r="AF9" s="11">
        <f>INDEX('[3]input data'!$F$1:$F$1108,AF58,1)</f>
        <v>25.4</v>
      </c>
      <c r="AG9" s="11">
        <f>INDEX('[3]input data'!$F$1:$F$1108,AG58,1)</f>
        <v>24.7</v>
      </c>
      <c r="AH9" s="12">
        <f t="shared" ref="AH9:AH36" si="2">MAX(U9:AG9)</f>
        <v>25.4</v>
      </c>
      <c r="AI9" s="13">
        <f t="shared" ref="AI9:AI36" si="3">MIN(U9:AG9)</f>
        <v>23.4</v>
      </c>
      <c r="AJ9" s="14">
        <f>AVERAGE(U9:AG9)</f>
        <v>24.776923076923076</v>
      </c>
      <c r="AM9" s="10">
        <v>1</v>
      </c>
      <c r="AN9" s="11">
        <f>INDEX('[3]input data'!$G$1:$G$1108,AO58,1)</f>
        <v>22.45741703757486</v>
      </c>
      <c r="AO9" s="11">
        <f>INDEX('[3]input data'!$G$1:$G$1108,AP58,1)</f>
        <v>22.497311086300893</v>
      </c>
      <c r="AP9" s="11">
        <f>INDEX('[3]input data'!$G$1:$G$1108,AQ58,1)</f>
        <v>22.161158941710486</v>
      </c>
      <c r="AQ9" s="11">
        <f>INDEX('[3]input data'!$G$1:$G$1108,AR58,1)</f>
        <v>22.829714824028944</v>
      </c>
      <c r="AR9" s="11">
        <f>INDEX('[3]input data'!$G$1:$G$1108,AS58,1)</f>
        <v>22.688443801576025</v>
      </c>
      <c r="AS9" s="11">
        <f>INDEX('[3]input data'!$G$1:$G$1108,AT58,1)</f>
        <v>23.026747545268133</v>
      </c>
      <c r="AT9" s="11">
        <f>INDEX('[3]input data'!$G$1:$G$1108,AU58,1)</f>
        <v>22.584259480285496</v>
      </c>
      <c r="AU9" s="11">
        <f>INDEX('[3]input data'!$G$1:$G$1108,AV58,1)</f>
        <v>20.919624643011055</v>
      </c>
      <c r="AV9" s="11">
        <f>INDEX('[3]input data'!$G$1:$G$1108,AW58,1)</f>
        <v>22.700144821566319</v>
      </c>
      <c r="AW9" s="11">
        <f>INDEX('[3]input data'!$G$1:$G$1108,AX58,1)</f>
        <v>23.293141559911223</v>
      </c>
      <c r="AX9" s="11">
        <f>INDEX('[3]input data'!$G$1:$G$1108,AY58,1)</f>
        <v>23.844597001278153</v>
      </c>
      <c r="AY9" s="11">
        <f>INDEX('[3]input data'!$G$1:$G$1108,AZ58,1)</f>
        <v>24.065674695827873</v>
      </c>
      <c r="AZ9" s="11">
        <f>INDEX('[3]input data'!$G$1:$G$1108,BA58,1)</f>
        <v>23.590384962747073</v>
      </c>
      <c r="BA9" s="12">
        <f t="shared" ref="BA9:BA36" si="4">MAX(AN9:AZ9)</f>
        <v>24.065674695827873</v>
      </c>
      <c r="BB9" s="13">
        <f t="shared" ref="BB9:BB36" si="5">MIN(AN9:AZ9)</f>
        <v>20.919624643011055</v>
      </c>
      <c r="BC9" s="14">
        <f>AVERAGE(AN9:AZ9)</f>
        <v>22.819893877006656</v>
      </c>
    </row>
    <row r="10" spans="1:57" ht="14.25" customHeight="1" x14ac:dyDescent="0.25">
      <c r="A10" s="15">
        <v>2</v>
      </c>
      <c r="B10" s="11">
        <f>'[3]input data'!E42</f>
        <v>25.2</v>
      </c>
      <c r="C10" s="11">
        <f>'[3]input data'!E43</f>
        <v>27</v>
      </c>
      <c r="D10" s="11">
        <f>'[3]input data'!E44</f>
        <v>28.9</v>
      </c>
      <c r="E10" s="11">
        <f>'[3]input data'!E45</f>
        <v>29.6</v>
      </c>
      <c r="F10" s="11">
        <f>'[3]input data'!E46</f>
        <v>30.6</v>
      </c>
      <c r="G10" s="11">
        <f>'[3]input data'!E47</f>
        <v>30.2</v>
      </c>
      <c r="H10" s="11">
        <f>'[3]input data'!E48</f>
        <v>26.8</v>
      </c>
      <c r="I10" s="11">
        <f>'[3]input data'!E49</f>
        <v>25.2</v>
      </c>
      <c r="J10" s="11">
        <f>'[3]input data'!E50</f>
        <v>25.4</v>
      </c>
      <c r="K10" s="11">
        <f>'[3]input data'!E51</f>
        <v>26</v>
      </c>
      <c r="L10" s="11">
        <f>'[3]input data'!E52</f>
        <v>26.6</v>
      </c>
      <c r="M10" s="11">
        <f>'[3]input data'!E53</f>
        <v>26.8</v>
      </c>
      <c r="N10" s="11">
        <f>'[3]input data'!E54</f>
        <v>26</v>
      </c>
      <c r="O10" s="12">
        <f t="shared" si="0"/>
        <v>30.6</v>
      </c>
      <c r="P10" s="13">
        <f t="shared" si="1"/>
        <v>25.2</v>
      </c>
      <c r="Q10" s="16">
        <f t="shared" ref="Q10:Q36" si="6">AVERAGE(B10:N10)</f>
        <v>27.253846153846155</v>
      </c>
      <c r="T10" s="15">
        <v>2</v>
      </c>
      <c r="U10" s="11">
        <f>INDEX('[3]input data'!$F$1:$F$1108,U59,1)</f>
        <v>24</v>
      </c>
      <c r="V10" s="11">
        <f>INDEX('[3]input data'!$F$1:$F$1108,V59,1)</f>
        <v>24.2</v>
      </c>
      <c r="W10" s="11">
        <f>INDEX('[3]input data'!$F$1:$F$1108,W59,1)</f>
        <v>25.5</v>
      </c>
      <c r="X10" s="11">
        <f>INDEX('[3]input data'!$F$1:$F$1108,X59,1)</f>
        <v>25.5</v>
      </c>
      <c r="Y10" s="11">
        <f>INDEX('[3]input data'!$F$1:$F$1108,Y59,1)</f>
        <v>25.7</v>
      </c>
      <c r="Z10" s="11">
        <f>INDEX('[3]input data'!$F$1:$F$1108,Z59,1)</f>
        <v>25.9</v>
      </c>
      <c r="AA10" s="11">
        <f>INDEX('[3]input data'!$F$1:$F$1108,AA59,1)</f>
        <v>24.4</v>
      </c>
      <c r="AB10" s="11">
        <f>INDEX('[3]input data'!$F$1:$F$1108,AB59,1)</f>
        <v>23.2</v>
      </c>
      <c r="AC10" s="11">
        <f>INDEX('[3]input data'!$F$1:$F$1108,AC59,1)</f>
        <v>23.4</v>
      </c>
      <c r="AD10" s="11">
        <f>INDEX('[3]input data'!$F$1:$F$1108,AD59,1)</f>
        <v>23.6</v>
      </c>
      <c r="AE10" s="11">
        <f>INDEX('[3]input data'!$F$1:$F$1108,AE59,1)</f>
        <v>24.6</v>
      </c>
      <c r="AF10" s="11">
        <f>INDEX('[3]input data'!$F$1:$F$1108,AF59,1)</f>
        <v>24.6</v>
      </c>
      <c r="AG10" s="11">
        <f>INDEX('[3]input data'!$F$1:$F$1108,AG59,1)</f>
        <v>23.6</v>
      </c>
      <c r="AH10" s="12">
        <f t="shared" si="2"/>
        <v>25.9</v>
      </c>
      <c r="AI10" s="13">
        <f t="shared" si="3"/>
        <v>23.2</v>
      </c>
      <c r="AJ10" s="16">
        <f t="shared" ref="AJ10:AJ36" si="7">AVERAGE(U10:AG10)</f>
        <v>24.476923076923079</v>
      </c>
      <c r="AM10" s="15">
        <v>2</v>
      </c>
      <c r="AN10" s="11">
        <f>INDEX('[3]input data'!$G$1:$G$1108,AO59,1)</f>
        <v>23.359988927625103</v>
      </c>
      <c r="AO10" s="11">
        <f>INDEX('[3]input data'!$G$1:$G$1108,AP59,1)</f>
        <v>22.829633194937365</v>
      </c>
      <c r="AP10" s="11">
        <f>INDEX('[3]input data'!$G$1:$G$1108,AQ59,1)</f>
        <v>23.9524681757811</v>
      </c>
      <c r="AQ10" s="11">
        <f>INDEX('[3]input data'!$G$1:$G$1108,AR59,1)</f>
        <v>23.640370879653982</v>
      </c>
      <c r="AR10" s="11">
        <f>INDEX('[3]input data'!$G$1:$G$1108,AS59,1)</f>
        <v>23.500621985768088</v>
      </c>
      <c r="AS10" s="11">
        <f>INDEX('[3]input data'!$G$1:$G$1108,AT59,1)</f>
        <v>23.99030123628047</v>
      </c>
      <c r="AT10" s="11">
        <f>INDEX('[3]input data'!$G$1:$G$1108,AU59,1)</f>
        <v>23.228029920116789</v>
      </c>
      <c r="AU10" s="11">
        <f>INDEX('[3]input data'!$G$1:$G$1108,AV59,1)</f>
        <v>22.151221893264331</v>
      </c>
      <c r="AV10" s="11">
        <f>INDEX('[3]input data'!$G$1:$G$1108,AW59,1)</f>
        <v>22.361484869154971</v>
      </c>
      <c r="AW10" s="11">
        <f>INDEX('[3]input data'!$G$1:$G$1108,AX59,1)</f>
        <v>22.380428406468425</v>
      </c>
      <c r="AX10" s="11">
        <f>INDEX('[3]input data'!$G$1:$G$1108,AY59,1)</f>
        <v>23.620401055617794</v>
      </c>
      <c r="AY10" s="11">
        <f>INDEX('[3]input data'!$G$1:$G$1108,AZ59,1)</f>
        <v>23.530193147412959</v>
      </c>
      <c r="AZ10" s="11">
        <f>INDEX('[3]input data'!$G$1:$G$1108,BA59,1)</f>
        <v>22.380428406468425</v>
      </c>
      <c r="BA10" s="12">
        <f t="shared" si="4"/>
        <v>23.99030123628047</v>
      </c>
      <c r="BB10" s="13">
        <f t="shared" si="5"/>
        <v>22.151221893264331</v>
      </c>
      <c r="BC10" s="16">
        <f t="shared" ref="BC10:BC36" si="8">AVERAGE(AN10:AZ10)</f>
        <v>23.148120930657679</v>
      </c>
    </row>
    <row r="11" spans="1:57" ht="14.25" customHeight="1" x14ac:dyDescent="0.25">
      <c r="A11" s="15">
        <v>3</v>
      </c>
      <c r="B11" s="11">
        <f>'[3]input data'!E78</f>
        <v>24.6</v>
      </c>
      <c r="C11" s="11">
        <f>'[3]input data'!E79</f>
        <v>26.2</v>
      </c>
      <c r="D11" s="11">
        <f>'[3]input data'!E80</f>
        <v>28.2</v>
      </c>
      <c r="E11" s="11">
        <f>'[3]input data'!E81</f>
        <v>29.8</v>
      </c>
      <c r="F11" s="11">
        <f>'[3]input data'!E82</f>
        <v>30.6</v>
      </c>
      <c r="G11" s="11">
        <f>'[3]input data'!E83</f>
        <v>32.299999999999997</v>
      </c>
      <c r="H11" s="11">
        <f>'[3]input data'!E84</f>
        <v>32.700000000000003</v>
      </c>
      <c r="I11" s="11">
        <f>'[3]input data'!E85</f>
        <v>24</v>
      </c>
      <c r="J11" s="11">
        <f>'[3]input data'!E86</f>
        <v>23.4</v>
      </c>
      <c r="K11" s="11">
        <f>'[3]input data'!E87</f>
        <v>24</v>
      </c>
      <c r="L11" s="11">
        <f>'[3]input data'!E88</f>
        <v>24.6</v>
      </c>
      <c r="M11" s="11">
        <f>'[3]input data'!E89</f>
        <v>24.6</v>
      </c>
      <c r="N11" s="11">
        <f>'[3]input data'!E90</f>
        <v>24.2</v>
      </c>
      <c r="O11" s="12">
        <f t="shared" si="0"/>
        <v>32.700000000000003</v>
      </c>
      <c r="P11" s="13">
        <f t="shared" si="1"/>
        <v>23.4</v>
      </c>
      <c r="Q11" s="16">
        <f t="shared" si="6"/>
        <v>26.861538461538462</v>
      </c>
      <c r="T11" s="15">
        <v>3</v>
      </c>
      <c r="U11" s="11">
        <f>INDEX('[3]input data'!$F$1:$F$1108,U60,1)</f>
        <v>23.3</v>
      </c>
      <c r="V11" s="11">
        <f>INDEX('[3]input data'!$F$1:$F$1108,V60,1)</f>
        <v>24</v>
      </c>
      <c r="W11" s="11">
        <f>INDEX('[3]input data'!$F$1:$F$1108,W60,1)</f>
        <v>24.4</v>
      </c>
      <c r="X11" s="11">
        <f>INDEX('[3]input data'!$F$1:$F$1108,X60,1)</f>
        <v>25</v>
      </c>
      <c r="Y11" s="11">
        <f>INDEX('[3]input data'!$F$1:$F$1108,Y60,1)</f>
        <v>25.7</v>
      </c>
      <c r="Z11" s="11">
        <f>INDEX('[3]input data'!$F$1:$F$1108,Z60,1)</f>
        <v>25.6</v>
      </c>
      <c r="AA11" s="11">
        <f>INDEX('[3]input data'!$F$1:$F$1108,AA60,1)</f>
        <v>25</v>
      </c>
      <c r="AB11" s="11">
        <f>INDEX('[3]input data'!$F$1:$F$1108,AB60,1)</f>
        <v>22.6</v>
      </c>
      <c r="AC11" s="11">
        <f>INDEX('[3]input data'!$F$1:$F$1108,AC60,1)</f>
        <v>22.4</v>
      </c>
      <c r="AD11" s="11">
        <f>INDEX('[3]input data'!$F$1:$F$1108,AD60,1)</f>
        <v>23</v>
      </c>
      <c r="AE11" s="11">
        <f>INDEX('[3]input data'!$F$1:$F$1108,AE60,1)</f>
        <v>23.2</v>
      </c>
      <c r="AF11" s="11">
        <f>INDEX('[3]input data'!$F$1:$F$1108,AF60,1)</f>
        <v>23.4</v>
      </c>
      <c r="AG11" s="11">
        <f>INDEX('[3]input data'!$F$1:$F$1108,AG60,1)</f>
        <v>23.2</v>
      </c>
      <c r="AH11" s="12">
        <f t="shared" si="2"/>
        <v>25.7</v>
      </c>
      <c r="AI11" s="13">
        <f t="shared" si="3"/>
        <v>22.4</v>
      </c>
      <c r="AJ11" s="16">
        <f t="shared" si="7"/>
        <v>23.907692307692304</v>
      </c>
      <c r="AM11" s="15">
        <v>3</v>
      </c>
      <c r="AN11" s="11">
        <f>INDEX('[3]input data'!$G$1:$G$1108,AO60,1)</f>
        <v>22.591865424441583</v>
      </c>
      <c r="AO11" s="11">
        <f>INDEX('[3]input data'!$G$1:$G$1108,AP60,1)</f>
        <v>22.898249002326494</v>
      </c>
      <c r="AP11" s="11">
        <f>INDEX('[3]input data'!$G$1:$G$1108,AQ60,1)</f>
        <v>22.573749319862735</v>
      </c>
      <c r="AQ11" s="11">
        <f>INDEX('[3]input data'!$G$1:$G$1108,AR60,1)</f>
        <v>22.764750111093644</v>
      </c>
      <c r="AR11" s="11">
        <f>INDEX('[3]input data'!$G$1:$G$1108,AS60,1)</f>
        <v>23.500621985768088</v>
      </c>
      <c r="AS11" s="11">
        <f>INDEX('[3]input data'!$G$1:$G$1108,AT60,1)</f>
        <v>22.550803390215055</v>
      </c>
      <c r="AT11" s="11">
        <f>INDEX('[3]input data'!$G$1:$G$1108,AU60,1)</f>
        <v>21.347497023795398</v>
      </c>
      <c r="AU11" s="11">
        <f>INDEX('[3]input data'!$G$1:$G$1108,AV60,1)</f>
        <v>21.818982335509961</v>
      </c>
      <c r="AV11" s="11">
        <f>INDEX('[3]input data'!$G$1:$G$1108,AW60,1)</f>
        <v>21.810660692606927</v>
      </c>
      <c r="AW11" s="11">
        <f>INDEX('[3]input data'!$G$1:$G$1108,AX60,1)</f>
        <v>22.426257580226199</v>
      </c>
      <c r="AX11" s="11">
        <f>INDEX('[3]input data'!$G$1:$G$1108,AY60,1)</f>
        <v>22.440752283690482</v>
      </c>
      <c r="AY11" s="11">
        <f>INDEX('[3]input data'!$G$1:$G$1108,AZ60,1)</f>
        <v>22.742318927283165</v>
      </c>
      <c r="AZ11" s="11">
        <f>INDEX('[3]input data'!$G$1:$G$1108,BA60,1)</f>
        <v>22.631329178936141</v>
      </c>
      <c r="BA11" s="12">
        <f t="shared" si="4"/>
        <v>23.500621985768088</v>
      </c>
      <c r="BB11" s="13">
        <f t="shared" si="5"/>
        <v>21.347497023795398</v>
      </c>
      <c r="BC11" s="16">
        <f t="shared" si="8"/>
        <v>22.469064404288911</v>
      </c>
    </row>
    <row r="12" spans="1:57" ht="14.25" customHeight="1" x14ac:dyDescent="0.25">
      <c r="A12" s="15">
        <v>4</v>
      </c>
      <c r="B12" s="11">
        <f>'[3]input data'!E114</f>
        <v>24.6</v>
      </c>
      <c r="C12" s="11">
        <f>'[3]input data'!E115</f>
        <v>26</v>
      </c>
      <c r="D12" s="11">
        <f>'[3]input data'!E116</f>
        <v>27.8</v>
      </c>
      <c r="E12" s="11">
        <f>'[3]input data'!E117</f>
        <v>29</v>
      </c>
      <c r="F12" s="11">
        <f>'[3]input data'!E118</f>
        <v>30.5</v>
      </c>
      <c r="G12" s="11">
        <f>'[3]input data'!E119</f>
        <v>30.8</v>
      </c>
      <c r="H12" s="11">
        <f>'[3]input data'!E120</f>
        <v>31.5</v>
      </c>
      <c r="I12" s="11">
        <f>'[3]input data'!E121</f>
        <v>31.7</v>
      </c>
      <c r="J12" s="11">
        <f>'[3]input data'!E122</f>
        <v>29.5</v>
      </c>
      <c r="K12" s="11">
        <f>'[3]input data'!E123</f>
        <v>29.2</v>
      </c>
      <c r="L12" s="11">
        <f>'[3]input data'!E124</f>
        <v>28.2</v>
      </c>
      <c r="M12" s="11">
        <f>'[3]input data'!E125</f>
        <v>27.9</v>
      </c>
      <c r="N12" s="11">
        <f>'[3]input data'!E126</f>
        <v>27.1</v>
      </c>
      <c r="O12" s="12">
        <f t="shared" si="0"/>
        <v>31.7</v>
      </c>
      <c r="P12" s="13">
        <f t="shared" si="1"/>
        <v>24.6</v>
      </c>
      <c r="Q12" s="16">
        <f t="shared" si="6"/>
        <v>28.753846153846151</v>
      </c>
      <c r="T12" s="15">
        <v>4</v>
      </c>
      <c r="U12" s="11">
        <f>INDEX('[3]input data'!$F$1:$F$1108,U61,1)</f>
        <v>23.8</v>
      </c>
      <c r="V12" s="11">
        <f>INDEX('[3]input data'!$F$1:$F$1108,V61,1)</f>
        <v>24.4</v>
      </c>
      <c r="W12" s="11">
        <f>INDEX('[3]input data'!$F$1:$F$1108,W61,1)</f>
        <v>24.8</v>
      </c>
      <c r="X12" s="11">
        <f>INDEX('[3]input data'!$F$1:$F$1108,X61,1)</f>
        <v>25</v>
      </c>
      <c r="Y12" s="11">
        <f>INDEX('[3]input data'!$F$1:$F$1108,Y61,1)</f>
        <v>25</v>
      </c>
      <c r="Z12" s="11">
        <f>INDEX('[3]input data'!$F$1:$F$1108,Z61,1)</f>
        <v>25.2</v>
      </c>
      <c r="AA12" s="11">
        <f>INDEX('[3]input data'!$F$1:$F$1108,AA61,1)</f>
        <v>26</v>
      </c>
      <c r="AB12" s="11">
        <f>INDEX('[3]input data'!$F$1:$F$1108,AB61,1)</f>
        <v>26.2</v>
      </c>
      <c r="AC12" s="11">
        <f>INDEX('[3]input data'!$F$1:$F$1108,AC61,1)</f>
        <v>25</v>
      </c>
      <c r="AD12" s="11">
        <f>INDEX('[3]input data'!$F$1:$F$1108,AD61,1)</f>
        <v>24</v>
      </c>
      <c r="AE12" s="11">
        <f>INDEX('[3]input data'!$F$1:$F$1108,AE61,1)</f>
        <v>24.2</v>
      </c>
      <c r="AF12" s="11">
        <f>INDEX('[3]input data'!$F$1:$F$1108,AF61,1)</f>
        <v>24.8</v>
      </c>
      <c r="AG12" s="11">
        <f>INDEX('[3]input data'!$F$1:$F$1108,AG61,1)</f>
        <v>24.8</v>
      </c>
      <c r="AH12" s="12">
        <f t="shared" si="2"/>
        <v>26.2</v>
      </c>
      <c r="AI12" s="13">
        <f t="shared" si="3"/>
        <v>23.8</v>
      </c>
      <c r="AJ12" s="16">
        <f t="shared" si="7"/>
        <v>24.861538461538462</v>
      </c>
      <c r="AM12" s="15">
        <v>4</v>
      </c>
      <c r="AN12" s="11">
        <f>INDEX('[3]input data'!$G$1:$G$1108,AO61,1)</f>
        <v>23.337733422817518</v>
      </c>
      <c r="AO12" s="11">
        <f>INDEX('[3]input data'!$G$1:$G$1108,AP61,1)</f>
        <v>23.592004375769026</v>
      </c>
      <c r="AP12" s="11">
        <f>INDEX('[3]input data'!$G$1:$G$1108,AQ61,1)</f>
        <v>23.379452040413032</v>
      </c>
      <c r="AQ12" s="11">
        <f>INDEX('[3]input data'!$G$1:$G$1108,AR61,1)</f>
        <v>23.13765699199967</v>
      </c>
      <c r="AR12" s="11">
        <f>INDEX('[3]input data'!$G$1:$G$1108,AS61,1)</f>
        <v>22.432307607667887</v>
      </c>
      <c r="AS12" s="11">
        <f>INDEX('[3]input data'!$G$1:$G$1108,AT61,1)</f>
        <v>22.612414864747695</v>
      </c>
      <c r="AT12" s="11">
        <f>INDEX('[3]input data'!$G$1:$G$1108,AU61,1)</f>
        <v>23.566147277914862</v>
      </c>
      <c r="AU12" s="11">
        <f>INDEX('[3]input data'!$G$1:$G$1108,AV61,1)</f>
        <v>23.791839319785169</v>
      </c>
      <c r="AV12" s="11">
        <f>INDEX('[3]input data'!$G$1:$G$1108,AW61,1)</f>
        <v>22.905453010257961</v>
      </c>
      <c r="AW12" s="11">
        <f>INDEX('[3]input data'!$G$1:$G$1108,AX61,1)</f>
        <v>21.44106467360707</v>
      </c>
      <c r="AX12" s="11">
        <f>INDEX('[3]input data'!$G$1:$G$1108,AY61,1)</f>
        <v>22.258119917094085</v>
      </c>
      <c r="AY12" s="11">
        <f>INDEX('[3]input data'!$G$1:$G$1108,AZ61,1)</f>
        <v>23.333825326586801</v>
      </c>
      <c r="AZ12" s="11">
        <f>INDEX('[3]input data'!$G$1:$G$1108,BA61,1)</f>
        <v>23.695807327426095</v>
      </c>
      <c r="BA12" s="12">
        <f t="shared" si="4"/>
        <v>23.791839319785169</v>
      </c>
      <c r="BB12" s="13">
        <f t="shared" si="5"/>
        <v>21.44106467360707</v>
      </c>
      <c r="BC12" s="16">
        <f t="shared" si="8"/>
        <v>23.037217396622069</v>
      </c>
    </row>
    <row r="13" spans="1:57" ht="14.25" customHeight="1" x14ac:dyDescent="0.25">
      <c r="A13" s="15">
        <v>5</v>
      </c>
      <c r="B13" s="11">
        <f>'[3]input data'!E150</f>
        <v>23.7</v>
      </c>
      <c r="C13" s="11">
        <f>'[3]input data'!E151</f>
        <v>24.8</v>
      </c>
      <c r="D13" s="11">
        <f>'[3]input data'!E152</f>
        <v>25.4</v>
      </c>
      <c r="E13" s="11">
        <f>'[3]input data'!E153</f>
        <v>25.7</v>
      </c>
      <c r="F13" s="11">
        <f>'[3]input data'!E154</f>
        <v>26.3</v>
      </c>
      <c r="G13" s="11">
        <f>'[3]input data'!E155</f>
        <v>26.7</v>
      </c>
      <c r="H13" s="11">
        <f>'[3]input data'!E156</f>
        <v>26.2</v>
      </c>
      <c r="I13" s="11">
        <f>'[3]input data'!E157</f>
        <v>25.8</v>
      </c>
      <c r="J13" s="11">
        <f>'[3]input data'!E158</f>
        <v>25.8</v>
      </c>
      <c r="K13" s="11">
        <f>'[3]input data'!E159</f>
        <v>25.5</v>
      </c>
      <c r="L13" s="11">
        <f>'[3]input data'!E160</f>
        <v>25.8</v>
      </c>
      <c r="M13" s="11">
        <f>'[3]input data'!E161</f>
        <v>25.6</v>
      </c>
      <c r="N13" s="11">
        <f>'[3]input data'!E162</f>
        <v>25</v>
      </c>
      <c r="O13" s="12">
        <f t="shared" si="0"/>
        <v>26.7</v>
      </c>
      <c r="P13" s="13">
        <f t="shared" si="1"/>
        <v>23.7</v>
      </c>
      <c r="Q13" s="16">
        <f t="shared" si="6"/>
        <v>25.561538461538461</v>
      </c>
      <c r="T13" s="15">
        <v>5</v>
      </c>
      <c r="U13" s="11">
        <f>INDEX('[3]input data'!$F$1:$F$1108,U62,1)</f>
        <v>22.8</v>
      </c>
      <c r="V13" s="11">
        <f>INDEX('[3]input data'!$F$1:$F$1108,V62,1)</f>
        <v>23.6</v>
      </c>
      <c r="W13" s="11">
        <f>INDEX('[3]input data'!$F$1:$F$1108,W62,1)</f>
        <v>24.2</v>
      </c>
      <c r="X13" s="11">
        <f>INDEX('[3]input data'!$F$1:$F$1108,X62,1)</f>
        <v>23.9</v>
      </c>
      <c r="Y13" s="11">
        <f>INDEX('[3]input data'!$F$1:$F$1108,Y62,1)</f>
        <v>24.7</v>
      </c>
      <c r="Z13" s="11">
        <f>INDEX('[3]input data'!$F$1:$F$1108,Z62,1)</f>
        <v>24.9</v>
      </c>
      <c r="AA13" s="11">
        <f>INDEX('[3]input data'!$F$1:$F$1108,AA62,1)</f>
        <v>24.8</v>
      </c>
      <c r="AB13" s="11">
        <f>INDEX('[3]input data'!$F$1:$F$1108,AB62,1)</f>
        <v>24.2</v>
      </c>
      <c r="AC13" s="11">
        <f>INDEX('[3]input data'!$F$1:$F$1108,AC62,1)</f>
        <v>24.4</v>
      </c>
      <c r="AD13" s="11">
        <f>INDEX('[3]input data'!$F$1:$F$1108,AD62,1)</f>
        <v>24</v>
      </c>
      <c r="AE13" s="11">
        <f>INDEX('[3]input data'!$F$1:$F$1108,AE62,1)</f>
        <v>23.8</v>
      </c>
      <c r="AF13" s="11">
        <f>INDEX('[3]input data'!$F$1:$F$1108,AF62,1)</f>
        <v>24.6</v>
      </c>
      <c r="AG13" s="11">
        <f>INDEX('[3]input data'!$F$1:$F$1108,AG62,1)</f>
        <v>24.2</v>
      </c>
      <c r="AH13" s="12">
        <f t="shared" si="2"/>
        <v>24.9</v>
      </c>
      <c r="AI13" s="13">
        <f t="shared" si="3"/>
        <v>22.8</v>
      </c>
      <c r="AJ13" s="16">
        <f t="shared" si="7"/>
        <v>24.161538461538463</v>
      </c>
      <c r="AM13" s="15">
        <v>5</v>
      </c>
      <c r="AN13" s="11">
        <f>INDEX('[3]input data'!$G$1:$G$1108,AO62,1)</f>
        <v>22.269507301736514</v>
      </c>
      <c r="AO13" s="11">
        <f>INDEX('[3]input data'!$G$1:$G$1108,AP62,1)</f>
        <v>22.948281918843517</v>
      </c>
      <c r="AP13" s="11">
        <f>INDEX('[3]input data'!$G$1:$G$1108,AQ62,1)</f>
        <v>23.565735043217593</v>
      </c>
      <c r="AQ13" s="11">
        <f>INDEX('[3]input data'!$G$1:$G$1108,AR62,1)</f>
        <v>22.979887879905885</v>
      </c>
      <c r="AR13" s="11">
        <f>INDEX('[3]input data'!$G$1:$G$1108,AS62,1)</f>
        <v>23.903278617423673</v>
      </c>
      <c r="AS13" s="11">
        <f>INDEX('[3]input data'!$G$1:$G$1108,AT62,1)</f>
        <v>24.022766343607394</v>
      </c>
      <c r="AT13" s="11">
        <f>INDEX('[3]input data'!$G$1:$G$1108,AU62,1)</f>
        <v>24.09497496904363</v>
      </c>
      <c r="AU13" s="11">
        <f>INDEX('[3]input data'!$G$1:$G$1108,AV62,1)</f>
        <v>23.384370540910407</v>
      </c>
      <c r="AV13" s="11">
        <f>INDEX('[3]input data'!$G$1:$G$1108,AW62,1)</f>
        <v>23.681919065166394</v>
      </c>
      <c r="AW13" s="11">
        <f>INDEX('[3]input data'!$G$1:$G$1108,AX62,1)</f>
        <v>23.222644384066268</v>
      </c>
      <c r="AX13" s="11">
        <f>INDEX('[3]input data'!$G$1:$G$1108,AY62,1)</f>
        <v>22.781622980972795</v>
      </c>
      <c r="AY13" s="11">
        <f>INDEX('[3]input data'!$G$1:$G$1108,AZ62,1)</f>
        <v>24.06513901073685</v>
      </c>
      <c r="AZ13" s="11">
        <f>INDEX('[3]input data'!$G$1:$G$1108,BA62,1)</f>
        <v>23.745385843105907</v>
      </c>
      <c r="BA13" s="12">
        <f t="shared" si="4"/>
        <v>24.09497496904363</v>
      </c>
      <c r="BB13" s="13">
        <f t="shared" si="5"/>
        <v>22.269507301736514</v>
      </c>
      <c r="BC13" s="16">
        <f t="shared" si="8"/>
        <v>23.435808761441294</v>
      </c>
    </row>
    <row r="14" spans="1:57" ht="14.25" customHeight="1" x14ac:dyDescent="0.25">
      <c r="A14" s="15">
        <v>6</v>
      </c>
      <c r="B14" s="11">
        <f>'[3]input data'!E186</f>
        <v>25.8</v>
      </c>
      <c r="C14" s="11">
        <f>'[3]input data'!E187</f>
        <v>27.4</v>
      </c>
      <c r="D14" s="11">
        <f>'[3]input data'!E188</f>
        <v>28.8</v>
      </c>
      <c r="E14" s="11">
        <f>'[3]input data'!E189</f>
        <v>29.6</v>
      </c>
      <c r="F14" s="11">
        <f>'[3]input data'!E190</f>
        <v>30.8</v>
      </c>
      <c r="G14" s="11">
        <f>'[3]input data'!E191</f>
        <v>31.4</v>
      </c>
      <c r="H14" s="11">
        <f>'[3]input data'!E192</f>
        <v>28.8</v>
      </c>
      <c r="I14" s="11">
        <f>'[3]input data'!E193</f>
        <v>23.7</v>
      </c>
      <c r="J14" s="11">
        <f>'[3]input data'!E194</f>
        <v>23.8</v>
      </c>
      <c r="K14" s="11">
        <f>'[3]input data'!E195</f>
        <v>24</v>
      </c>
      <c r="L14" s="11">
        <f>'[3]input data'!E196</f>
        <v>24</v>
      </c>
      <c r="M14" s="11">
        <f>'[3]input data'!E197</f>
        <v>24.2</v>
      </c>
      <c r="N14" s="11">
        <f>'[3]input data'!E198</f>
        <v>24.2</v>
      </c>
      <c r="O14" s="12">
        <f t="shared" si="0"/>
        <v>31.4</v>
      </c>
      <c r="P14" s="13">
        <f t="shared" si="1"/>
        <v>23.7</v>
      </c>
      <c r="Q14" s="16">
        <f t="shared" si="6"/>
        <v>26.653846153846153</v>
      </c>
      <c r="T14" s="15">
        <v>6</v>
      </c>
      <c r="U14" s="11">
        <f>INDEX('[3]input data'!$F$1:$F$1108,U63,1)</f>
        <v>24</v>
      </c>
      <c r="V14" s="11">
        <f>INDEX('[3]input data'!$F$1:$F$1108,V63,1)</f>
        <v>24</v>
      </c>
      <c r="W14" s="11">
        <f>INDEX('[3]input data'!$F$1:$F$1108,W63,1)</f>
        <v>24.6</v>
      </c>
      <c r="X14" s="11">
        <f>INDEX('[3]input data'!$F$1:$F$1108,X63,1)</f>
        <v>25.2</v>
      </c>
      <c r="Y14" s="11">
        <f>INDEX('[3]input data'!$F$1:$F$1108,Y63,1)</f>
        <v>25.8</v>
      </c>
      <c r="Z14" s="11">
        <f>INDEX('[3]input data'!$F$1:$F$1108,Z63,1)</f>
        <v>26.2</v>
      </c>
      <c r="AA14" s="11">
        <f>INDEX('[3]input data'!$F$1:$F$1108,AA63,1)</f>
        <v>24</v>
      </c>
      <c r="AB14" s="11">
        <f>INDEX('[3]input data'!$F$1:$F$1108,AB63,1)</f>
        <v>23.1</v>
      </c>
      <c r="AC14" s="11">
        <f>INDEX('[3]input data'!$F$1:$F$1108,AC63,1)</f>
        <v>23.3</v>
      </c>
      <c r="AD14" s="11">
        <f>INDEX('[3]input data'!$F$1:$F$1108,AD63,1)</f>
        <v>23.4</v>
      </c>
      <c r="AE14" s="11">
        <f>INDEX('[3]input data'!$F$1:$F$1108,AE63,1)</f>
        <v>23.4</v>
      </c>
      <c r="AF14" s="11">
        <f>INDEX('[3]input data'!$F$1:$F$1108,AF63,1)</f>
        <v>23.5</v>
      </c>
      <c r="AG14" s="11">
        <f>INDEX('[3]input data'!$F$1:$F$1108,AG63,1)</f>
        <v>23.2</v>
      </c>
      <c r="AH14" s="12">
        <f t="shared" si="2"/>
        <v>26.2</v>
      </c>
      <c r="AI14" s="13">
        <f t="shared" si="3"/>
        <v>23.1</v>
      </c>
      <c r="AJ14" s="16">
        <f t="shared" si="7"/>
        <v>24.130769230769229</v>
      </c>
      <c r="AM14" s="15">
        <v>6</v>
      </c>
      <c r="AN14" s="11">
        <f>INDEX('[3]input data'!$G$1:$G$1108,AO63,1)</f>
        <v>23.084297681296647</v>
      </c>
      <c r="AO14" s="11">
        <f>INDEX('[3]input data'!$G$1:$G$1108,AP63,1)</f>
        <v>22.328850061942795</v>
      </c>
      <c r="AP14" s="11">
        <f>INDEX('[3]input data'!$G$1:$G$1108,AQ63,1)</f>
        <v>22.603699197462753</v>
      </c>
      <c r="AQ14" s="11">
        <f>INDEX('[3]input data'!$G$1:$G$1108,AR63,1)</f>
        <v>23.173497959213115</v>
      </c>
      <c r="AR14" s="11">
        <f>INDEX('[3]input data'!$G$1:$G$1108,AS63,1)</f>
        <v>23.56709069326994</v>
      </c>
      <c r="AS14" s="11">
        <f>INDEX('[3]input data'!$G$1:$G$1108,AT63,1)</f>
        <v>23.925167750037577</v>
      </c>
      <c r="AT14" s="11">
        <f>INDEX('[3]input data'!$G$1:$G$1108,AU63,1)</f>
        <v>21.642015979127848</v>
      </c>
      <c r="AU14" s="11">
        <f>INDEX('[3]input data'!$G$1:$G$1108,AV63,1)</f>
        <v>22.718493760265002</v>
      </c>
      <c r="AV14" s="11">
        <f>INDEX('[3]input data'!$G$1:$G$1108,AW63,1)</f>
        <v>22.968122691375331</v>
      </c>
      <c r="AW14" s="11">
        <f>INDEX('[3]input data'!$G$1:$G$1108,AX63,1)</f>
        <v>23.022986804446777</v>
      </c>
      <c r="AX14" s="11">
        <f>INDEX('[3]input data'!$G$1:$G$1108,AY63,1)</f>
        <v>23.022986804446777</v>
      </c>
      <c r="AY14" s="11">
        <f>INDEX('[3]input data'!$G$1:$G$1108,AZ63,1)</f>
        <v>23.078225344363613</v>
      </c>
      <c r="AZ14" s="11">
        <f>INDEX('[3]input data'!$G$1:$G$1108,BA63,1)</f>
        <v>22.631329178936141</v>
      </c>
      <c r="BA14" s="12">
        <f t="shared" si="4"/>
        <v>23.925167750037577</v>
      </c>
      <c r="BB14" s="13">
        <f t="shared" si="5"/>
        <v>21.642015979127848</v>
      </c>
      <c r="BC14" s="16">
        <f t="shared" si="8"/>
        <v>22.905135685091103</v>
      </c>
    </row>
    <row r="15" spans="1:57" ht="14.25" customHeight="1" x14ac:dyDescent="0.25">
      <c r="A15" s="15">
        <v>7</v>
      </c>
      <c r="B15" s="11">
        <f>'[3]input data'!E222</f>
        <v>24.4</v>
      </c>
      <c r="C15" s="11">
        <f>'[3]input data'!E223</f>
        <v>25.6</v>
      </c>
      <c r="D15" s="11">
        <f>'[3]input data'!E224</f>
        <v>25.4</v>
      </c>
      <c r="E15" s="11">
        <f>'[3]input data'!E225</f>
        <v>25.8</v>
      </c>
      <c r="F15" s="11">
        <f>'[3]input data'!E226</f>
        <v>27.5</v>
      </c>
      <c r="G15" s="11">
        <f>'[3]input data'!E227</f>
        <v>27.8</v>
      </c>
      <c r="H15" s="11">
        <f>'[3]input data'!E228</f>
        <v>27.8</v>
      </c>
      <c r="I15" s="11">
        <f>'[3]input data'!E229</f>
        <v>28.1</v>
      </c>
      <c r="J15" s="11">
        <f>'[3]input data'!E230</f>
        <v>28.2</v>
      </c>
      <c r="K15" s="11">
        <f>'[3]input data'!E231</f>
        <v>27.9</v>
      </c>
      <c r="L15" s="11">
        <f>'[3]input data'!E232</f>
        <v>28.9</v>
      </c>
      <c r="M15" s="11">
        <f>'[3]input data'!E233</f>
        <v>28</v>
      </c>
      <c r="N15" s="11">
        <f>'[3]input data'!E234</f>
        <v>26.4</v>
      </c>
      <c r="O15" s="12">
        <f t="shared" si="0"/>
        <v>28.9</v>
      </c>
      <c r="P15" s="13">
        <f t="shared" si="1"/>
        <v>24.4</v>
      </c>
      <c r="Q15" s="16">
        <f t="shared" si="6"/>
        <v>27.061538461538458</v>
      </c>
      <c r="T15" s="15">
        <v>7</v>
      </c>
      <c r="U15" s="11">
        <f>INDEX('[3]input data'!$F$1:$F$1108,U64,1)</f>
        <v>23.7</v>
      </c>
      <c r="V15" s="11">
        <f>INDEX('[3]input data'!$F$1:$F$1108,V64,1)</f>
        <v>24.3</v>
      </c>
      <c r="W15" s="11">
        <f>INDEX('[3]input data'!$F$1:$F$1108,W64,1)</f>
        <v>23.9</v>
      </c>
      <c r="X15" s="11">
        <f>INDEX('[3]input data'!$F$1:$F$1108,X64,1)</f>
        <v>24.4</v>
      </c>
      <c r="Y15" s="11">
        <f>INDEX('[3]input data'!$F$1:$F$1108,Y64,1)</f>
        <v>25.2</v>
      </c>
      <c r="Z15" s="11">
        <f>INDEX('[3]input data'!$F$1:$F$1108,Z64,1)</f>
        <v>25.4</v>
      </c>
      <c r="AA15" s="11">
        <f>INDEX('[3]input data'!$F$1:$F$1108,AA64,1)</f>
        <v>25.2</v>
      </c>
      <c r="AB15" s="11">
        <f>INDEX('[3]input data'!$F$1:$F$1108,AB64,1)</f>
        <v>25.3</v>
      </c>
      <c r="AC15" s="11">
        <f>INDEX('[3]input data'!$F$1:$F$1108,AC64,1)</f>
        <v>24.9</v>
      </c>
      <c r="AD15" s="11">
        <f>INDEX('[3]input data'!$F$1:$F$1108,AD64,1)</f>
        <v>24.9</v>
      </c>
      <c r="AE15" s="11">
        <f>INDEX('[3]input data'!$F$1:$F$1108,AE64,1)</f>
        <v>23</v>
      </c>
      <c r="AF15" s="11">
        <f>INDEX('[3]input data'!$F$1:$F$1108,AF64,1)</f>
        <v>23.2</v>
      </c>
      <c r="AG15" s="11">
        <f>INDEX('[3]input data'!$F$1:$F$1108,AG64,1)</f>
        <v>24.4</v>
      </c>
      <c r="AH15" s="12">
        <f t="shared" si="2"/>
        <v>25.4</v>
      </c>
      <c r="AI15" s="13">
        <f t="shared" si="3"/>
        <v>23</v>
      </c>
      <c r="AJ15" s="16">
        <f t="shared" si="7"/>
        <v>24.446153846153848</v>
      </c>
      <c r="AM15" s="15">
        <v>7</v>
      </c>
      <c r="AN15" s="11">
        <f>INDEX('[3]input data'!$G$1:$G$1108,AO64,1)</f>
        <v>23.281650558659795</v>
      </c>
      <c r="AO15" s="11">
        <f>INDEX('[3]input data'!$G$1:$G$1108,AP64,1)</f>
        <v>23.623646261428956</v>
      </c>
      <c r="AP15" s="11">
        <f>INDEX('[3]input data'!$G$1:$G$1108,AQ64,1)</f>
        <v>23.118995558898437</v>
      </c>
      <c r="AQ15" s="11">
        <f>INDEX('[3]input data'!$G$1:$G$1108,AR64,1)</f>
        <v>23.681919065166394</v>
      </c>
      <c r="AR15" s="11">
        <f>INDEX('[3]input data'!$G$1:$G$1108,AS64,1)</f>
        <v>24.117157557316535</v>
      </c>
      <c r="AS15" s="11">
        <f>INDEX('[3]input data'!$G$1:$G$1108,AT64,1)</f>
        <v>24.284221531671822</v>
      </c>
      <c r="AT15" s="11">
        <f>INDEX('[3]input data'!$G$1:$G$1108,AU64,1)</f>
        <v>23.985178287701391</v>
      </c>
      <c r="AU15" s="11">
        <f>INDEX('[3]input data'!$G$1:$G$1108,AV64,1)</f>
        <v>24.00315392237005</v>
      </c>
      <c r="AV15" s="11">
        <f>INDEX('[3]input data'!$G$1:$G$1108,AW64,1)</f>
        <v>23.350164439350358</v>
      </c>
      <c r="AW15" s="11">
        <f>INDEX('[3]input data'!$G$1:$G$1108,AX64,1)</f>
        <v>23.486600872425196</v>
      </c>
      <c r="AX15" s="11">
        <f>INDEX('[3]input data'!$G$1:$G$1108,AY64,1)</f>
        <v>19.917113757434294</v>
      </c>
      <c r="AY15" s="11">
        <f>INDEX('[3]input data'!$G$1:$G$1108,AZ64,1)</f>
        <v>20.737584230106016</v>
      </c>
      <c r="AZ15" s="11">
        <f>INDEX('[3]input data'!$G$1:$G$1108,BA64,1)</f>
        <v>23.41088917767016</v>
      </c>
      <c r="BA15" s="12">
        <f t="shared" si="4"/>
        <v>24.284221531671822</v>
      </c>
      <c r="BB15" s="13">
        <f t="shared" si="5"/>
        <v>19.917113757434294</v>
      </c>
      <c r="BC15" s="16">
        <f t="shared" si="8"/>
        <v>23.153713478476877</v>
      </c>
    </row>
    <row r="16" spans="1:57" ht="14.25" customHeight="1" x14ac:dyDescent="0.25">
      <c r="A16" s="15">
        <v>8</v>
      </c>
      <c r="B16" s="11">
        <f>'[3]input data'!E258</f>
        <v>24.8</v>
      </c>
      <c r="C16" s="11">
        <f>'[3]input data'!E259</f>
        <v>25.8</v>
      </c>
      <c r="D16" s="11">
        <f>'[3]input data'!E260</f>
        <v>27.1</v>
      </c>
      <c r="E16" s="11">
        <f>'[3]input data'!E261</f>
        <v>28.4</v>
      </c>
      <c r="F16" s="11">
        <f>'[3]input data'!E262</f>
        <v>30.1</v>
      </c>
      <c r="G16" s="11">
        <f>'[3]input data'!E263</f>
        <v>30.7</v>
      </c>
      <c r="H16" s="11">
        <f>'[3]input data'!E264</f>
        <v>29.9</v>
      </c>
      <c r="I16" s="11">
        <f>'[3]input data'!E265</f>
        <v>29.6</v>
      </c>
      <c r="J16" s="11">
        <f>'[3]input data'!E266</f>
        <v>29</v>
      </c>
      <c r="K16" s="11">
        <f>'[3]input data'!E267</f>
        <v>28.6</v>
      </c>
      <c r="L16" s="11">
        <f>'[3]input data'!E268</f>
        <v>28.4</v>
      </c>
      <c r="M16" s="11">
        <f>'[3]input data'!E269</f>
        <v>28.4</v>
      </c>
      <c r="N16" s="11">
        <f>'[3]input data'!E270</f>
        <v>27</v>
      </c>
      <c r="O16" s="12">
        <f t="shared" si="0"/>
        <v>30.7</v>
      </c>
      <c r="P16" s="13">
        <f t="shared" si="1"/>
        <v>24.8</v>
      </c>
      <c r="Q16" s="16">
        <f t="shared" si="6"/>
        <v>28.292307692307688</v>
      </c>
      <c r="T16" s="15">
        <v>8</v>
      </c>
      <c r="U16" s="11">
        <f>INDEX('[3]input data'!$F$1:$F$1108,U65,1)</f>
        <v>23.5</v>
      </c>
      <c r="V16" s="11">
        <f>INDEX('[3]input data'!$F$1:$F$1108,V65,1)</f>
        <v>23.9</v>
      </c>
      <c r="W16" s="11">
        <f>INDEX('[3]input data'!$F$1:$F$1108,W65,1)</f>
        <v>24.3</v>
      </c>
      <c r="X16" s="11">
        <f>INDEX('[3]input data'!$F$1:$F$1108,X65,1)</f>
        <v>24.6</v>
      </c>
      <c r="Y16" s="11">
        <f>INDEX('[3]input data'!$F$1:$F$1108,Y65,1)</f>
        <v>25.9</v>
      </c>
      <c r="Z16" s="11">
        <f>INDEX('[3]input data'!$F$1:$F$1108,Z65,1)</f>
        <v>24.9</v>
      </c>
      <c r="AA16" s="11">
        <f>INDEX('[3]input data'!$F$1:$F$1108,AA65,1)</f>
        <v>24.3</v>
      </c>
      <c r="AB16" s="11">
        <f>INDEX('[3]input data'!$F$1:$F$1108,AB65,1)</f>
        <v>24.2</v>
      </c>
      <c r="AC16" s="11">
        <f>INDEX('[3]input data'!$F$1:$F$1108,AC65,1)</f>
        <v>24.6</v>
      </c>
      <c r="AD16" s="11">
        <f>INDEX('[3]input data'!$F$1:$F$1108,AD65,1)</f>
        <v>25</v>
      </c>
      <c r="AE16" s="11">
        <f>INDEX('[3]input data'!$F$1:$F$1108,AE65,1)</f>
        <v>25.4</v>
      </c>
      <c r="AF16" s="11">
        <f>INDEX('[3]input data'!$F$1:$F$1108,AF65,1)</f>
        <v>25.4</v>
      </c>
      <c r="AG16" s="11">
        <f>INDEX('[3]input data'!$F$1:$F$1108,AG65,1)</f>
        <v>24.4</v>
      </c>
      <c r="AH16" s="12">
        <f t="shared" si="2"/>
        <v>25.9</v>
      </c>
      <c r="AI16" s="13">
        <f t="shared" si="3"/>
        <v>23.5</v>
      </c>
      <c r="AJ16" s="16">
        <f t="shared" si="7"/>
        <v>24.646153846153844</v>
      </c>
      <c r="AM16" s="15">
        <v>8</v>
      </c>
      <c r="AN16" s="11">
        <f>INDEX('[3]input data'!$G$1:$G$1108,AO65,1)</f>
        <v>22.798380300845441</v>
      </c>
      <c r="AO16" s="11">
        <f>INDEX('[3]input data'!$G$1:$G$1108,AP65,1)</f>
        <v>22.93329053299497</v>
      </c>
      <c r="AP16" s="11">
        <f>INDEX('[3]input data'!$G$1:$G$1108,AQ65,1)</f>
        <v>22.93653381188777</v>
      </c>
      <c r="AQ16" s="11">
        <f>INDEX('[3]input data'!$G$1:$G$1108,AR65,1)</f>
        <v>22.792662448856582</v>
      </c>
      <c r="AR16" s="11">
        <f>INDEX('[3]input data'!$G$1:$G$1108,AS65,1)</f>
        <v>24.034386138060192</v>
      </c>
      <c r="AS16" s="11">
        <f>INDEX('[3]input data'!$G$1:$G$1108,AT65,1)</f>
        <v>22.173243878774922</v>
      </c>
      <c r="AT16" s="11">
        <f>INDEX('[3]input data'!$G$1:$G$1108,AU65,1)</f>
        <v>21.582927891337569</v>
      </c>
      <c r="AU16" s="11">
        <f>INDEX('[3]input data'!$G$1:$G$1108,AV65,1)</f>
        <v>21.568635253270578</v>
      </c>
      <c r="AV16" s="11">
        <f>INDEX('[3]input data'!$G$1:$G$1108,AW65,1)</f>
        <v>22.508503251918363</v>
      </c>
      <c r="AW16" s="11">
        <f>INDEX('[3]input data'!$G$1:$G$1108,AX65,1)</f>
        <v>23.321392650725961</v>
      </c>
      <c r="AX16" s="11">
        <f>INDEX('[3]input data'!$G$1:$G$1108,AY65,1)</f>
        <v>24.021663637150674</v>
      </c>
      <c r="AY16" s="11">
        <f>INDEX('[3]input data'!$G$1:$G$1108,AZ65,1)</f>
        <v>24.021663637150674</v>
      </c>
      <c r="AZ16" s="11">
        <f>INDEX('[3]input data'!$G$1:$G$1108,BA65,1)</f>
        <v>23.135934889422426</v>
      </c>
      <c r="BA16" s="12">
        <f t="shared" si="4"/>
        <v>24.034386138060192</v>
      </c>
      <c r="BB16" s="13">
        <f t="shared" si="5"/>
        <v>21.568635253270578</v>
      </c>
      <c r="BC16" s="16">
        <f t="shared" si="8"/>
        <v>22.909939870953544</v>
      </c>
    </row>
    <row r="17" spans="1:55" ht="14.25" customHeight="1" x14ac:dyDescent="0.25">
      <c r="A17" s="15">
        <v>9</v>
      </c>
      <c r="B17" s="11">
        <f>'[3]input data'!E294</f>
        <v>25.2</v>
      </c>
      <c r="C17" s="11">
        <f>'[3]input data'!E295</f>
        <v>26.4</v>
      </c>
      <c r="D17" s="11">
        <f>'[3]input data'!E296</f>
        <v>27.3</v>
      </c>
      <c r="E17" s="11">
        <f>'[3]input data'!E297</f>
        <v>29</v>
      </c>
      <c r="F17" s="11">
        <f>'[3]input data'!E298</f>
        <v>30</v>
      </c>
      <c r="G17" s="11">
        <f>'[3]input data'!E299</f>
        <v>30.8</v>
      </c>
      <c r="H17" s="11">
        <f>'[3]input data'!E300</f>
        <v>30.8</v>
      </c>
      <c r="I17" s="11">
        <f>'[3]input data'!E301</f>
        <v>30.2</v>
      </c>
      <c r="J17" s="11">
        <f>'[3]input data'!E302</f>
        <v>29.4</v>
      </c>
      <c r="K17" s="11">
        <f>'[3]input data'!E303</f>
        <v>26.6</v>
      </c>
      <c r="L17" s="11">
        <f>'[3]input data'!E304</f>
        <v>26.4</v>
      </c>
      <c r="M17" s="11">
        <f>'[3]input data'!E305</f>
        <v>26.4</v>
      </c>
      <c r="N17" s="11">
        <f>'[3]input data'!E306</f>
        <v>25.8</v>
      </c>
      <c r="O17" s="12">
        <f t="shared" si="0"/>
        <v>30.8</v>
      </c>
      <c r="P17" s="13">
        <f t="shared" si="1"/>
        <v>25.2</v>
      </c>
      <c r="Q17" s="16">
        <f t="shared" si="6"/>
        <v>28.023076923076921</v>
      </c>
      <c r="T17" s="15">
        <v>9</v>
      </c>
      <c r="U17" s="11">
        <f>INDEX('[3]input data'!$F$1:$F$1108,U66,1)</f>
        <v>24.2</v>
      </c>
      <c r="V17" s="11">
        <f>INDEX('[3]input data'!$F$1:$F$1108,V66,1)</f>
        <v>24.8</v>
      </c>
      <c r="W17" s="11">
        <f>INDEX('[3]input data'!$F$1:$F$1108,W66,1)</f>
        <v>24.8</v>
      </c>
      <c r="X17" s="11">
        <f>INDEX('[3]input data'!$F$1:$F$1108,X66,1)</f>
        <v>25</v>
      </c>
      <c r="Y17" s="11">
        <f>INDEX('[3]input data'!$F$1:$F$1108,Y66,1)</f>
        <v>25.2</v>
      </c>
      <c r="Z17" s="11">
        <f>INDEX('[3]input data'!$F$1:$F$1108,Z66,1)</f>
        <v>25.4</v>
      </c>
      <c r="AA17" s="11">
        <f>INDEX('[3]input data'!$F$1:$F$1108,AA66,1)</f>
        <v>25.8</v>
      </c>
      <c r="AB17" s="11">
        <f>INDEX('[3]input data'!$F$1:$F$1108,AB66,1)</f>
        <v>24.6</v>
      </c>
      <c r="AC17" s="11">
        <f>INDEX('[3]input data'!$F$1:$F$1108,AC66,1)</f>
        <v>24.6</v>
      </c>
      <c r="AD17" s="11">
        <f>INDEX('[3]input data'!$F$1:$F$1108,AD66,1)</f>
        <v>24.6</v>
      </c>
      <c r="AE17" s="11">
        <f>INDEX('[3]input data'!$F$1:$F$1108,AE66,1)</f>
        <v>24.6</v>
      </c>
      <c r="AF17" s="11">
        <f>INDEX('[3]input data'!$F$1:$F$1108,AF66,1)</f>
        <v>24.6</v>
      </c>
      <c r="AG17" s="11">
        <f>INDEX('[3]input data'!$F$1:$F$1108,AG66,1)</f>
        <v>24</v>
      </c>
      <c r="AH17" s="12">
        <f t="shared" si="2"/>
        <v>25.8</v>
      </c>
      <c r="AI17" s="13">
        <f t="shared" si="3"/>
        <v>24</v>
      </c>
      <c r="AJ17" s="16">
        <f t="shared" si="7"/>
        <v>24.784615384615389</v>
      </c>
      <c r="AM17" s="15">
        <v>9</v>
      </c>
      <c r="AN17" s="11">
        <f>INDEX('[3]input data'!$G$1:$G$1108,AO66,1)</f>
        <v>23.655772475405435</v>
      </c>
      <c r="AO17" s="11">
        <f>INDEX('[3]input data'!$G$1:$G$1108,AP66,1)</f>
        <v>24.00699031261323</v>
      </c>
      <c r="AP17" s="11">
        <f>INDEX('[3]input data'!$G$1:$G$1108,AQ66,1)</f>
        <v>23.605955947310239</v>
      </c>
      <c r="AQ17" s="11">
        <f>INDEX('[3]input data'!$G$1:$G$1108,AR66,1)</f>
        <v>23.13765699199967</v>
      </c>
      <c r="AR17" s="11">
        <f>INDEX('[3]input data'!$G$1:$G$1108,AS66,1)</f>
        <v>22.988313287442271</v>
      </c>
      <c r="AS17" s="11">
        <f>INDEX('[3]input data'!$G$1:$G$1108,AT66,1)</f>
        <v>22.933659924886598</v>
      </c>
      <c r="AT17" s="11">
        <f>INDEX('[3]input data'!$G$1:$G$1108,AU66,1)</f>
        <v>23.56709069326994</v>
      </c>
      <c r="AU17" s="11">
        <f>INDEX('[3]input data'!$G$1:$G$1108,AV66,1)</f>
        <v>21.926992488235253</v>
      </c>
      <c r="AV17" s="11">
        <f>INDEX('[3]input data'!$G$1:$G$1108,AW66,1)</f>
        <v>22.316656612844575</v>
      </c>
      <c r="AW17" s="11">
        <f>INDEX('[3]input data'!$G$1:$G$1108,AX66,1)</f>
        <v>23.620401055617794</v>
      </c>
      <c r="AX17" s="11">
        <f>INDEX('[3]input data'!$G$1:$G$1108,AY66,1)</f>
        <v>23.710183186275557</v>
      </c>
      <c r="AY17" s="11">
        <f>INDEX('[3]input data'!$G$1:$G$1108,AZ66,1)</f>
        <v>23.710183186275557</v>
      </c>
      <c r="AZ17" s="11">
        <f>INDEX('[3]input data'!$G$1:$G$1108,BA66,1)</f>
        <v>23.084297681296647</v>
      </c>
      <c r="BA17" s="12">
        <f t="shared" si="4"/>
        <v>24.00699031261323</v>
      </c>
      <c r="BB17" s="13">
        <f t="shared" si="5"/>
        <v>21.926992488235253</v>
      </c>
      <c r="BC17" s="16">
        <f t="shared" si="8"/>
        <v>23.25108875719021</v>
      </c>
    </row>
    <row r="18" spans="1:55" ht="14.25" customHeight="1" x14ac:dyDescent="0.25">
      <c r="A18" s="15">
        <v>10</v>
      </c>
      <c r="B18" s="11">
        <f>'[3]input data'!E330</f>
        <v>25</v>
      </c>
      <c r="C18" s="11">
        <f>'[3]input data'!E331</f>
        <v>25.4</v>
      </c>
      <c r="D18" s="11">
        <f>'[3]input data'!E332</f>
        <v>26.6</v>
      </c>
      <c r="E18" s="11">
        <f>'[3]input data'!E333</f>
        <v>28.6</v>
      </c>
      <c r="F18" s="11">
        <f>'[3]input data'!E334</f>
        <v>29.8</v>
      </c>
      <c r="G18" s="11">
        <f>'[3]input data'!E335</f>
        <v>30.4</v>
      </c>
      <c r="H18" s="11">
        <f>'[3]input data'!E336</f>
        <v>30.3</v>
      </c>
      <c r="I18" s="11">
        <f>'[3]input data'!E337</f>
        <v>30.4</v>
      </c>
      <c r="J18" s="11">
        <f>'[3]input data'!E338</f>
        <v>29.9</v>
      </c>
      <c r="K18" s="11">
        <f>'[3]input data'!E339</f>
        <v>29.6</v>
      </c>
      <c r="L18" s="11">
        <f>'[3]input data'!E340</f>
        <v>29.1</v>
      </c>
      <c r="M18" s="11">
        <f>'[3]input data'!E341</f>
        <v>28.4</v>
      </c>
      <c r="N18" s="11">
        <f>'[3]input data'!E342</f>
        <v>25.1</v>
      </c>
      <c r="O18" s="12">
        <f t="shared" si="0"/>
        <v>30.4</v>
      </c>
      <c r="P18" s="13">
        <f t="shared" si="1"/>
        <v>25</v>
      </c>
      <c r="Q18" s="16">
        <f t="shared" si="6"/>
        <v>28.35384615384616</v>
      </c>
      <c r="T18" s="15">
        <v>10</v>
      </c>
      <c r="U18" s="11">
        <f>INDEX('[3]input data'!$F$1:$F$1108,U67,1)</f>
        <v>23.3</v>
      </c>
      <c r="V18" s="11">
        <f>INDEX('[3]input data'!$F$1:$F$1108,V67,1)</f>
        <v>23.5</v>
      </c>
      <c r="W18" s="11">
        <f>INDEX('[3]input data'!$F$1:$F$1108,W67,1)</f>
        <v>24.5</v>
      </c>
      <c r="X18" s="11">
        <f>INDEX('[3]input data'!$F$1:$F$1108,X67,1)</f>
        <v>24</v>
      </c>
      <c r="Y18" s="11">
        <f>INDEX('[3]input data'!$F$1:$F$1108,Y67,1)</f>
        <v>24.6</v>
      </c>
      <c r="Z18" s="11">
        <f>INDEX('[3]input data'!$F$1:$F$1108,Z67,1)</f>
        <v>25</v>
      </c>
      <c r="AA18" s="11">
        <f>INDEX('[3]input data'!$F$1:$F$1108,AA67,1)</f>
        <v>25.2</v>
      </c>
      <c r="AB18" s="11">
        <f>INDEX('[3]input data'!$F$1:$F$1108,AB67,1)</f>
        <v>24.8</v>
      </c>
      <c r="AC18" s="11">
        <f>INDEX('[3]input data'!$F$1:$F$1108,AC67,1)</f>
        <v>24.8</v>
      </c>
      <c r="AD18" s="11">
        <f>INDEX('[3]input data'!$F$1:$F$1108,AD67,1)</f>
        <v>24.8</v>
      </c>
      <c r="AE18" s="11">
        <f>INDEX('[3]input data'!$F$1:$F$1108,AE67,1)</f>
        <v>24.5</v>
      </c>
      <c r="AF18" s="11">
        <f>INDEX('[3]input data'!$F$1:$F$1108,AF67,1)</f>
        <v>25.2</v>
      </c>
      <c r="AG18" s="11">
        <f>INDEX('[3]input data'!$F$1:$F$1108,AG67,1)</f>
        <v>23.5</v>
      </c>
      <c r="AH18" s="12">
        <f t="shared" si="2"/>
        <v>25.2</v>
      </c>
      <c r="AI18" s="13">
        <f t="shared" si="3"/>
        <v>23.3</v>
      </c>
      <c r="AJ18" s="16">
        <f t="shared" si="7"/>
        <v>24.438461538461539</v>
      </c>
      <c r="AM18" s="15">
        <v>10</v>
      </c>
      <c r="AN18" s="11">
        <f>INDEX('[3]input data'!$G$1:$G$1108,AO67,1)</f>
        <v>22.400885909362238</v>
      </c>
      <c r="AO18" s="11">
        <f>INDEX('[3]input data'!$G$1:$G$1108,AP67,1)</f>
        <v>22.514328180055845</v>
      </c>
      <c r="AP18" s="11">
        <f>INDEX('[3]input data'!$G$1:$G$1108,AQ67,1)</f>
        <v>23.470360724914261</v>
      </c>
      <c r="AQ18" s="11">
        <f>INDEX('[3]input data'!$G$1:$G$1108,AR67,1)</f>
        <v>21.741688210998174</v>
      </c>
      <c r="AR18" s="11">
        <f>INDEX('[3]input data'!$G$1:$G$1108,AS67,1)</f>
        <v>22.122834462404985</v>
      </c>
      <c r="AS18" s="11">
        <f>INDEX('[3]input data'!$G$1:$G$1108,AT67,1)</f>
        <v>22.480159668280084</v>
      </c>
      <c r="AT18" s="11">
        <f>INDEX('[3]input data'!$G$1:$G$1108,AU67,1)</f>
        <v>22.848226042163287</v>
      </c>
      <c r="AU18" s="11">
        <f>INDEX('[3]input data'!$G$1:$G$1108,AV67,1)</f>
        <v>22.155861844971266</v>
      </c>
      <c r="AV18" s="11">
        <f>INDEX('[3]input data'!$G$1:$G$1108,AW67,1)</f>
        <v>22.397410550137618</v>
      </c>
      <c r="AW18" s="11">
        <f>INDEX('[3]input data'!$G$1:$G$1108,AX67,1)</f>
        <v>22.540866348822316</v>
      </c>
      <c r="AX18" s="11">
        <f>INDEX('[3]input data'!$G$1:$G$1108,AY67,1)</f>
        <v>22.301168385898468</v>
      </c>
      <c r="AY18" s="11">
        <f>INDEX('[3]input data'!$G$1:$G$1108,AZ67,1)</f>
        <v>23.718447763009451</v>
      </c>
      <c r="AZ18" s="11">
        <f>INDEX('[3]input data'!$G$1:$G$1108,BA67,1)</f>
        <v>22.656888622713407</v>
      </c>
      <c r="BA18" s="12">
        <f t="shared" si="4"/>
        <v>23.718447763009451</v>
      </c>
      <c r="BB18" s="13">
        <f t="shared" si="5"/>
        <v>21.741688210998174</v>
      </c>
      <c r="BC18" s="16">
        <f t="shared" si="8"/>
        <v>22.565317439517798</v>
      </c>
    </row>
    <row r="19" spans="1:55" ht="14.25" customHeight="1" x14ac:dyDescent="0.25">
      <c r="A19" s="15">
        <v>11</v>
      </c>
      <c r="B19" s="11">
        <f>'[3]input data'!E366</f>
        <v>24.2</v>
      </c>
      <c r="C19" s="11">
        <f>'[3]input data'!E367</f>
        <v>25.1</v>
      </c>
      <c r="D19" s="11">
        <f>'[3]input data'!E368</f>
        <v>27.5</v>
      </c>
      <c r="E19" s="11">
        <f>'[3]input data'!E369</f>
        <v>29</v>
      </c>
      <c r="F19" s="11">
        <f>'[3]input data'!E370</f>
        <v>29.8</v>
      </c>
      <c r="G19" s="11">
        <f>'[3]input data'!E371</f>
        <v>30.2</v>
      </c>
      <c r="H19" s="11">
        <f>'[3]input data'!E372</f>
        <v>30.3</v>
      </c>
      <c r="I19" s="11">
        <f>'[3]input data'!E373</f>
        <v>30.5</v>
      </c>
      <c r="J19" s="11">
        <f>'[3]input data'!E374</f>
        <v>29.8</v>
      </c>
      <c r="K19" s="11">
        <f>'[3]input data'!E375</f>
        <v>24</v>
      </c>
      <c r="L19" s="11">
        <f>'[3]input data'!E376</f>
        <v>23.8</v>
      </c>
      <c r="M19" s="11">
        <f>'[3]input data'!E377</f>
        <v>24</v>
      </c>
      <c r="N19" s="11">
        <f>'[3]input data'!E378</f>
        <v>23.8</v>
      </c>
      <c r="O19" s="12">
        <f t="shared" si="0"/>
        <v>30.5</v>
      </c>
      <c r="P19" s="13">
        <f t="shared" si="1"/>
        <v>23.8</v>
      </c>
      <c r="Q19" s="16">
        <f t="shared" si="6"/>
        <v>27.076923076923077</v>
      </c>
      <c r="T19" s="15">
        <v>11</v>
      </c>
      <c r="U19" s="11">
        <f>INDEX('[3]input data'!$F$1:$F$1108,U68,1)</f>
        <v>23.6</v>
      </c>
      <c r="V19" s="11">
        <f>INDEX('[3]input data'!$F$1:$F$1108,V68,1)</f>
        <v>24.2</v>
      </c>
      <c r="W19" s="11">
        <f>INDEX('[3]input data'!$F$1:$F$1108,W68,1)</f>
        <v>24.7</v>
      </c>
      <c r="X19" s="11">
        <f>INDEX('[3]input data'!$F$1:$F$1108,X68,1)</f>
        <v>24</v>
      </c>
      <c r="Y19" s="11">
        <f>INDEX('[3]input data'!$F$1:$F$1108,Y68,1)</f>
        <v>24.7</v>
      </c>
      <c r="Z19" s="11">
        <f>INDEX('[3]input data'!$F$1:$F$1108,Z68,1)</f>
        <v>25</v>
      </c>
      <c r="AA19" s="11">
        <f>INDEX('[3]input data'!$F$1:$F$1108,AA68,1)</f>
        <v>25.5</v>
      </c>
      <c r="AB19" s="11">
        <f>INDEX('[3]input data'!$F$1:$F$1108,AB68,1)</f>
        <v>25.4</v>
      </c>
      <c r="AC19" s="11">
        <f>INDEX('[3]input data'!$F$1:$F$1108,AC68,1)</f>
        <v>25.4</v>
      </c>
      <c r="AD19" s="11">
        <f>INDEX('[3]input data'!$F$1:$F$1108,AD68,1)</f>
        <v>23.4</v>
      </c>
      <c r="AE19" s="11">
        <f>INDEX('[3]input data'!$F$1:$F$1108,AE68,1)</f>
        <v>23.2</v>
      </c>
      <c r="AF19" s="11">
        <f>INDEX('[3]input data'!$F$1:$F$1108,AF68,1)</f>
        <v>23.2</v>
      </c>
      <c r="AG19" s="11">
        <f>INDEX('[3]input data'!$F$1:$F$1108,AG68,1)</f>
        <v>23.2</v>
      </c>
      <c r="AH19" s="12">
        <f t="shared" si="2"/>
        <v>25.5</v>
      </c>
      <c r="AI19" s="13">
        <f t="shared" si="3"/>
        <v>23.2</v>
      </c>
      <c r="AJ19" s="16">
        <f t="shared" si="7"/>
        <v>24.26923076923077</v>
      </c>
      <c r="AM19" s="15">
        <v>11</v>
      </c>
      <c r="AN19" s="11">
        <f>INDEX('[3]input data'!$G$1:$G$1108,AO68,1)</f>
        <v>23.225937351919136</v>
      </c>
      <c r="AO19" s="11">
        <f>INDEX('[3]input data'!$G$1:$G$1108,AP68,1)</f>
        <v>23.700631898461467</v>
      </c>
      <c r="AP19" s="11">
        <f>INDEX('[3]input data'!$G$1:$G$1108,AQ68,1)</f>
        <v>23.363695800806138</v>
      </c>
      <c r="AQ19" s="11">
        <f>INDEX('[3]input data'!$G$1:$G$1108,AR68,1)</f>
        <v>21.541810194989623</v>
      </c>
      <c r="AR19" s="11">
        <f>INDEX('[3]input data'!$G$1:$G$1108,AS68,1)</f>
        <v>22.284488461817968</v>
      </c>
      <c r="AS19" s="11">
        <f>INDEX('[3]input data'!$G$1:$G$1108,AT68,1)</f>
        <v>22.575500907686056</v>
      </c>
      <c r="AT19" s="11">
        <f>INDEX('[3]input data'!$G$1:$G$1108,AU68,1)</f>
        <v>23.323068469901976</v>
      </c>
      <c r="AU19" s="11">
        <f>INDEX('[3]input data'!$G$1:$G$1108,AV68,1)</f>
        <v>23.073120255376931</v>
      </c>
      <c r="AV19" s="11">
        <f>INDEX('[3]input data'!$G$1:$G$1108,AW68,1)</f>
        <v>23.394590685489504</v>
      </c>
      <c r="AW19" s="11">
        <f>INDEX('[3]input data'!$G$1:$G$1108,AX68,1)</f>
        <v>23.022986804446777</v>
      </c>
      <c r="AX19" s="11">
        <f>INDEX('[3]input data'!$G$1:$G$1108,AY68,1)</f>
        <v>22.82000049036704</v>
      </c>
      <c r="AY19" s="11">
        <f>INDEX('[3]input data'!$G$1:$G$1108,AZ68,1)</f>
        <v>22.725900467116261</v>
      </c>
      <c r="AZ19" s="11">
        <f>INDEX('[3]input data'!$G$1:$G$1108,BA68,1)</f>
        <v>22.82000049036704</v>
      </c>
      <c r="BA19" s="12">
        <f t="shared" si="4"/>
        <v>23.700631898461467</v>
      </c>
      <c r="BB19" s="13">
        <f t="shared" si="5"/>
        <v>21.541810194989623</v>
      </c>
      <c r="BC19" s="16">
        <f t="shared" si="8"/>
        <v>22.91321017528815</v>
      </c>
    </row>
    <row r="20" spans="1:55" ht="14.25" customHeight="1" x14ac:dyDescent="0.25">
      <c r="A20" s="15">
        <v>12</v>
      </c>
      <c r="B20" s="11">
        <f>'[3]input data'!E402</f>
        <v>24</v>
      </c>
      <c r="C20" s="11">
        <f>'[3]input data'!E403</f>
        <v>25.8</v>
      </c>
      <c r="D20" s="11">
        <f>'[3]input data'!E404</f>
        <v>27.6</v>
      </c>
      <c r="E20" s="11">
        <f>'[3]input data'!E405</f>
        <v>28.8</v>
      </c>
      <c r="F20" s="11">
        <f>'[3]input data'!E406</f>
        <v>29.6</v>
      </c>
      <c r="G20" s="11">
        <f>'[3]input data'!E407</f>
        <v>30.6</v>
      </c>
      <c r="H20" s="11">
        <f>'[3]input data'!E408</f>
        <v>31.2</v>
      </c>
      <c r="I20" s="11">
        <f>'[3]input data'!E409</f>
        <v>31.6</v>
      </c>
      <c r="J20" s="11">
        <f>'[3]input data'!E410</f>
        <v>30</v>
      </c>
      <c r="K20" s="11">
        <f>'[3]input data'!E411</f>
        <v>29.6</v>
      </c>
      <c r="L20" s="11">
        <f>'[3]input data'!E412</f>
        <v>28.4</v>
      </c>
      <c r="M20" s="11">
        <f>'[3]input data'!E413</f>
        <v>27.6</v>
      </c>
      <c r="N20" s="11">
        <f>'[3]input data'!E414</f>
        <v>26.4</v>
      </c>
      <c r="O20" s="12">
        <f t="shared" si="0"/>
        <v>31.6</v>
      </c>
      <c r="P20" s="13">
        <f t="shared" si="1"/>
        <v>24</v>
      </c>
      <c r="Q20" s="16">
        <f t="shared" si="6"/>
        <v>28.553846153846152</v>
      </c>
      <c r="T20" s="15">
        <v>12</v>
      </c>
      <c r="U20" s="11">
        <f>INDEX('[3]input data'!$F$1:$F$1108,U69,1)</f>
        <v>23.2</v>
      </c>
      <c r="V20" s="11">
        <f>INDEX('[3]input data'!$F$1:$F$1108,V69,1)</f>
        <v>24</v>
      </c>
      <c r="W20" s="11">
        <f>INDEX('[3]input data'!$F$1:$F$1108,W69,1)</f>
        <v>24.6</v>
      </c>
      <c r="X20" s="11">
        <f>INDEX('[3]input data'!$F$1:$F$1108,X69,1)</f>
        <v>25.2</v>
      </c>
      <c r="Y20" s="11">
        <f>INDEX('[3]input data'!$F$1:$F$1108,Y69,1)</f>
        <v>24.6</v>
      </c>
      <c r="Z20" s="11">
        <f>INDEX('[3]input data'!$F$1:$F$1108,Z69,1)</f>
        <v>24.8</v>
      </c>
      <c r="AA20" s="11">
        <f>INDEX('[3]input data'!$F$1:$F$1108,AA69,1)</f>
        <v>25.2</v>
      </c>
      <c r="AB20" s="11">
        <f>INDEX('[3]input data'!$F$1:$F$1108,AB69,1)</f>
        <v>25.9</v>
      </c>
      <c r="AC20" s="11">
        <f>INDEX('[3]input data'!$F$1:$F$1108,AC69,1)</f>
        <v>25.2</v>
      </c>
      <c r="AD20" s="11">
        <f>INDEX('[3]input data'!$F$1:$F$1108,AD69,1)</f>
        <v>25</v>
      </c>
      <c r="AE20" s="11">
        <f>INDEX('[3]input data'!$F$1:$F$1108,AE69,1)</f>
        <v>24.6</v>
      </c>
      <c r="AF20" s="11">
        <f>INDEX('[3]input data'!$F$1:$F$1108,AF69,1)</f>
        <v>24.3</v>
      </c>
      <c r="AG20" s="11">
        <f>INDEX('[3]input data'!$F$1:$F$1108,AG69,1)</f>
        <v>24</v>
      </c>
      <c r="AH20" s="12">
        <f t="shared" si="2"/>
        <v>25.9</v>
      </c>
      <c r="AI20" s="13">
        <f t="shared" si="3"/>
        <v>23.2</v>
      </c>
      <c r="AJ20" s="16">
        <f t="shared" si="7"/>
        <v>24.661538461538463</v>
      </c>
      <c r="AM20" s="15">
        <v>12</v>
      </c>
      <c r="AN20" s="11">
        <f>INDEX('[3]input data'!$G$1:$G$1108,AO69,1)</f>
        <v>22.725900467116261</v>
      </c>
      <c r="AO20" s="11">
        <f>INDEX('[3]input data'!$G$1:$G$1108,AP69,1)</f>
        <v>23.084297681296647</v>
      </c>
      <c r="AP20" s="11">
        <f>INDEX('[3]input data'!$G$1:$G$1108,AQ69,1)</f>
        <v>23.165015271595813</v>
      </c>
      <c r="AQ20" s="11">
        <f>INDEX('[3]input data'!$G$1:$G$1108,AR69,1)</f>
        <v>23.538528861704741</v>
      </c>
      <c r="AR20" s="11">
        <f>INDEX('[3]input data'!$G$1:$G$1108,AS69,1)</f>
        <v>22.219995210731696</v>
      </c>
      <c r="AS20" s="11">
        <f>INDEX('[3]input data'!$G$1:$G$1108,AT69,1)</f>
        <v>22.058366904828024</v>
      </c>
      <c r="AT20" s="11">
        <f>INDEX('[3]input data'!$G$1:$G$1108,AU69,1)</f>
        <v>22.421621048731168</v>
      </c>
      <c r="AU20" s="11">
        <f>INDEX('[3]input data'!$G$1:$G$1108,AV69,1)</f>
        <v>23.362154904731423</v>
      </c>
      <c r="AV20" s="11">
        <f>INDEX('[3]input data'!$G$1:$G$1108,AW69,1)</f>
        <v>22.988313287442271</v>
      </c>
      <c r="AW20" s="11">
        <f>INDEX('[3]input data'!$G$1:$G$1108,AX69,1)</f>
        <v>22.858668311959782</v>
      </c>
      <c r="AX20" s="11">
        <f>INDEX('[3]input data'!$G$1:$G$1108,AY69,1)</f>
        <v>22.792662448856582</v>
      </c>
      <c r="AY20" s="11">
        <f>INDEX('[3]input data'!$G$1:$G$1108,AZ69,1)</f>
        <v>22.70184305017392</v>
      </c>
      <c r="AZ20" s="11">
        <f>INDEX('[3]input data'!$G$1:$G$1108,BA69,1)</f>
        <v>22.804533908537021</v>
      </c>
      <c r="BA20" s="12">
        <f t="shared" si="4"/>
        <v>23.538528861704741</v>
      </c>
      <c r="BB20" s="13">
        <f t="shared" si="5"/>
        <v>22.058366904828024</v>
      </c>
      <c r="BC20" s="16">
        <f t="shared" si="8"/>
        <v>22.824761642900413</v>
      </c>
    </row>
    <row r="21" spans="1:55" ht="14.25" customHeight="1" x14ac:dyDescent="0.25">
      <c r="A21" s="15">
        <v>13</v>
      </c>
      <c r="B21" s="11">
        <f>'[3]input data'!E438</f>
        <v>24.2</v>
      </c>
      <c r="C21" s="11">
        <f>'[3]input data'!E439</f>
        <v>25</v>
      </c>
      <c r="D21" s="11">
        <f>'[3]input data'!E440</f>
        <v>25.4</v>
      </c>
      <c r="E21" s="11">
        <f>'[3]input data'!E441</f>
        <v>26.2</v>
      </c>
      <c r="F21" s="11">
        <f>'[3]input data'!E442</f>
        <v>26.4</v>
      </c>
      <c r="G21" s="11">
        <f>'[3]input data'!E443</f>
        <v>27.6</v>
      </c>
      <c r="H21" s="11">
        <f>'[3]input data'!E444</f>
        <v>28.5</v>
      </c>
      <c r="I21" s="11">
        <f>'[3]input data'!E445</f>
        <v>28.8</v>
      </c>
      <c r="J21" s="11">
        <f>'[3]input data'!E446</f>
        <v>28</v>
      </c>
      <c r="K21" s="11">
        <f>'[3]input data'!E447</f>
        <v>25</v>
      </c>
      <c r="L21" s="11">
        <f>'[3]input data'!E448</f>
        <v>23.2</v>
      </c>
      <c r="M21" s="11">
        <f>'[3]input data'!E449</f>
        <v>23</v>
      </c>
      <c r="N21" s="11">
        <f>'[3]input data'!E450</f>
        <v>22.6</v>
      </c>
      <c r="O21" s="12">
        <f t="shared" si="0"/>
        <v>28.8</v>
      </c>
      <c r="P21" s="13">
        <f t="shared" si="1"/>
        <v>22.6</v>
      </c>
      <c r="Q21" s="16">
        <f t="shared" si="6"/>
        <v>25.684615384615388</v>
      </c>
      <c r="T21" s="15">
        <v>13</v>
      </c>
      <c r="U21" s="11">
        <f>INDEX('[3]input data'!$F$1:$F$1108,U70,1)</f>
        <v>23.4</v>
      </c>
      <c r="V21" s="11">
        <f>INDEX('[3]input data'!$F$1:$F$1108,V70,1)</f>
        <v>23.6</v>
      </c>
      <c r="W21" s="11">
        <f>INDEX('[3]input data'!$F$1:$F$1108,W70,1)</f>
        <v>23.8</v>
      </c>
      <c r="X21" s="11">
        <f>INDEX('[3]input data'!$F$1:$F$1108,X70,1)</f>
        <v>24.3</v>
      </c>
      <c r="Y21" s="11">
        <f>INDEX('[3]input data'!$F$1:$F$1108,Y70,1)</f>
        <v>24.4</v>
      </c>
      <c r="Z21" s="11">
        <f>INDEX('[3]input data'!$F$1:$F$1108,Z70,1)</f>
        <v>25.2</v>
      </c>
      <c r="AA21" s="11">
        <f>INDEX('[3]input data'!$F$1:$F$1108,AA70,1)</f>
        <v>25.4</v>
      </c>
      <c r="AB21" s="11">
        <f>INDEX('[3]input data'!$F$1:$F$1108,AB70,1)</f>
        <v>25.6</v>
      </c>
      <c r="AC21" s="11">
        <f>INDEX('[3]input data'!$F$1:$F$1108,AC70,1)</f>
        <v>25</v>
      </c>
      <c r="AD21" s="11">
        <f>INDEX('[3]input data'!$F$1:$F$1108,AD70,1)</f>
        <v>24</v>
      </c>
      <c r="AE21" s="11">
        <f>INDEX('[3]input data'!$F$1:$F$1108,AE70,1)</f>
        <v>22.4</v>
      </c>
      <c r="AF21" s="11">
        <f>INDEX('[3]input data'!$F$1:$F$1108,AF70,1)</f>
        <v>22.8</v>
      </c>
      <c r="AG21" s="11">
        <f>INDEX('[3]input data'!$F$1:$F$1108,AG70,1)</f>
        <v>22.6</v>
      </c>
      <c r="AH21" s="12">
        <f t="shared" si="2"/>
        <v>25.6</v>
      </c>
      <c r="AI21" s="13">
        <f t="shared" si="3"/>
        <v>22.4</v>
      </c>
      <c r="AJ21" s="16">
        <f t="shared" si="7"/>
        <v>24.03846153846154</v>
      </c>
      <c r="AM21" s="15">
        <v>13</v>
      </c>
      <c r="AN21" s="11">
        <f>INDEX('[3]input data'!$G$1:$G$1108,AO70,1)</f>
        <v>22.929892936995007</v>
      </c>
      <c r="AO21" s="11">
        <f>INDEX('[3]input data'!$G$1:$G$1108,AP70,1)</f>
        <v>22.854817544971361</v>
      </c>
      <c r="AP21" s="11">
        <f>INDEX('[3]input data'!$G$1:$G$1108,AQ70,1)</f>
        <v>22.968814165589823</v>
      </c>
      <c r="AQ21" s="11">
        <f>INDEX('[3]input data'!$G$1:$G$1108,AR70,1)</f>
        <v>23.351779975526394</v>
      </c>
      <c r="AR21" s="11">
        <f>INDEX('[3]input data'!$G$1:$G$1108,AS70,1)</f>
        <v>23.41088917767016</v>
      </c>
      <c r="AS21" s="11">
        <f>INDEX('[3]input data'!$G$1:$G$1108,AT70,1)</f>
        <v>24.073265773758312</v>
      </c>
      <c r="AT21" s="11">
        <f>INDEX('[3]input data'!$G$1:$G$1108,AU70,1)</f>
        <v>23.977550847964523</v>
      </c>
      <c r="AU21" s="11">
        <f>INDEX('[3]input data'!$G$1:$G$1108,AV70,1)</f>
        <v>24.148033521051371</v>
      </c>
      <c r="AV21" s="11">
        <f>INDEX('[3]input data'!$G$1:$G$1108,AW70,1)</f>
        <v>23.593703811444115</v>
      </c>
      <c r="AW21" s="11">
        <f>INDEX('[3]input data'!$G$1:$G$1108,AX70,1)</f>
        <v>23.451002870250118</v>
      </c>
      <c r="AX21" s="11">
        <f>INDEX('[3]input data'!$G$1:$G$1108,AY70,1)</f>
        <v>21.909432598448738</v>
      </c>
      <c r="AY21" s="11">
        <f>INDEX('[3]input data'!$G$1:$G$1108,AZ70,1)</f>
        <v>22.604760645934597</v>
      </c>
      <c r="AZ21" s="11">
        <f>INDEX('[3]input data'!$G$1:$G$1108,BA70,1)</f>
        <v>22.499432989537826</v>
      </c>
      <c r="BA21" s="12">
        <f t="shared" si="4"/>
        <v>24.148033521051371</v>
      </c>
      <c r="BB21" s="13">
        <f t="shared" si="5"/>
        <v>21.909432598448738</v>
      </c>
      <c r="BC21" s="16">
        <f t="shared" si="8"/>
        <v>23.213336681472487</v>
      </c>
    </row>
    <row r="22" spans="1:55" ht="14.25" customHeight="1" x14ac:dyDescent="0.25">
      <c r="A22" s="15">
        <v>14</v>
      </c>
      <c r="B22" s="11">
        <f>'[3]input data'!E474</f>
        <v>22.9</v>
      </c>
      <c r="C22" s="11">
        <f>'[3]input data'!E475</f>
        <v>23.5</v>
      </c>
      <c r="D22" s="11">
        <f>'[3]input data'!E476</f>
        <v>24</v>
      </c>
      <c r="E22" s="11">
        <f>'[3]input data'!E477</f>
        <v>25.2</v>
      </c>
      <c r="F22" s="11">
        <f>'[3]input data'!E478</f>
        <v>27</v>
      </c>
      <c r="G22" s="11">
        <f>'[3]input data'!E479</f>
        <v>28.6</v>
      </c>
      <c r="H22" s="11">
        <f>'[3]input data'!E480</f>
        <v>30.3</v>
      </c>
      <c r="I22" s="11">
        <f>'[3]input data'!E481</f>
        <v>30.2</v>
      </c>
      <c r="J22" s="11">
        <f>'[3]input data'!E482</f>
        <v>28.6</v>
      </c>
      <c r="K22" s="11">
        <f>'[3]input data'!E483</f>
        <v>28.6</v>
      </c>
      <c r="L22" s="11">
        <f>'[3]input data'!E484</f>
        <v>28</v>
      </c>
      <c r="M22" s="11">
        <f>'[3]input data'!E485</f>
        <v>27.6</v>
      </c>
      <c r="N22" s="11">
        <f>'[3]input data'!E486</f>
        <v>27</v>
      </c>
      <c r="O22" s="12">
        <f t="shared" si="0"/>
        <v>30.3</v>
      </c>
      <c r="P22" s="13">
        <f t="shared" si="1"/>
        <v>22.9</v>
      </c>
      <c r="Q22" s="16">
        <f t="shared" si="6"/>
        <v>27.038461538461544</v>
      </c>
      <c r="T22" s="15">
        <v>14</v>
      </c>
      <c r="U22" s="11">
        <f>INDEX('[3]input data'!$F$1:$F$1108,U71,1)</f>
        <v>22.8</v>
      </c>
      <c r="V22" s="11">
        <f>INDEX('[3]input data'!$F$1:$F$1108,V71,1)</f>
        <v>23.3</v>
      </c>
      <c r="W22" s="11">
        <f>INDEX('[3]input data'!$F$1:$F$1108,W71,1)</f>
        <v>23.5</v>
      </c>
      <c r="X22" s="11">
        <f>INDEX('[3]input data'!$F$1:$F$1108,X71,1)</f>
        <v>23.8</v>
      </c>
      <c r="Y22" s="11">
        <f>INDEX('[3]input data'!$F$1:$F$1108,Y71,1)</f>
        <v>24.2</v>
      </c>
      <c r="Z22" s="11">
        <f>INDEX('[3]input data'!$F$1:$F$1108,Z71,1)</f>
        <v>25</v>
      </c>
      <c r="AA22" s="11">
        <f>INDEX('[3]input data'!$F$1:$F$1108,AA71,1)</f>
        <v>25.5</v>
      </c>
      <c r="AB22" s="11">
        <f>INDEX('[3]input data'!$F$1:$F$1108,AB71,1)</f>
        <v>25.4</v>
      </c>
      <c r="AC22" s="11">
        <f>INDEX('[3]input data'!$F$1:$F$1108,AC71,1)</f>
        <v>25.6</v>
      </c>
      <c r="AD22" s="11">
        <f>INDEX('[3]input data'!$F$1:$F$1108,AD71,1)</f>
        <v>25.8</v>
      </c>
      <c r="AE22" s="11">
        <f>INDEX('[3]input data'!$F$1:$F$1108,AE71,1)</f>
        <v>25.4</v>
      </c>
      <c r="AF22" s="11">
        <f>INDEX('[3]input data'!$F$1:$F$1108,AF71,1)</f>
        <v>25.4</v>
      </c>
      <c r="AG22" s="11">
        <f>INDEX('[3]input data'!$F$1:$F$1108,AG71,1)</f>
        <v>25</v>
      </c>
      <c r="AH22" s="12">
        <f t="shared" si="2"/>
        <v>25.8</v>
      </c>
      <c r="AI22" s="13">
        <f t="shared" si="3"/>
        <v>22.8</v>
      </c>
      <c r="AJ22" s="16">
        <f t="shared" si="7"/>
        <v>24.669230769230769</v>
      </c>
      <c r="AM22" s="15">
        <v>14</v>
      </c>
      <c r="AN22" s="11">
        <f>INDEX('[3]input data'!$G$1:$G$1108,AO71,1)</f>
        <v>22.652170926389957</v>
      </c>
      <c r="AO22" s="11">
        <f>INDEX('[3]input data'!$G$1:$G$1108,AP71,1)</f>
        <v>23.10731106675501</v>
      </c>
      <c r="AP22" s="11">
        <f>INDEX('[3]input data'!$G$1:$G$1108,AQ71,1)</f>
        <v>23.170595097320081</v>
      </c>
      <c r="AQ22" s="11">
        <f>INDEX('[3]input data'!$G$1:$G$1108,AR71,1)</f>
        <v>23.061719670002304</v>
      </c>
      <c r="AR22" s="11">
        <f>INDEX('[3]input data'!$G$1:$G$1108,AS71,1)</f>
        <v>22.829633194937365</v>
      </c>
      <c r="AS22" s="11">
        <f>INDEX('[3]input data'!$G$1:$G$1108,AT71,1)</f>
        <v>23.321392650725961</v>
      </c>
      <c r="AT22" s="11">
        <f>INDEX('[3]input data'!$G$1:$G$1108,AU71,1)</f>
        <v>23.323068469901976</v>
      </c>
      <c r="AU22" s="11">
        <f>INDEX('[3]input data'!$G$1:$G$1108,AV71,1)</f>
        <v>23.211561155971527</v>
      </c>
      <c r="AV22" s="11">
        <f>INDEX('[3]input data'!$G$1:$G$1108,AW71,1)</f>
        <v>24.235377202799327</v>
      </c>
      <c r="AW22" s="11">
        <f>INDEX('[3]input data'!$G$1:$G$1108,AX71,1)</f>
        <v>24.534901994434403</v>
      </c>
      <c r="AX22" s="11">
        <f>INDEX('[3]input data'!$G$1:$G$1108,AY71,1)</f>
        <v>24.197102507728658</v>
      </c>
      <c r="AY22" s="11">
        <f>INDEX('[3]input data'!$G$1:$G$1108,AZ71,1)</f>
        <v>24.370945495089579</v>
      </c>
      <c r="AZ22" s="11">
        <f>INDEX('[3]input data'!$G$1:$G$1108,BA71,1)</f>
        <v>24.039070257543216</v>
      </c>
      <c r="BA22" s="12">
        <f t="shared" si="4"/>
        <v>24.534901994434403</v>
      </c>
      <c r="BB22" s="13">
        <f t="shared" si="5"/>
        <v>22.652170926389957</v>
      </c>
      <c r="BC22" s="16">
        <f t="shared" si="8"/>
        <v>23.542680745353795</v>
      </c>
    </row>
    <row r="23" spans="1:55" ht="14.25" customHeight="1" x14ac:dyDescent="0.25">
      <c r="A23" s="15">
        <v>15</v>
      </c>
      <c r="B23" s="11">
        <f>'[3]input data'!E510</f>
        <v>23.2</v>
      </c>
      <c r="C23" s="11">
        <f>'[3]input data'!E511</f>
        <v>23.2</v>
      </c>
      <c r="D23" s="11">
        <f>'[3]input data'!E512</f>
        <v>23.4</v>
      </c>
      <c r="E23" s="11">
        <f>'[3]input data'!E513</f>
        <v>23.4</v>
      </c>
      <c r="F23" s="11">
        <f>'[3]input data'!E514</f>
        <v>24.4</v>
      </c>
      <c r="G23" s="11">
        <f>'[3]input data'!E515</f>
        <v>25.6</v>
      </c>
      <c r="H23" s="11">
        <f>'[3]input data'!E516</f>
        <v>26.3</v>
      </c>
      <c r="I23" s="11">
        <f>'[3]input data'!E517</f>
        <v>26.9</v>
      </c>
      <c r="J23" s="11">
        <f>'[3]input data'!E518</f>
        <v>27.4</v>
      </c>
      <c r="K23" s="11">
        <f>'[3]input data'!E519</f>
        <v>27.1</v>
      </c>
      <c r="L23" s="11">
        <f>'[3]input data'!E520</f>
        <v>26.6</v>
      </c>
      <c r="M23" s="11">
        <f>'[3]input data'!E521</f>
        <v>26.2</v>
      </c>
      <c r="N23" s="11">
        <f>'[3]input data'!E522</f>
        <v>25.2</v>
      </c>
      <c r="O23" s="12">
        <f t="shared" si="0"/>
        <v>27.4</v>
      </c>
      <c r="P23" s="13">
        <f t="shared" si="1"/>
        <v>23.2</v>
      </c>
      <c r="Q23" s="16">
        <f t="shared" si="6"/>
        <v>25.299999999999997</v>
      </c>
      <c r="T23" s="15">
        <v>15</v>
      </c>
      <c r="U23" s="11">
        <f>INDEX('[3]input data'!$F$1:$F$1108,U72,1)</f>
        <v>23</v>
      </c>
      <c r="V23" s="11">
        <f>INDEX('[3]input data'!$F$1:$F$1108,V72,1)</f>
        <v>23.1</v>
      </c>
      <c r="W23" s="11">
        <f>INDEX('[3]input data'!$F$1:$F$1108,W72,1)</f>
        <v>23.2</v>
      </c>
      <c r="X23" s="11">
        <f>INDEX('[3]input data'!$F$1:$F$1108,X72,1)</f>
        <v>23.2</v>
      </c>
      <c r="Y23" s="11">
        <f>INDEX('[3]input data'!$F$1:$F$1108,Y72,1)</f>
        <v>23.3</v>
      </c>
      <c r="Z23" s="11">
        <f>INDEX('[3]input data'!$F$1:$F$1108,Z72,1)</f>
        <v>24</v>
      </c>
      <c r="AA23" s="11">
        <f>INDEX('[3]input data'!$F$1:$F$1108,AA72,1)</f>
        <v>24.1</v>
      </c>
      <c r="AB23" s="11">
        <f>INDEX('[3]input data'!$F$1:$F$1108,AB72,1)</f>
        <v>24.6</v>
      </c>
      <c r="AC23" s="11">
        <f>INDEX('[3]input data'!$F$1:$F$1108,AC72,1)</f>
        <v>24.4</v>
      </c>
      <c r="AD23" s="11">
        <f>INDEX('[3]input data'!$F$1:$F$1108,AD72,1)</f>
        <v>24.3</v>
      </c>
      <c r="AE23" s="11">
        <f>INDEX('[3]input data'!$F$1:$F$1108,AE72,1)</f>
        <v>24.3</v>
      </c>
      <c r="AF23" s="11">
        <f>INDEX('[3]input data'!$F$1:$F$1108,AF72,1)</f>
        <v>24.1</v>
      </c>
      <c r="AG23" s="11">
        <f>INDEX('[3]input data'!$F$1:$F$1108,AG72,1)</f>
        <v>23.8</v>
      </c>
      <c r="AH23" s="12">
        <f t="shared" si="2"/>
        <v>24.6</v>
      </c>
      <c r="AI23" s="13">
        <f t="shared" si="3"/>
        <v>23</v>
      </c>
      <c r="AJ23" s="16">
        <f t="shared" si="7"/>
        <v>23.800000000000004</v>
      </c>
      <c r="AM23" s="15">
        <v>15</v>
      </c>
      <c r="AN23" s="11">
        <f>INDEX('[3]input data'!$G$1:$G$1108,AO72,1)</f>
        <v>22.805789529148537</v>
      </c>
      <c r="AO23" s="11">
        <f>INDEX('[3]input data'!$G$1:$G$1108,AP72,1)</f>
        <v>22.952960958471188</v>
      </c>
      <c r="AP23" s="11">
        <f>INDEX('[3]input data'!$G$1:$G$1108,AQ72,1)</f>
        <v>23.006806764540162</v>
      </c>
      <c r="AQ23" s="11">
        <f>INDEX('[3]input data'!$G$1:$G$1108,AR72,1)</f>
        <v>23.006806764540162</v>
      </c>
      <c r="AR23" s="11">
        <f>INDEX('[3]input data'!$G$1:$G$1108,AS72,1)</f>
        <v>22.686634774970017</v>
      </c>
      <c r="AS23" s="11">
        <f>INDEX('[3]input data'!$G$1:$G$1108,AT72,1)</f>
        <v>23.17664094358928</v>
      </c>
      <c r="AT23" s="11">
        <f>INDEX('[3]input data'!$G$1:$G$1108,AU72,1)</f>
        <v>23.003657859506184</v>
      </c>
      <c r="AU23" s="11">
        <f>INDEX('[3]input data'!$G$1:$G$1108,AV72,1)</f>
        <v>23.4849281634764</v>
      </c>
      <c r="AV23" s="11">
        <f>INDEX('[3]input data'!$G$1:$G$1108,AW72,1)</f>
        <v>22.950390620266091</v>
      </c>
      <c r="AW23" s="11">
        <f>INDEX('[3]input data'!$G$1:$G$1108,AX72,1)</f>
        <v>22.93653381188777</v>
      </c>
      <c r="AX23" s="11">
        <f>INDEX('[3]input data'!$G$1:$G$1108,AY72,1)</f>
        <v>23.168348548456951</v>
      </c>
      <c r="AY23" s="11">
        <f>INDEX('[3]input data'!$G$1:$G$1108,AZ72,1)</f>
        <v>23.050083090863829</v>
      </c>
      <c r="AZ23" s="11">
        <f>INDEX('[3]input data'!$G$1:$G$1108,BA72,1)</f>
        <v>23.061719670002304</v>
      </c>
      <c r="BA23" s="12">
        <f t="shared" si="4"/>
        <v>23.4849281634764</v>
      </c>
      <c r="BB23" s="13">
        <f t="shared" si="5"/>
        <v>22.686634774970017</v>
      </c>
      <c r="BC23" s="16">
        <f t="shared" si="8"/>
        <v>23.022407807670682</v>
      </c>
    </row>
    <row r="24" spans="1:55" ht="14.25" customHeight="1" x14ac:dyDescent="0.25">
      <c r="A24" s="15">
        <v>16</v>
      </c>
      <c r="B24" s="11">
        <f>'[3]input data'!E546</f>
        <v>25.2</v>
      </c>
      <c r="C24" s="11">
        <f>'[3]input data'!E547</f>
        <v>26.6</v>
      </c>
      <c r="D24" s="11">
        <f>'[3]input data'!E548</f>
        <v>28.2</v>
      </c>
      <c r="E24" s="11">
        <f>'[3]input data'!E549</f>
        <v>29.6</v>
      </c>
      <c r="F24" s="11">
        <f>'[3]input data'!E550</f>
        <v>29.8</v>
      </c>
      <c r="G24" s="11">
        <f>'[3]input data'!E551</f>
        <v>30.2</v>
      </c>
      <c r="H24" s="11">
        <f>'[3]input data'!E552</f>
        <v>30.3</v>
      </c>
      <c r="I24" s="11">
        <f>'[3]input data'!E553</f>
        <v>30.3</v>
      </c>
      <c r="J24" s="11">
        <f>'[3]input data'!E554</f>
        <v>28.4</v>
      </c>
      <c r="K24" s="11">
        <f>'[3]input data'!E555</f>
        <v>27.3</v>
      </c>
      <c r="L24" s="11">
        <f>'[3]input data'!E556</f>
        <v>25.1</v>
      </c>
      <c r="M24" s="11">
        <f>'[3]input data'!E557</f>
        <v>24.1</v>
      </c>
      <c r="N24" s="11">
        <f>'[3]input data'!E558</f>
        <v>23.9</v>
      </c>
      <c r="O24" s="12">
        <f t="shared" si="0"/>
        <v>30.3</v>
      </c>
      <c r="P24" s="13">
        <f t="shared" si="1"/>
        <v>23.9</v>
      </c>
      <c r="Q24" s="16">
        <f t="shared" si="6"/>
        <v>27.61538461538462</v>
      </c>
      <c r="T24" s="15">
        <v>16</v>
      </c>
      <c r="U24" s="11">
        <f>INDEX('[3]input data'!$F$1:$F$1108,U73,1)</f>
        <v>23.6</v>
      </c>
      <c r="V24" s="11">
        <f>INDEX('[3]input data'!$F$1:$F$1108,V73,1)</f>
        <v>24.3</v>
      </c>
      <c r="W24" s="11">
        <f>INDEX('[3]input data'!$F$1:$F$1108,W73,1)</f>
        <v>24.6</v>
      </c>
      <c r="X24" s="11">
        <f>INDEX('[3]input data'!$F$1:$F$1108,X73,1)</f>
        <v>25.4</v>
      </c>
      <c r="Y24" s="11">
        <f>INDEX('[3]input data'!$F$1:$F$1108,Y73,1)</f>
        <v>25</v>
      </c>
      <c r="Z24" s="11">
        <f>INDEX('[3]input data'!$F$1:$F$1108,Z73,1)</f>
        <v>25</v>
      </c>
      <c r="AA24" s="11">
        <f>INDEX('[3]input data'!$F$1:$F$1108,AA73,1)</f>
        <v>26</v>
      </c>
      <c r="AB24" s="11">
        <f>INDEX('[3]input data'!$F$1:$F$1108,AB73,1)</f>
        <v>26.6</v>
      </c>
      <c r="AC24" s="11">
        <f>INDEX('[3]input data'!$F$1:$F$1108,AC73,1)</f>
        <v>25.6</v>
      </c>
      <c r="AD24" s="11">
        <f>INDEX('[3]input data'!$F$1:$F$1108,AD73,1)</f>
        <v>25.3</v>
      </c>
      <c r="AE24" s="11">
        <f>INDEX('[3]input data'!$F$1:$F$1108,AE73,1)</f>
        <v>24</v>
      </c>
      <c r="AF24" s="11">
        <f>INDEX('[3]input data'!$F$1:$F$1108,AF73,1)</f>
        <v>23.3</v>
      </c>
      <c r="AG24" s="11">
        <f>INDEX('[3]input data'!$F$1:$F$1108,AG73,1)</f>
        <v>23.1</v>
      </c>
      <c r="AH24" s="12">
        <f t="shared" si="2"/>
        <v>26.6</v>
      </c>
      <c r="AI24" s="13">
        <f t="shared" si="3"/>
        <v>23.1</v>
      </c>
      <c r="AJ24" s="16">
        <f t="shared" si="7"/>
        <v>24.753846153846155</v>
      </c>
      <c r="AM24" s="15">
        <v>16</v>
      </c>
      <c r="AN24" s="11">
        <f>INDEX('[3]input data'!$G$1:$G$1108,AO73,1)</f>
        <v>22.760888764461736</v>
      </c>
      <c r="AO24" s="11">
        <f>INDEX('[3]input data'!$G$1:$G$1108,AP73,1)</f>
        <v>23.168348548456951</v>
      </c>
      <c r="AP24" s="11">
        <f>INDEX('[3]input data'!$G$1:$G$1108,AQ73,1)</f>
        <v>22.886439940964369</v>
      </c>
      <c r="AQ24" s="11">
        <f>INDEX('[3]input data'!$G$1:$G$1108,AR73,1)</f>
        <v>23.485447924589423</v>
      </c>
      <c r="AR24" s="11">
        <f>INDEX('[3]input data'!$G$1:$G$1108,AS73,1)</f>
        <v>22.764750111093644</v>
      </c>
      <c r="AS24" s="11">
        <f>INDEX('[3]input data'!$G$1:$G$1108,AT73,1)</f>
        <v>22.575500907686056</v>
      </c>
      <c r="AT24" s="11">
        <f>INDEX('[3]input data'!$G$1:$G$1108,AU73,1)</f>
        <v>24.100149656934345</v>
      </c>
      <c r="AU24" s="11">
        <f>INDEX('[3]input data'!$G$1:$G$1108,AV73,1)</f>
        <v>25.010651451605227</v>
      </c>
      <c r="AV24" s="11">
        <f>INDEX('[3]input data'!$G$1:$G$1108,AW73,1)</f>
        <v>24.32232363916911</v>
      </c>
      <c r="AW24" s="11">
        <f>INDEX('[3]input data'!$G$1:$G$1108,AX73,1)</f>
        <v>24.352768739538639</v>
      </c>
      <c r="AX24" s="11">
        <f>INDEX('[3]input data'!$G$1:$G$1108,AY73,1)</f>
        <v>23.405550429464302</v>
      </c>
      <c r="AY24" s="11">
        <f>INDEX('[3]input data'!$G$1:$G$1108,AZ73,1)</f>
        <v>22.827902793191438</v>
      </c>
      <c r="AZ24" s="11">
        <f>INDEX('[3]input data'!$G$1:$G$1108,BA73,1)</f>
        <v>22.623885870876084</v>
      </c>
      <c r="BA24" s="12">
        <f t="shared" si="4"/>
        <v>25.010651451605227</v>
      </c>
      <c r="BB24" s="13">
        <f t="shared" si="5"/>
        <v>22.575500907686056</v>
      </c>
      <c r="BC24" s="16">
        <f t="shared" si="8"/>
        <v>23.406508367540873</v>
      </c>
    </row>
    <row r="25" spans="1:55" ht="14.25" customHeight="1" x14ac:dyDescent="0.25">
      <c r="A25" s="15">
        <v>17</v>
      </c>
      <c r="B25" s="11">
        <f>'[3]input data'!E582</f>
        <v>24.2</v>
      </c>
      <c r="C25" s="11">
        <f>'[3]input data'!E583</f>
        <v>25.3</v>
      </c>
      <c r="D25" s="11">
        <f>'[3]input data'!E584</f>
        <v>27.1</v>
      </c>
      <c r="E25" s="11">
        <f>'[3]input data'!E585</f>
        <v>28.1</v>
      </c>
      <c r="F25" s="11">
        <f>'[3]input data'!E586</f>
        <v>28.9</v>
      </c>
      <c r="G25" s="11">
        <f>'[3]input data'!E587</f>
        <v>31.1</v>
      </c>
      <c r="H25" s="11">
        <f>'[3]input data'!E588</f>
        <v>31.4</v>
      </c>
      <c r="I25" s="11">
        <f>'[3]input data'!E589</f>
        <v>32</v>
      </c>
      <c r="J25" s="11">
        <f>'[3]input data'!E590</f>
        <v>31.2</v>
      </c>
      <c r="K25" s="11">
        <f>'[3]input data'!E591</f>
        <v>27.8</v>
      </c>
      <c r="L25" s="11">
        <f>'[3]input data'!E592</f>
        <v>25.2</v>
      </c>
      <c r="M25" s="11">
        <f>'[3]input data'!E593</f>
        <v>24.9</v>
      </c>
      <c r="N25" s="11">
        <f>'[3]input data'!E594</f>
        <v>24.4</v>
      </c>
      <c r="O25" s="12">
        <f t="shared" si="0"/>
        <v>32</v>
      </c>
      <c r="P25" s="13">
        <f t="shared" si="1"/>
        <v>24.2</v>
      </c>
      <c r="Q25" s="16">
        <f t="shared" si="6"/>
        <v>27.815384615384612</v>
      </c>
      <c r="T25" s="15">
        <v>17</v>
      </c>
      <c r="U25" s="11">
        <f>INDEX('[3]input data'!$F$1:$F$1108,U74,1)</f>
        <v>23.8</v>
      </c>
      <c r="V25" s="11">
        <f>INDEX('[3]input data'!$F$1:$F$1108,V74,1)</f>
        <v>24</v>
      </c>
      <c r="W25" s="11">
        <f>INDEX('[3]input data'!$F$1:$F$1108,W74,1)</f>
        <v>24.8</v>
      </c>
      <c r="X25" s="11">
        <f>INDEX('[3]input data'!$F$1:$F$1108,X74,1)</f>
        <v>24.8</v>
      </c>
      <c r="Y25" s="11">
        <f>INDEX('[3]input data'!$F$1:$F$1108,Y74,1)</f>
        <v>25.2</v>
      </c>
      <c r="Z25" s="11">
        <f>INDEX('[3]input data'!$F$1:$F$1108,Z74,1)</f>
        <v>25.4</v>
      </c>
      <c r="AA25" s="11">
        <f>INDEX('[3]input data'!$F$1:$F$1108,AA74,1)</f>
        <v>25.1</v>
      </c>
      <c r="AB25" s="11">
        <f>INDEX('[3]input data'!$F$1:$F$1108,AB74,1)</f>
        <v>25.8</v>
      </c>
      <c r="AC25" s="11">
        <f>INDEX('[3]input data'!$F$1:$F$1108,AC74,1)</f>
        <v>25.2</v>
      </c>
      <c r="AD25" s="11">
        <f>INDEX('[3]input data'!$F$1:$F$1108,AD74,1)</f>
        <v>25.8</v>
      </c>
      <c r="AE25" s="11">
        <f>INDEX('[3]input data'!$F$1:$F$1108,AE74,1)</f>
        <v>23</v>
      </c>
      <c r="AF25" s="11">
        <f>INDEX('[3]input data'!$F$1:$F$1108,AF74,1)</f>
        <v>23.4</v>
      </c>
      <c r="AG25" s="11">
        <f>INDEX('[3]input data'!$F$1:$F$1108,AG74,1)</f>
        <v>23</v>
      </c>
      <c r="AH25" s="12">
        <f t="shared" si="2"/>
        <v>25.8</v>
      </c>
      <c r="AI25" s="13">
        <f t="shared" si="3"/>
        <v>23</v>
      </c>
      <c r="AJ25" s="16">
        <f t="shared" si="7"/>
        <v>24.561538461538458</v>
      </c>
      <c r="AM25" s="15">
        <v>17</v>
      </c>
      <c r="AN25" s="11">
        <f>INDEX('[3]input data'!$G$1:$G$1108,AO74,1)</f>
        <v>23.519536764728979</v>
      </c>
      <c r="AO25" s="11">
        <f>INDEX('[3]input data'!$G$1:$G$1108,AP74,1)</f>
        <v>23.314317799816159</v>
      </c>
      <c r="AP25" s="11">
        <f>INDEX('[3]input data'!$G$1:$G$1108,AQ74,1)</f>
        <v>23.695807327426095</v>
      </c>
      <c r="AQ25" s="11">
        <f>INDEX('[3]input data'!$G$1:$G$1108,AR74,1)</f>
        <v>23.242241452753913</v>
      </c>
      <c r="AR25" s="11">
        <f>INDEX('[3]input data'!$G$1:$G$1108,AS74,1)</f>
        <v>23.493281902389949</v>
      </c>
      <c r="AS25" s="11">
        <f>INDEX('[3]input data'!$G$1:$G$1108,AT74,1)</f>
        <v>22.793163865594536</v>
      </c>
      <c r="AT25" s="11">
        <f>INDEX('[3]input data'!$G$1:$G$1108,AU74,1)</f>
        <v>22.16120399906259</v>
      </c>
      <c r="AU25" s="11">
        <f>INDEX('[3]input data'!$G$1:$G$1108,AV74,1)</f>
        <v>23.017692396916001</v>
      </c>
      <c r="AV25" s="11">
        <f>INDEX('[3]input data'!$G$1:$G$1108,AW74,1)</f>
        <v>22.421621048731168</v>
      </c>
      <c r="AW25" s="11">
        <f>INDEX('[3]input data'!$G$1:$G$1108,AX74,1)</f>
        <v>24.875038398378631</v>
      </c>
      <c r="AX25" s="11">
        <f>INDEX('[3]input data'!$G$1:$G$1108,AY74,1)</f>
        <v>21.842217111651138</v>
      </c>
      <c r="AY25" s="11">
        <f>INDEX('[3]input data'!$G$1:$G$1108,AZ74,1)</f>
        <v>22.600405815370323</v>
      </c>
      <c r="AZ25" s="11">
        <f>INDEX('[3]input data'!$G$1:$G$1108,BA74,1)</f>
        <v>22.233586565753708</v>
      </c>
      <c r="BA25" s="12">
        <f t="shared" si="4"/>
        <v>24.875038398378631</v>
      </c>
      <c r="BB25" s="13">
        <f t="shared" si="5"/>
        <v>21.842217111651138</v>
      </c>
      <c r="BC25" s="16">
        <f t="shared" si="8"/>
        <v>23.016162649890244</v>
      </c>
    </row>
    <row r="26" spans="1:55" ht="14.25" customHeight="1" x14ac:dyDescent="0.25">
      <c r="A26" s="15">
        <v>18</v>
      </c>
      <c r="B26" s="11">
        <f>'[3]input data'!E618</f>
        <v>24.6</v>
      </c>
      <c r="C26" s="11">
        <f>'[3]input data'!E619</f>
        <v>25.8</v>
      </c>
      <c r="D26" s="11">
        <f>'[3]input data'!E620</f>
        <v>28</v>
      </c>
      <c r="E26" s="11">
        <f>'[3]input data'!E621</f>
        <v>28.6</v>
      </c>
      <c r="F26" s="11">
        <f>'[3]input data'!E622</f>
        <v>29</v>
      </c>
      <c r="G26" s="11">
        <f>'[3]input data'!E623</f>
        <v>28</v>
      </c>
      <c r="H26" s="11">
        <f>'[3]input data'!E624</f>
        <v>26.8</v>
      </c>
      <c r="I26" s="11">
        <f>'[3]input data'!E625</f>
        <v>27.3</v>
      </c>
      <c r="J26" s="11">
        <f>'[3]input data'!E626</f>
        <v>27.6</v>
      </c>
      <c r="K26" s="11">
        <f>'[3]input data'!E627</f>
        <v>27.2</v>
      </c>
      <c r="L26" s="11">
        <f>'[3]input data'!E628</f>
        <v>27.3</v>
      </c>
      <c r="M26" s="11">
        <f>'[3]input data'!E629</f>
        <v>26.3</v>
      </c>
      <c r="N26" s="11">
        <f>'[3]input data'!E630</f>
        <v>25.1</v>
      </c>
      <c r="O26" s="12">
        <f t="shared" si="0"/>
        <v>29</v>
      </c>
      <c r="P26" s="13">
        <f t="shared" si="1"/>
        <v>24.6</v>
      </c>
      <c r="Q26" s="16">
        <f t="shared" si="6"/>
        <v>27.046153846153853</v>
      </c>
      <c r="T26" s="15">
        <v>18</v>
      </c>
      <c r="U26" s="11">
        <f>INDEX('[3]input data'!$F$1:$F$1108,U75,1)</f>
        <v>23.6</v>
      </c>
      <c r="V26" s="11">
        <f>INDEX('[3]input data'!$F$1:$F$1108,V75,1)</f>
        <v>24.2</v>
      </c>
      <c r="W26" s="11">
        <f>INDEX('[3]input data'!$F$1:$F$1108,W75,1)</f>
        <v>25</v>
      </c>
      <c r="X26" s="11">
        <f>INDEX('[3]input data'!$F$1:$F$1108,X75,1)</f>
        <v>24.6</v>
      </c>
      <c r="Y26" s="11">
        <f>INDEX('[3]input data'!$F$1:$F$1108,Y75,1)</f>
        <v>25.2</v>
      </c>
      <c r="Z26" s="11">
        <f>INDEX('[3]input data'!$F$1:$F$1108,Z75,1)</f>
        <v>25</v>
      </c>
      <c r="AA26" s="11">
        <f>INDEX('[3]input data'!$F$1:$F$1108,AA75,1)</f>
        <v>24.4</v>
      </c>
      <c r="AB26" s="11">
        <f>INDEX('[3]input data'!$F$1:$F$1108,AB75,1)</f>
        <v>23.8</v>
      </c>
      <c r="AC26" s="11">
        <f>INDEX('[3]input data'!$F$1:$F$1108,AC75,1)</f>
        <v>24.2</v>
      </c>
      <c r="AD26" s="11">
        <f>INDEX('[3]input data'!$F$1:$F$1108,AD75,1)</f>
        <v>24.1</v>
      </c>
      <c r="AE26" s="11">
        <f>INDEX('[3]input data'!$F$1:$F$1108,AE75,1)</f>
        <v>24.6</v>
      </c>
      <c r="AF26" s="11">
        <f>INDEX('[3]input data'!$F$1:$F$1108,AF75,1)</f>
        <v>24.1</v>
      </c>
      <c r="AG26" s="11">
        <f>INDEX('[3]input data'!$F$1:$F$1108,AG75,1)</f>
        <v>23.5</v>
      </c>
      <c r="AH26" s="12">
        <f t="shared" si="2"/>
        <v>25.2</v>
      </c>
      <c r="AI26" s="13">
        <f t="shared" si="3"/>
        <v>23.5</v>
      </c>
      <c r="AJ26" s="16">
        <f t="shared" si="7"/>
        <v>24.330769230769235</v>
      </c>
      <c r="AM26" s="15">
        <v>18</v>
      </c>
      <c r="AN26" s="11">
        <f>INDEX('[3]input data'!$G$1:$G$1108,AO75,1)</f>
        <v>23.041286800704647</v>
      </c>
      <c r="AO26" s="11">
        <f>INDEX('[3]input data'!$G$1:$G$1108,AP75,1)</f>
        <v>23.384370540910407</v>
      </c>
      <c r="AP26" s="11">
        <f>INDEX('[3]input data'!$G$1:$G$1108,AQ75,1)</f>
        <v>23.593703811444115</v>
      </c>
      <c r="AQ26" s="11">
        <f>INDEX('[3]input data'!$G$1:$G$1108,AR75,1)</f>
        <v>22.698417218039328</v>
      </c>
      <c r="AR26" s="11">
        <f>INDEX('[3]input data'!$G$1:$G$1108,AS75,1)</f>
        <v>23.447926951785295</v>
      </c>
      <c r="AS26" s="11">
        <f>INDEX('[3]input data'!$G$1:$G$1108,AT75,1)</f>
        <v>23.593703811444115</v>
      </c>
      <c r="AT26" s="11">
        <f>INDEX('[3]input data'!$G$1:$G$1108,AU75,1)</f>
        <v>23.228029920116789</v>
      </c>
      <c r="AU26" s="11">
        <f>INDEX('[3]input data'!$G$1:$G$1108,AV75,1)</f>
        <v>22.062633819223485</v>
      </c>
      <c r="AV26" s="11">
        <f>INDEX('[3]input data'!$G$1:$G$1108,AW75,1)</f>
        <v>22.546041617755499</v>
      </c>
      <c r="AW26" s="11">
        <f>INDEX('[3]input data'!$G$1:$G$1108,AX75,1)</f>
        <v>22.58062006284025</v>
      </c>
      <c r="AX26" s="11">
        <f>INDEX('[3]input data'!$G$1:$G$1108,AY75,1)</f>
        <v>23.30278174465375</v>
      </c>
      <c r="AY26" s="11">
        <f>INDEX('[3]input data'!$G$1:$G$1108,AZ75,1)</f>
        <v>23.003657859506184</v>
      </c>
      <c r="AZ26" s="11">
        <f>INDEX('[3]input data'!$G$1:$G$1108,BA75,1)</f>
        <v>22.656888622713407</v>
      </c>
      <c r="BA26" s="12">
        <f t="shared" si="4"/>
        <v>23.593703811444115</v>
      </c>
      <c r="BB26" s="13">
        <f t="shared" si="5"/>
        <v>22.062633819223485</v>
      </c>
      <c r="BC26" s="16">
        <f t="shared" si="8"/>
        <v>23.010774060087478</v>
      </c>
    </row>
    <row r="27" spans="1:55" ht="14.25" customHeight="1" x14ac:dyDescent="0.25">
      <c r="A27" s="15">
        <v>19</v>
      </c>
      <c r="B27" s="11">
        <f>'[3]input data'!E654</f>
        <v>25.4</v>
      </c>
      <c r="C27" s="11">
        <f>'[3]input data'!E655</f>
        <v>26.2</v>
      </c>
      <c r="D27" s="11">
        <f>'[3]input data'!E656</f>
        <v>27.2</v>
      </c>
      <c r="E27" s="11">
        <f>'[3]input data'!E657</f>
        <v>28.6</v>
      </c>
      <c r="F27" s="11">
        <f>'[3]input data'!E658</f>
        <v>29</v>
      </c>
      <c r="G27" s="11">
        <f>'[3]input data'!E659</f>
        <v>30.2</v>
      </c>
      <c r="H27" s="11">
        <f>'[3]input data'!E660</f>
        <v>27.6</v>
      </c>
      <c r="I27" s="11">
        <f>'[3]input data'!E661</f>
        <v>28.2</v>
      </c>
      <c r="J27" s="11">
        <f>'[3]input data'!E662</f>
        <v>28.2</v>
      </c>
      <c r="K27" s="11">
        <f>'[3]input data'!E663</f>
        <v>28.2</v>
      </c>
      <c r="L27" s="11">
        <f>'[3]input data'!E664</f>
        <v>28.2</v>
      </c>
      <c r="M27" s="11">
        <f>'[3]input data'!E665</f>
        <v>27.2</v>
      </c>
      <c r="N27" s="11">
        <f>'[3]input data'!E666</f>
        <v>26.8</v>
      </c>
      <c r="O27" s="12">
        <f t="shared" si="0"/>
        <v>30.2</v>
      </c>
      <c r="P27" s="13">
        <f t="shared" si="1"/>
        <v>25.4</v>
      </c>
      <c r="Q27" s="16">
        <f t="shared" si="6"/>
        <v>27.769230769230766</v>
      </c>
      <c r="T27" s="15">
        <v>19</v>
      </c>
      <c r="U27" s="11">
        <f>INDEX('[3]input data'!$F$1:$F$1108,U76,1)</f>
        <v>24.2</v>
      </c>
      <c r="V27" s="11">
        <f>INDEX('[3]input data'!$F$1:$F$1108,V76,1)</f>
        <v>24.2</v>
      </c>
      <c r="W27" s="11">
        <f>INDEX('[3]input data'!$F$1:$F$1108,W76,1)</f>
        <v>24.4</v>
      </c>
      <c r="X27" s="11">
        <f>INDEX('[3]input data'!$F$1:$F$1108,X76,1)</f>
        <v>24</v>
      </c>
      <c r="Y27" s="11">
        <f>INDEX('[3]input data'!$F$1:$F$1108,Y76,1)</f>
        <v>24.2</v>
      </c>
      <c r="Z27" s="11">
        <f>INDEX('[3]input data'!$F$1:$F$1108,Z76,1)</f>
        <v>25.4</v>
      </c>
      <c r="AA27" s="11">
        <f>INDEX('[3]input data'!$F$1:$F$1108,AA76,1)</f>
        <v>23.6</v>
      </c>
      <c r="AB27" s="11">
        <f>INDEX('[3]input data'!$F$1:$F$1108,AB76,1)</f>
        <v>24</v>
      </c>
      <c r="AC27" s="11">
        <f>INDEX('[3]input data'!$F$1:$F$1108,AC76,1)</f>
        <v>24.8</v>
      </c>
      <c r="AD27" s="11">
        <f>INDEX('[3]input data'!$F$1:$F$1108,AD76,1)</f>
        <v>25</v>
      </c>
      <c r="AE27" s="11">
        <f>INDEX('[3]input data'!$F$1:$F$1108,AE76,1)</f>
        <v>25</v>
      </c>
      <c r="AF27" s="11">
        <f>INDEX('[3]input data'!$F$1:$F$1108,AF76,1)</f>
        <v>24.7</v>
      </c>
      <c r="AG27" s="11">
        <f>INDEX('[3]input data'!$F$1:$F$1108,AG76,1)</f>
        <v>24.6</v>
      </c>
      <c r="AH27" s="12">
        <f t="shared" si="2"/>
        <v>25.4</v>
      </c>
      <c r="AI27" s="13">
        <f t="shared" si="3"/>
        <v>23.6</v>
      </c>
      <c r="AJ27" s="16">
        <f t="shared" si="7"/>
        <v>24.469230769230769</v>
      </c>
      <c r="AM27" s="15">
        <v>19</v>
      </c>
      <c r="AN27" s="11">
        <f>INDEX('[3]input data'!$G$1:$G$1108,AO76,1)</f>
        <v>23.565735043217593</v>
      </c>
      <c r="AO27" s="11">
        <f>INDEX('[3]input data'!$G$1:$G$1108,AP76,1)</f>
        <v>23.201256751926248</v>
      </c>
      <c r="AP27" s="11">
        <f>INDEX('[3]input data'!$G$1:$G$1108,AQ76,1)</f>
        <v>23.043390041601409</v>
      </c>
      <c r="AQ27" s="11">
        <f>INDEX('[3]input data'!$G$1:$G$1108,AR76,1)</f>
        <v>21.741688210998174</v>
      </c>
      <c r="AR27" s="11">
        <f>INDEX('[3]input data'!$G$1:$G$1108,AS76,1)</f>
        <v>21.867237103039482</v>
      </c>
      <c r="AS27" s="11">
        <f>INDEX('[3]input data'!$G$1:$G$1108,AT76,1)</f>
        <v>23.211561155971527</v>
      </c>
      <c r="AT27" s="11">
        <f>INDEX('[3]input data'!$G$1:$G$1108,AU76,1)</f>
        <v>21.595614336629087</v>
      </c>
      <c r="AU27" s="11">
        <f>INDEX('[3]input data'!$G$1:$G$1108,AV76,1)</f>
        <v>21.939456220143654</v>
      </c>
      <c r="AV27" s="11">
        <f>INDEX('[3]input data'!$G$1:$G$1108,AW76,1)</f>
        <v>23.196283144013933</v>
      </c>
      <c r="AW27" s="11">
        <f>INDEX('[3]input data'!$G$1:$G$1108,AX76,1)</f>
        <v>23.503366381695525</v>
      </c>
      <c r="AX27" s="11">
        <f>INDEX('[3]input data'!$G$1:$G$1108,AY76,1)</f>
        <v>23.503366381695525</v>
      </c>
      <c r="AY27" s="11">
        <f>INDEX('[3]input data'!$G$1:$G$1108,AZ76,1)</f>
        <v>23.500033572610199</v>
      </c>
      <c r="AZ27" s="11">
        <f>INDEX('[3]input data'!$G$1:$G$1108,BA76,1)</f>
        <v>23.530193147412959</v>
      </c>
      <c r="BA27" s="12">
        <f t="shared" si="4"/>
        <v>23.565735043217593</v>
      </c>
      <c r="BB27" s="13">
        <f t="shared" si="5"/>
        <v>21.595614336629087</v>
      </c>
      <c r="BC27" s="16">
        <f t="shared" si="8"/>
        <v>22.876860114688871</v>
      </c>
    </row>
    <row r="28" spans="1:55" ht="14.25" customHeight="1" x14ac:dyDescent="0.25">
      <c r="A28" s="15">
        <v>20</v>
      </c>
      <c r="B28" s="11">
        <f>'[3]input data'!E690</f>
        <v>25.1</v>
      </c>
      <c r="C28" s="11">
        <f>'[3]input data'!E691</f>
        <v>25.9</v>
      </c>
      <c r="D28" s="11">
        <f>'[3]input data'!E692</f>
        <v>26.7</v>
      </c>
      <c r="E28" s="11">
        <f>'[3]input data'!E693</f>
        <v>27.3</v>
      </c>
      <c r="F28" s="11">
        <f>'[3]input data'!E694</f>
        <v>28</v>
      </c>
      <c r="G28" s="11">
        <f>'[3]input data'!E695</f>
        <v>28.7</v>
      </c>
      <c r="H28" s="11">
        <f>'[3]input data'!E696</f>
        <v>29.8</v>
      </c>
      <c r="I28" s="11">
        <f>'[3]input data'!E697</f>
        <v>29.6</v>
      </c>
      <c r="J28" s="11">
        <f>'[3]input data'!E698</f>
        <v>29</v>
      </c>
      <c r="K28" s="11">
        <f>'[3]input data'!E699</f>
        <v>28.4</v>
      </c>
      <c r="L28" s="11">
        <f>'[3]input data'!E700</f>
        <v>28.2</v>
      </c>
      <c r="M28" s="11">
        <f>'[3]input data'!E701</f>
        <v>28</v>
      </c>
      <c r="N28" s="11">
        <f>'[3]input data'!E702</f>
        <v>27</v>
      </c>
      <c r="O28" s="12">
        <f t="shared" si="0"/>
        <v>29.8</v>
      </c>
      <c r="P28" s="13">
        <f t="shared" si="1"/>
        <v>25.1</v>
      </c>
      <c r="Q28" s="16">
        <f t="shared" si="6"/>
        <v>27.823076923076922</v>
      </c>
      <c r="T28" s="15">
        <v>20</v>
      </c>
      <c r="U28" s="11">
        <f>INDEX('[3]input data'!$F$1:$F$1108,U77,1)</f>
        <v>23.8</v>
      </c>
      <c r="V28" s="11">
        <f>INDEX('[3]input data'!$F$1:$F$1108,V77,1)</f>
        <v>24.1</v>
      </c>
      <c r="W28" s="11">
        <f>INDEX('[3]input data'!$F$1:$F$1108,W77,1)</f>
        <v>24.6</v>
      </c>
      <c r="X28" s="11">
        <f>INDEX('[3]input data'!$F$1:$F$1108,X77,1)</f>
        <v>25</v>
      </c>
      <c r="Y28" s="11">
        <f>INDEX('[3]input data'!$F$1:$F$1108,Y77,1)</f>
        <v>24.4</v>
      </c>
      <c r="Z28" s="11">
        <f>INDEX('[3]input data'!$F$1:$F$1108,Z77,1)</f>
        <v>24.6</v>
      </c>
      <c r="AA28" s="11">
        <f>INDEX('[3]input data'!$F$1:$F$1108,AA77,1)</f>
        <v>25.6</v>
      </c>
      <c r="AB28" s="11">
        <f>INDEX('[3]input data'!$F$1:$F$1108,AB77,1)</f>
        <v>25.6</v>
      </c>
      <c r="AC28" s="11">
        <f>INDEX('[3]input data'!$F$1:$F$1108,AC77,1)</f>
        <v>25.6</v>
      </c>
      <c r="AD28" s="11">
        <f>INDEX('[3]input data'!$F$1:$F$1108,AD77,1)</f>
        <v>25.6</v>
      </c>
      <c r="AE28" s="11">
        <f>INDEX('[3]input data'!$F$1:$F$1108,AE77,1)</f>
        <v>26</v>
      </c>
      <c r="AF28" s="11">
        <f>INDEX('[3]input data'!$F$1:$F$1108,AF77,1)</f>
        <v>26</v>
      </c>
      <c r="AG28" s="11">
        <f>INDEX('[3]input data'!$F$1:$F$1108,AG77,1)</f>
        <v>25</v>
      </c>
      <c r="AH28" s="12">
        <f t="shared" si="2"/>
        <v>26</v>
      </c>
      <c r="AI28" s="13">
        <f t="shared" si="3"/>
        <v>23.8</v>
      </c>
      <c r="AJ28" s="16">
        <f t="shared" si="7"/>
        <v>25.069230769230767</v>
      </c>
      <c r="AM28" s="15">
        <v>20</v>
      </c>
      <c r="AN28" s="11">
        <f>INDEX('[3]input data'!$G$1:$G$1108,AO77,1)</f>
        <v>23.108002021084449</v>
      </c>
      <c r="AO28" s="11">
        <f>INDEX('[3]input data'!$G$1:$G$1108,AP77,1)</f>
        <v>23.188679845085296</v>
      </c>
      <c r="AP28" s="11">
        <f>INDEX('[3]input data'!$G$1:$G$1108,AQ77,1)</f>
        <v>23.575350595291621</v>
      </c>
      <c r="AQ28" s="11">
        <f>INDEX('[3]input data'!$G$1:$G$1108,AR77,1)</f>
        <v>23.906549780904818</v>
      </c>
      <c r="AR28" s="11">
        <f>INDEX('[3]input data'!$G$1:$G$1108,AS77,1)</f>
        <v>22.668616177039841</v>
      </c>
      <c r="AS28" s="11">
        <f>INDEX('[3]input data'!$G$1:$G$1108,AT77,1)</f>
        <v>22.651117625427016</v>
      </c>
      <c r="AT28" s="11">
        <f>INDEX('[3]input data'!$G$1:$G$1108,AU77,1)</f>
        <v>23.705216804198258</v>
      </c>
      <c r="AU28" s="11">
        <f>INDEX('[3]input data'!$G$1:$G$1108,AV77,1)</f>
        <v>23.79460686035754</v>
      </c>
      <c r="AV28" s="11">
        <f>INDEX('[3]input data'!$G$1:$G$1108,AW77,1)</f>
        <v>24.060288665251548</v>
      </c>
      <c r="AW28" s="11">
        <f>INDEX('[3]input data'!$G$1:$G$1108,AX77,1)</f>
        <v>24.32232363916911</v>
      </c>
      <c r="AX28" s="11">
        <f>INDEX('[3]input data'!$G$1:$G$1108,AY77,1)</f>
        <v>25.000196763282311</v>
      </c>
      <c r="AY28" s="11">
        <f>INDEX('[3]input data'!$G$1:$G$1108,AZ77,1)</f>
        <v>25.083754616146514</v>
      </c>
      <c r="AZ28" s="11">
        <f>INDEX('[3]input data'!$G$1:$G$1108,BA77,1)</f>
        <v>24.039070257543216</v>
      </c>
      <c r="BA28" s="12">
        <f t="shared" si="4"/>
        <v>25.083754616146514</v>
      </c>
      <c r="BB28" s="13">
        <f t="shared" si="5"/>
        <v>22.651117625427016</v>
      </c>
      <c r="BC28" s="16">
        <f t="shared" si="8"/>
        <v>23.777213357752423</v>
      </c>
    </row>
    <row r="29" spans="1:55" ht="14.25" customHeight="1" x14ac:dyDescent="0.25">
      <c r="A29" s="15">
        <v>21</v>
      </c>
      <c r="B29" s="11">
        <f>'[3]input data'!E726</f>
        <v>25</v>
      </c>
      <c r="C29" s="11">
        <f>'[3]input data'!E727</f>
        <v>26.2</v>
      </c>
      <c r="D29" s="11">
        <f>'[3]input data'!E728</f>
        <v>28</v>
      </c>
      <c r="E29" s="11">
        <f>'[3]input data'!E729</f>
        <v>28.6</v>
      </c>
      <c r="F29" s="11">
        <f>'[3]input data'!E730</f>
        <v>29.6</v>
      </c>
      <c r="G29" s="11">
        <f>'[3]input data'!E731</f>
        <v>29.6</v>
      </c>
      <c r="H29" s="11">
        <f>'[3]input data'!E732</f>
        <v>29.7</v>
      </c>
      <c r="I29" s="11">
        <f>'[3]input data'!E733</f>
        <v>29.8</v>
      </c>
      <c r="J29" s="11">
        <f>'[3]input data'!E734</f>
        <v>29.6</v>
      </c>
      <c r="K29" s="11">
        <f>'[3]input data'!E735</f>
        <v>28.8</v>
      </c>
      <c r="L29" s="11">
        <f>'[3]input data'!E736</f>
        <v>27.6</v>
      </c>
      <c r="M29" s="11">
        <f>'[3]input data'!E737</f>
        <v>27.4</v>
      </c>
      <c r="N29" s="11">
        <f>'[3]input data'!E738</f>
        <v>27</v>
      </c>
      <c r="O29" s="12">
        <f t="shared" si="0"/>
        <v>29.8</v>
      </c>
      <c r="P29" s="13">
        <f t="shared" si="1"/>
        <v>25</v>
      </c>
      <c r="Q29" s="16">
        <f t="shared" si="6"/>
        <v>28.223076923076924</v>
      </c>
      <c r="T29" s="15">
        <v>21</v>
      </c>
      <c r="U29" s="11">
        <f>INDEX('[3]input data'!$F$1:$F$1108,U78,1)</f>
        <v>23.2</v>
      </c>
      <c r="V29" s="11">
        <f>INDEX('[3]input data'!$F$1:$F$1108,V78,1)</f>
        <v>24</v>
      </c>
      <c r="W29" s="11">
        <f>INDEX('[3]input data'!$F$1:$F$1108,W78,1)</f>
        <v>24.1</v>
      </c>
      <c r="X29" s="11">
        <f>INDEX('[3]input data'!$F$1:$F$1108,X78,1)</f>
        <v>24.4</v>
      </c>
      <c r="Y29" s="11">
        <f>INDEX('[3]input data'!$F$1:$F$1108,Y78,1)</f>
        <v>24.8</v>
      </c>
      <c r="Z29" s="11">
        <f>INDEX('[3]input data'!$F$1:$F$1108,Z78,1)</f>
        <v>24.4</v>
      </c>
      <c r="AA29" s="11">
        <f>INDEX('[3]input data'!$F$1:$F$1108,AA78,1)</f>
        <v>24.7</v>
      </c>
      <c r="AB29" s="11">
        <f>INDEX('[3]input data'!$F$1:$F$1108,AB78,1)</f>
        <v>24.6</v>
      </c>
      <c r="AC29" s="11">
        <f>INDEX('[3]input data'!$F$1:$F$1108,AC78,1)</f>
        <v>25</v>
      </c>
      <c r="AD29" s="11">
        <f>INDEX('[3]input data'!$F$1:$F$1108,AD78,1)</f>
        <v>25</v>
      </c>
      <c r="AE29" s="11">
        <f>INDEX('[3]input data'!$F$1:$F$1108,AE78,1)</f>
        <v>25</v>
      </c>
      <c r="AF29" s="11">
        <f>INDEX('[3]input data'!$F$1:$F$1108,AF78,1)</f>
        <v>25</v>
      </c>
      <c r="AG29" s="11">
        <f>INDEX('[3]input data'!$F$1:$F$1108,AG78,1)</f>
        <v>25</v>
      </c>
      <c r="AH29" s="12">
        <f t="shared" si="2"/>
        <v>25</v>
      </c>
      <c r="AI29" s="13">
        <f t="shared" si="3"/>
        <v>23.2</v>
      </c>
      <c r="AJ29" s="16">
        <f t="shared" si="7"/>
        <v>24.553846153846152</v>
      </c>
      <c r="AM29" s="15">
        <v>21</v>
      </c>
      <c r="AN29" s="11">
        <f>INDEX('[3]input data'!$G$1:$G$1108,AO78,1)</f>
        <v>22.248227889936057</v>
      </c>
      <c r="AO29" s="11">
        <f>INDEX('[3]input data'!$G$1:$G$1108,AP78,1)</f>
        <v>22.898249002326494</v>
      </c>
      <c r="AP29" s="11">
        <f>INDEX('[3]input data'!$G$1:$G$1108,AQ78,1)</f>
        <v>22.196453224753469</v>
      </c>
      <c r="AQ29" s="11">
        <f>INDEX('[3]input data'!$G$1:$G$1108,AR78,1)</f>
        <v>22.382571693636379</v>
      </c>
      <c r="AR29" s="11">
        <f>INDEX('[3]input data'!$G$1:$G$1108,AS78,1)</f>
        <v>22.540866348822316</v>
      </c>
      <c r="AS29" s="11">
        <f>INDEX('[3]input data'!$G$1:$G$1108,AT78,1)</f>
        <v>21.895953551222608</v>
      </c>
      <c r="AT29" s="11">
        <f>INDEX('[3]input data'!$G$1:$G$1108,AU78,1)</f>
        <v>22.332716175421421</v>
      </c>
      <c r="AU29" s="11">
        <f>INDEX('[3]input data'!$G$1:$G$1108,AV78,1)</f>
        <v>22.122834462404985</v>
      </c>
      <c r="AV29" s="11">
        <f>INDEX('[3]input data'!$G$1:$G$1108,AW78,1)</f>
        <v>22.858668311959782</v>
      </c>
      <c r="AW29" s="11">
        <f>INDEX('[3]input data'!$G$1:$G$1108,AX78,1)</f>
        <v>23.229747355809128</v>
      </c>
      <c r="AX29" s="11">
        <f>INDEX('[3]input data'!$G$1:$G$1108,AY78,1)</f>
        <v>23.773101758937997</v>
      </c>
      <c r="AY29" s="11">
        <f>INDEX('[3]input data'!$G$1:$G$1108,AZ78,1)</f>
        <v>23.862170856686003</v>
      </c>
      <c r="AZ29" s="11">
        <f>INDEX('[3]input data'!$G$1:$G$1108,BA78,1)</f>
        <v>24.039070257543216</v>
      </c>
      <c r="BA29" s="12">
        <f t="shared" si="4"/>
        <v>24.039070257543216</v>
      </c>
      <c r="BB29" s="13">
        <f t="shared" si="5"/>
        <v>21.895953551222608</v>
      </c>
      <c r="BC29" s="16">
        <f t="shared" si="8"/>
        <v>22.798510068419994</v>
      </c>
    </row>
    <row r="30" spans="1:55" ht="14.25" customHeight="1" x14ac:dyDescent="0.25">
      <c r="A30" s="15">
        <v>22</v>
      </c>
      <c r="B30" s="11">
        <f>'[3]input data'!E762</f>
        <v>24.3</v>
      </c>
      <c r="C30" s="11">
        <f>'[3]input data'!E763</f>
        <v>24.6</v>
      </c>
      <c r="D30" s="11">
        <f>'[3]input data'!E764</f>
        <v>23.4</v>
      </c>
      <c r="E30" s="11">
        <f>'[3]input data'!E765</f>
        <v>24.2</v>
      </c>
      <c r="F30" s="11">
        <f>'[3]input data'!E766</f>
        <v>25.4</v>
      </c>
      <c r="G30" s="11">
        <f>'[3]input data'!E767</f>
        <v>28.3</v>
      </c>
      <c r="H30" s="11">
        <f>'[3]input data'!E768</f>
        <v>29.3</v>
      </c>
      <c r="I30" s="11">
        <f>'[3]input data'!E769</f>
        <v>30.1</v>
      </c>
      <c r="J30" s="11">
        <f>'[3]input data'!E770</f>
        <v>29.7</v>
      </c>
      <c r="K30" s="11">
        <f>'[3]input data'!E771</f>
        <v>29.2</v>
      </c>
      <c r="L30" s="11">
        <f>'[3]input data'!E772</f>
        <v>29</v>
      </c>
      <c r="M30" s="11">
        <f>'[3]input data'!E773</f>
        <v>27.9</v>
      </c>
      <c r="N30" s="11">
        <f>'[3]input data'!E774</f>
        <v>26.7</v>
      </c>
      <c r="O30" s="12">
        <f t="shared" si="0"/>
        <v>30.1</v>
      </c>
      <c r="P30" s="13">
        <f t="shared" si="1"/>
        <v>23.4</v>
      </c>
      <c r="Q30" s="16">
        <f t="shared" si="6"/>
        <v>27.084615384615383</v>
      </c>
      <c r="T30" s="15">
        <v>22</v>
      </c>
      <c r="U30" s="11">
        <f>INDEX('[3]input data'!$F$1:$F$1108,U79,1)</f>
        <v>23.8</v>
      </c>
      <c r="V30" s="11">
        <f>INDEX('[3]input data'!$F$1:$F$1108,V79,1)</f>
        <v>23.3</v>
      </c>
      <c r="W30" s="11">
        <f>INDEX('[3]input data'!$F$1:$F$1108,W79,1)</f>
        <v>22.2</v>
      </c>
      <c r="X30" s="11">
        <f>INDEX('[3]input data'!$F$1:$F$1108,X79,1)</f>
        <v>22.2</v>
      </c>
      <c r="Y30" s="11">
        <f>INDEX('[3]input data'!$F$1:$F$1108,Y79,1)</f>
        <v>22.8</v>
      </c>
      <c r="Z30" s="11">
        <f>INDEX('[3]input data'!$F$1:$F$1108,Z79,1)</f>
        <v>24</v>
      </c>
      <c r="AA30" s="11">
        <f>INDEX('[3]input data'!$F$1:$F$1108,AA79,1)</f>
        <v>24.8</v>
      </c>
      <c r="AB30" s="11">
        <f>INDEX('[3]input data'!$F$1:$F$1108,AB79,1)</f>
        <v>24.7</v>
      </c>
      <c r="AC30" s="11">
        <f>INDEX('[3]input data'!$F$1:$F$1108,AC79,1)</f>
        <v>23.8</v>
      </c>
      <c r="AD30" s="11">
        <f>INDEX('[3]input data'!$F$1:$F$1108,AD79,1)</f>
        <v>24.2</v>
      </c>
      <c r="AE30" s="11">
        <f>INDEX('[3]input data'!$F$1:$F$1108,AE79,1)</f>
        <v>24</v>
      </c>
      <c r="AF30" s="11">
        <f>INDEX('[3]input data'!$F$1:$F$1108,AF79,1)</f>
        <v>23.2</v>
      </c>
      <c r="AG30" s="11">
        <f>INDEX('[3]input data'!$F$1:$F$1108,AG79,1)</f>
        <v>23</v>
      </c>
      <c r="AH30" s="12">
        <f t="shared" si="2"/>
        <v>24.8</v>
      </c>
      <c r="AI30" s="13">
        <f t="shared" si="3"/>
        <v>22.2</v>
      </c>
      <c r="AJ30" s="16">
        <f t="shared" si="7"/>
        <v>23.53846153846154</v>
      </c>
      <c r="AM30" s="15">
        <v>22</v>
      </c>
      <c r="AN30" s="11">
        <f>INDEX('[3]input data'!$G$1:$G$1108,AO79,1)</f>
        <v>23.474248808962582</v>
      </c>
      <c r="AO30" s="11">
        <f>INDEX('[3]input data'!$G$1:$G$1108,AP79,1)</f>
        <v>22.591865424441583</v>
      </c>
      <c r="AP30" s="11">
        <f>INDEX('[3]input data'!$G$1:$G$1108,AQ79,1)</f>
        <v>21.504939246603684</v>
      </c>
      <c r="AQ30" s="11">
        <f>INDEX('[3]input data'!$G$1:$G$1108,AR79,1)</f>
        <v>21.097887675957754</v>
      </c>
      <c r="AR30" s="11">
        <f>INDEX('[3]input data'!$G$1:$G$1108,AS79,1)</f>
        <v>21.429512326033791</v>
      </c>
      <c r="AS30" s="11">
        <f>INDEX('[3]input data'!$G$1:$G$1108,AT79,1)</f>
        <v>21.890209412669034</v>
      </c>
      <c r="AT30" s="11">
        <f>INDEX('[3]input data'!$G$1:$G$1108,AU79,1)</f>
        <v>22.683239041983249</v>
      </c>
      <c r="AU30" s="11">
        <f>INDEX('[3]input data'!$G$1:$G$1108,AV79,1)</f>
        <v>22.139059056486804</v>
      </c>
      <c r="AV30" s="11">
        <f>INDEX('[3]input data'!$G$1:$G$1108,AW79,1)</f>
        <v>20.851661076617987</v>
      </c>
      <c r="AW30" s="11">
        <f>INDEX('[3]input data'!$G$1:$G$1108,AX79,1)</f>
        <v>21.768231046044811</v>
      </c>
      <c r="AX30" s="11">
        <f>INDEX('[3]input data'!$G$1:$G$1108,AY79,1)</f>
        <v>21.541810194989623</v>
      </c>
      <c r="AY30" s="11">
        <f>INDEX('[3]input data'!$G$1:$G$1108,AZ79,1)</f>
        <v>20.789959776328534</v>
      </c>
      <c r="AZ30" s="11">
        <f>INDEX('[3]input data'!$G$1:$G$1108,BA79,1)</f>
        <v>21.085601188259545</v>
      </c>
      <c r="BA30" s="12">
        <f t="shared" si="4"/>
        <v>23.474248808962582</v>
      </c>
      <c r="BB30" s="13">
        <f t="shared" si="5"/>
        <v>20.789959776328534</v>
      </c>
      <c r="BC30" s="16">
        <f t="shared" si="8"/>
        <v>21.757555713490692</v>
      </c>
    </row>
    <row r="31" spans="1:55" ht="14.25" customHeight="1" x14ac:dyDescent="0.25">
      <c r="A31" s="15">
        <v>23</v>
      </c>
      <c r="B31" s="11">
        <f>'[3]input data'!E798</f>
        <v>23.9</v>
      </c>
      <c r="C31" s="11">
        <f>'[3]input data'!E799</f>
        <v>25.4</v>
      </c>
      <c r="D31" s="11">
        <f>'[3]input data'!E800</f>
        <v>28.2</v>
      </c>
      <c r="E31" s="11">
        <f>'[3]input data'!E801</f>
        <v>29.6</v>
      </c>
      <c r="F31" s="11">
        <f>'[3]input data'!E802</f>
        <v>30.2</v>
      </c>
      <c r="G31" s="11">
        <f>'[3]input data'!E803</f>
        <v>31</v>
      </c>
      <c r="H31" s="11">
        <f>'[3]input data'!E804</f>
        <v>30.8</v>
      </c>
      <c r="I31" s="11">
        <f>'[3]input data'!E805</f>
        <v>30</v>
      </c>
      <c r="J31" s="11">
        <f>'[3]input data'!E806</f>
        <v>29.6</v>
      </c>
      <c r="K31" s="11">
        <f>'[3]input data'!E807</f>
        <v>29.2</v>
      </c>
      <c r="L31" s="11">
        <f>'[3]input data'!E808</f>
        <v>28.8</v>
      </c>
      <c r="M31" s="11">
        <f>'[3]input data'!E809</f>
        <v>27.6</v>
      </c>
      <c r="N31" s="11">
        <f>'[3]input data'!E810</f>
        <v>26.8</v>
      </c>
      <c r="O31" s="12">
        <f t="shared" si="0"/>
        <v>31</v>
      </c>
      <c r="P31" s="13">
        <f t="shared" si="1"/>
        <v>23.9</v>
      </c>
      <c r="Q31" s="16">
        <f t="shared" si="6"/>
        <v>28.54615384615385</v>
      </c>
      <c r="T31" s="15">
        <v>23</v>
      </c>
      <c r="U31" s="11">
        <f>INDEX('[3]input data'!$F$1:$F$1108,U80,1)</f>
        <v>22.4</v>
      </c>
      <c r="V31" s="11">
        <f>INDEX('[3]input data'!$F$1:$F$1108,V80,1)</f>
        <v>23</v>
      </c>
      <c r="W31" s="11">
        <f>INDEX('[3]input data'!$F$1:$F$1108,W80,1)</f>
        <v>24.8</v>
      </c>
      <c r="X31" s="11">
        <f>INDEX('[3]input data'!$F$1:$F$1108,X80,1)</f>
        <v>24.8</v>
      </c>
      <c r="Y31" s="11">
        <f>INDEX('[3]input data'!$F$1:$F$1108,Y80,1)</f>
        <v>24.8</v>
      </c>
      <c r="Z31" s="11">
        <f>INDEX('[3]input data'!$F$1:$F$1108,Z80,1)</f>
        <v>25.2</v>
      </c>
      <c r="AA31" s="11">
        <f>INDEX('[3]input data'!$F$1:$F$1108,AA80,1)</f>
        <v>25.2</v>
      </c>
      <c r="AB31" s="11">
        <f>INDEX('[3]input data'!$F$1:$F$1108,AB80,1)</f>
        <v>24.8</v>
      </c>
      <c r="AC31" s="11">
        <f>INDEX('[3]input data'!$F$1:$F$1108,AC80,1)</f>
        <v>24.8</v>
      </c>
      <c r="AD31" s="11">
        <f>INDEX('[3]input data'!$F$1:$F$1108,AD80,1)</f>
        <v>24.6</v>
      </c>
      <c r="AE31" s="11">
        <f>INDEX('[3]input data'!$F$1:$F$1108,AE80,1)</f>
        <v>25.2</v>
      </c>
      <c r="AF31" s="11">
        <f>INDEX('[3]input data'!$F$1:$F$1108,AF80,1)</f>
        <v>24.4</v>
      </c>
      <c r="AG31" s="11">
        <f>INDEX('[3]input data'!$F$1:$F$1108,AG80,1)</f>
        <v>24.2</v>
      </c>
      <c r="AH31" s="12">
        <f t="shared" si="2"/>
        <v>25.2</v>
      </c>
      <c r="AI31" s="13">
        <f t="shared" si="3"/>
        <v>22.4</v>
      </c>
      <c r="AJ31" s="16">
        <f t="shared" si="7"/>
        <v>24.476923076923075</v>
      </c>
      <c r="AM31" s="15">
        <v>23</v>
      </c>
      <c r="AN31" s="11">
        <f>INDEX('[3]input data'!$G$1:$G$1108,AO80,1)</f>
        <v>21.561428519089496</v>
      </c>
      <c r="AO31" s="11">
        <f>INDEX('[3]input data'!$G$1:$G$1108,AP80,1)</f>
        <v>21.743085824045714</v>
      </c>
      <c r="AP31" s="11">
        <f>INDEX('[3]input data'!$G$1:$G$1108,AQ80,1)</f>
        <v>23.196283144013933</v>
      </c>
      <c r="AQ31" s="11">
        <f>INDEX('[3]input data'!$G$1:$G$1108,AR80,1)</f>
        <v>22.540866348822316</v>
      </c>
      <c r="AR31" s="11">
        <f>INDEX('[3]input data'!$G$1:$G$1108,AS80,1)</f>
        <v>22.252853752447525</v>
      </c>
      <c r="AS31" s="11">
        <f>INDEX('[3]input data'!$G$1:$G$1108,AT80,1)</f>
        <v>22.517259298639797</v>
      </c>
      <c r="AT31" s="11">
        <f>INDEX('[3]input data'!$G$1:$G$1108,AU80,1)</f>
        <v>22.612414864747695</v>
      </c>
      <c r="AU31" s="11">
        <f>INDEX('[3]input data'!$G$1:$G$1108,AV80,1)</f>
        <v>22.34934818078785</v>
      </c>
      <c r="AV31" s="11">
        <f>INDEX('[3]input data'!$G$1:$G$1108,AW80,1)</f>
        <v>22.540866348822316</v>
      </c>
      <c r="AW31" s="11">
        <f>INDEX('[3]input data'!$G$1:$G$1108,AX80,1)</f>
        <v>22.412824160138996</v>
      </c>
      <c r="AX31" s="11">
        <f>INDEX('[3]input data'!$G$1:$G$1108,AY80,1)</f>
        <v>23.538528861704741</v>
      </c>
      <c r="AY31" s="11">
        <f>INDEX('[3]input data'!$G$1:$G$1108,AZ80,1)</f>
        <v>22.856931791434171</v>
      </c>
      <c r="AZ31" s="11">
        <f>INDEX('[3]input data'!$G$1:$G$1108,BA80,1)</f>
        <v>22.923225481997395</v>
      </c>
      <c r="BA31" s="12">
        <f t="shared" si="4"/>
        <v>23.538528861704741</v>
      </c>
      <c r="BB31" s="13">
        <f t="shared" si="5"/>
        <v>21.561428519089496</v>
      </c>
      <c r="BC31" s="16">
        <f t="shared" si="8"/>
        <v>22.54199358282246</v>
      </c>
    </row>
    <row r="32" spans="1:55" ht="14.25" customHeight="1" x14ac:dyDescent="0.25">
      <c r="A32" s="15">
        <v>24</v>
      </c>
      <c r="B32" s="11">
        <f>'[3]input data'!E834</f>
        <v>26.6</v>
      </c>
      <c r="C32" s="11">
        <f>'[3]input data'!E835</f>
        <v>27.2</v>
      </c>
      <c r="D32" s="11">
        <f>'[3]input data'!E836</f>
        <v>28.4</v>
      </c>
      <c r="E32" s="11">
        <f>'[3]input data'!E837</f>
        <v>29</v>
      </c>
      <c r="F32" s="11">
        <f>'[3]input data'!E838</f>
        <v>28.4</v>
      </c>
      <c r="G32" s="11">
        <f>'[3]input data'!E839</f>
        <v>29.4</v>
      </c>
      <c r="H32" s="11">
        <f>'[3]input data'!E840</f>
        <v>30</v>
      </c>
      <c r="I32" s="11">
        <f>'[3]input data'!E841</f>
        <v>29.8</v>
      </c>
      <c r="J32" s="11">
        <f>'[3]input data'!E842</f>
        <v>29.8</v>
      </c>
      <c r="K32" s="11">
        <f>'[3]input data'!E843</f>
        <v>30</v>
      </c>
      <c r="L32" s="11">
        <f>'[3]input data'!E844</f>
        <v>29.2</v>
      </c>
      <c r="M32" s="11">
        <f>'[3]input data'!E845</f>
        <v>27.6</v>
      </c>
      <c r="N32" s="11">
        <f>'[3]input data'!E846</f>
        <v>26.4</v>
      </c>
      <c r="O32" s="12">
        <f t="shared" si="0"/>
        <v>30</v>
      </c>
      <c r="P32" s="13">
        <f t="shared" si="1"/>
        <v>26.4</v>
      </c>
      <c r="Q32" s="16">
        <f t="shared" si="6"/>
        <v>28.6</v>
      </c>
      <c r="T32" s="15">
        <v>24</v>
      </c>
      <c r="U32" s="11">
        <f>INDEX('[3]input data'!$F$1:$F$1108,U81,1)</f>
        <v>22.6</v>
      </c>
      <c r="V32" s="11">
        <f>INDEX('[3]input data'!$F$1:$F$1108,V81,1)</f>
        <v>23</v>
      </c>
      <c r="W32" s="11">
        <f>INDEX('[3]input data'!$F$1:$F$1108,W81,1)</f>
        <v>23.3</v>
      </c>
      <c r="X32" s="11">
        <f>INDEX('[3]input data'!$F$1:$F$1108,X81,1)</f>
        <v>23.6</v>
      </c>
      <c r="Y32" s="11">
        <f>INDEX('[3]input data'!$F$1:$F$1108,Y81,1)</f>
        <v>23.8</v>
      </c>
      <c r="Z32" s="11">
        <f>INDEX('[3]input data'!$F$1:$F$1108,Z81,1)</f>
        <v>24</v>
      </c>
      <c r="AA32" s="11">
        <f>INDEX('[3]input data'!$F$1:$F$1108,AA81,1)</f>
        <v>24.6</v>
      </c>
      <c r="AB32" s="11">
        <f>INDEX('[3]input data'!$F$1:$F$1108,AB81,1)</f>
        <v>24.8</v>
      </c>
      <c r="AC32" s="11">
        <f>INDEX('[3]input data'!$F$1:$F$1108,AC81,1)</f>
        <v>25.1</v>
      </c>
      <c r="AD32" s="11">
        <f>INDEX('[3]input data'!$F$1:$F$1108,AD81,1)</f>
        <v>24.8</v>
      </c>
      <c r="AE32" s="11">
        <f>INDEX('[3]input data'!$F$1:$F$1108,AE81,1)</f>
        <v>24</v>
      </c>
      <c r="AF32" s="11">
        <f>INDEX('[3]input data'!$F$1:$F$1108,AF81,1)</f>
        <v>23.9</v>
      </c>
      <c r="AG32" s="11">
        <f>INDEX('[3]input data'!$F$1:$F$1108,AG81,1)</f>
        <v>23.8</v>
      </c>
      <c r="AH32" s="12">
        <f t="shared" si="2"/>
        <v>25.1</v>
      </c>
      <c r="AI32" s="13">
        <f t="shared" si="3"/>
        <v>22.6</v>
      </c>
      <c r="AJ32" s="16">
        <f t="shared" si="7"/>
        <v>23.946153846153848</v>
      </c>
      <c r="AM32" s="15">
        <v>24</v>
      </c>
      <c r="AN32" s="11">
        <f>INDEX('[3]input data'!$G$1:$G$1108,AO81,1)</f>
        <v>20.485635396168096</v>
      </c>
      <c r="AO32" s="11">
        <f>INDEX('[3]input data'!$G$1:$G$1108,AP81,1)</f>
        <v>20.826420938155657</v>
      </c>
      <c r="AP32" s="11">
        <f>INDEX('[3]input data'!$G$1:$G$1108,AQ81,1)</f>
        <v>20.693902593719162</v>
      </c>
      <c r="AQ32" s="11">
        <f>INDEX('[3]input data'!$G$1:$G$1108,AR81,1)</f>
        <v>20.880823045165641</v>
      </c>
      <c r="AR32" s="11">
        <f>INDEX('[3]input data'!$G$1:$G$1108,AS81,1)</f>
        <v>21.517322869634658</v>
      </c>
      <c r="AS32" s="11">
        <f>INDEX('[3]input data'!$G$1:$G$1108,AT81,1)</f>
        <v>21.339773119354938</v>
      </c>
      <c r="AT32" s="11">
        <f>INDEX('[3]input data'!$G$1:$G$1108,AU81,1)</f>
        <v>22.025168782248613</v>
      </c>
      <c r="AU32" s="11">
        <f>INDEX('[3]input data'!$G$1:$G$1108,AV81,1)</f>
        <v>22.445350590029136</v>
      </c>
      <c r="AV32" s="11">
        <f>INDEX('[3]input data'!$G$1:$G$1108,AW81,1)</f>
        <v>22.923312230764488</v>
      </c>
      <c r="AW32" s="11">
        <f>INDEX('[3]input data'!$G$1:$G$1108,AX81,1)</f>
        <v>22.34934818078785</v>
      </c>
      <c r="AX32" s="11">
        <f>INDEX('[3]input data'!$G$1:$G$1108,AY81,1)</f>
        <v>21.44106467360707</v>
      </c>
      <c r="AY32" s="11">
        <f>INDEX('[3]input data'!$G$1:$G$1108,AZ81,1)</f>
        <v>22.074246678118175</v>
      </c>
      <c r="AZ32" s="11">
        <f>INDEX('[3]input data'!$G$1:$G$1108,BA81,1)</f>
        <v>22.497311086300893</v>
      </c>
      <c r="BA32" s="12">
        <f t="shared" si="4"/>
        <v>22.923312230764488</v>
      </c>
      <c r="BB32" s="13">
        <f t="shared" si="5"/>
        <v>20.485635396168096</v>
      </c>
      <c r="BC32" s="16">
        <f t="shared" si="8"/>
        <v>21.653821552619565</v>
      </c>
    </row>
    <row r="33" spans="1:55" ht="14.25" customHeight="1" x14ac:dyDescent="0.25">
      <c r="A33" s="15">
        <v>25</v>
      </c>
      <c r="B33" s="11">
        <f>'[3]input data'!E870</f>
        <v>25.3</v>
      </c>
      <c r="C33" s="11">
        <f>'[3]input data'!E871</f>
        <v>26.6</v>
      </c>
      <c r="D33" s="11">
        <f>'[3]input data'!E872</f>
        <v>28.4</v>
      </c>
      <c r="E33" s="11">
        <f>'[3]input data'!E873</f>
        <v>29.2</v>
      </c>
      <c r="F33" s="11">
        <f>'[3]input data'!E874</f>
        <v>30</v>
      </c>
      <c r="G33" s="11">
        <f>'[3]input data'!E875</f>
        <v>29.4</v>
      </c>
      <c r="H33" s="11">
        <f>'[3]input data'!E876</f>
        <v>28</v>
      </c>
      <c r="I33" s="11">
        <f>'[3]input data'!E877</f>
        <v>27.8</v>
      </c>
      <c r="J33" s="11">
        <f>'[3]input data'!E878</f>
        <v>28.6</v>
      </c>
      <c r="K33" s="11">
        <f>'[3]input data'!E879</f>
        <v>27.4</v>
      </c>
      <c r="L33" s="11">
        <f>'[3]input data'!E880</f>
        <v>26.8</v>
      </c>
      <c r="M33" s="11">
        <f>'[3]input data'!E881</f>
        <v>26.8</v>
      </c>
      <c r="N33" s="11">
        <f>'[3]input data'!E882</f>
        <v>25.8</v>
      </c>
      <c r="O33" s="12">
        <f t="shared" si="0"/>
        <v>30</v>
      </c>
      <c r="P33" s="13">
        <f t="shared" si="1"/>
        <v>25.3</v>
      </c>
      <c r="Q33" s="16">
        <f t="shared" si="6"/>
        <v>27.700000000000003</v>
      </c>
      <c r="T33" s="15">
        <v>25</v>
      </c>
      <c r="U33" s="11">
        <f>INDEX('[3]input data'!$F$1:$F$1108,U82,1)</f>
        <v>22.2</v>
      </c>
      <c r="V33" s="11">
        <f>INDEX('[3]input data'!$F$1:$F$1108,V82,1)</f>
        <v>22.6</v>
      </c>
      <c r="W33" s="11">
        <f>INDEX('[3]input data'!$F$1:$F$1108,W82,1)</f>
        <v>23</v>
      </c>
      <c r="X33" s="11">
        <f>INDEX('[3]input data'!$F$1:$F$1108,X82,1)</f>
        <v>23.2</v>
      </c>
      <c r="Y33" s="11">
        <f>INDEX('[3]input data'!$F$1:$F$1108,Y82,1)</f>
        <v>23.8</v>
      </c>
      <c r="Z33" s="11">
        <f>INDEX('[3]input data'!$F$1:$F$1108,Z82,1)</f>
        <v>24.2</v>
      </c>
      <c r="AA33" s="11">
        <f>INDEX('[3]input data'!$F$1:$F$1108,AA82,1)</f>
        <v>24.2</v>
      </c>
      <c r="AB33" s="11">
        <f>INDEX('[3]input data'!$F$1:$F$1108,AB82,1)</f>
        <v>25</v>
      </c>
      <c r="AC33" s="11">
        <f>INDEX('[3]input data'!$F$1:$F$1108,AC82,1)</f>
        <v>25</v>
      </c>
      <c r="AD33" s="11">
        <f>INDEX('[3]input data'!$F$1:$F$1108,AD82,1)</f>
        <v>24.4</v>
      </c>
      <c r="AE33" s="11">
        <f>INDEX('[3]input data'!$F$1:$F$1108,AE82,1)</f>
        <v>24.6</v>
      </c>
      <c r="AF33" s="11">
        <f>INDEX('[3]input data'!$F$1:$F$1108,AF82,1)</f>
        <v>24.4</v>
      </c>
      <c r="AG33" s="11">
        <f>INDEX('[3]input data'!$F$1:$F$1108,AG82,1)</f>
        <v>24.2</v>
      </c>
      <c r="AH33" s="12">
        <f t="shared" si="2"/>
        <v>25</v>
      </c>
      <c r="AI33" s="13">
        <f t="shared" si="3"/>
        <v>22.2</v>
      </c>
      <c r="AJ33" s="16">
        <f t="shared" si="7"/>
        <v>23.907692307692304</v>
      </c>
      <c r="AM33" s="15">
        <v>25</v>
      </c>
      <c r="AN33" s="11">
        <f>INDEX('[3]input data'!$G$1:$G$1108,AO82,1)</f>
        <v>20.523258132748641</v>
      </c>
      <c r="AO33" s="11">
        <f>INDEX('[3]input data'!$G$1:$G$1108,AP82,1)</f>
        <v>20.485635396168096</v>
      </c>
      <c r="AP33" s="11">
        <f>INDEX('[3]input data'!$G$1:$G$1108,AQ82,1)</f>
        <v>20.189223465573374</v>
      </c>
      <c r="AQ33" s="11">
        <f>INDEX('[3]input data'!$G$1:$G$1108,AR82,1)</f>
        <v>20.097265135038942</v>
      </c>
      <c r="AR33" s="11">
        <f>INDEX('[3]input data'!$G$1:$G$1108,AS82,1)</f>
        <v>20.694608390520273</v>
      </c>
      <c r="AS33" s="11">
        <f>INDEX('[3]input data'!$G$1:$G$1108,AT82,1)</f>
        <v>21.668699112332721</v>
      </c>
      <c r="AT33" s="11">
        <f>INDEX('[3]input data'!$G$1:$G$1108,AU82,1)</f>
        <v>22.354583733692817</v>
      </c>
      <c r="AU33" s="11">
        <f>INDEX('[3]input data'!$G$1:$G$1108,AV82,1)</f>
        <v>23.683614162726549</v>
      </c>
      <c r="AV33" s="11">
        <f>INDEX('[3]input data'!$G$1:$G$1108,AW82,1)</f>
        <v>23.321392650725961</v>
      </c>
      <c r="AW33" s="11">
        <f>INDEX('[3]input data'!$G$1:$G$1108,AX82,1)</f>
        <v>22.950390620266091</v>
      </c>
      <c r="AX33" s="11">
        <f>INDEX('[3]input data'!$G$1:$G$1108,AY82,1)</f>
        <v>23.530193147412959</v>
      </c>
      <c r="AY33" s="11">
        <f>INDEX('[3]input data'!$G$1:$G$1108,AZ82,1)</f>
        <v>23.228029920116789</v>
      </c>
      <c r="AZ33" s="11">
        <f>INDEX('[3]input data'!$G$1:$G$1108,BA82,1)</f>
        <v>23.384370540910407</v>
      </c>
      <c r="BA33" s="12">
        <f t="shared" si="4"/>
        <v>23.683614162726549</v>
      </c>
      <c r="BB33" s="13">
        <f t="shared" si="5"/>
        <v>20.097265135038942</v>
      </c>
      <c r="BC33" s="16">
        <f t="shared" si="8"/>
        <v>22.008558800633356</v>
      </c>
    </row>
    <row r="34" spans="1:55" ht="14.25" customHeight="1" x14ac:dyDescent="0.25">
      <c r="A34" s="15">
        <v>26</v>
      </c>
      <c r="B34" s="11">
        <f>'[3]input data'!E906</f>
        <v>24.6</v>
      </c>
      <c r="C34" s="11">
        <f>'[3]input data'!E907</f>
        <v>26.7</v>
      </c>
      <c r="D34" s="11">
        <f>'[3]input data'!E908</f>
        <v>28.5</v>
      </c>
      <c r="E34" s="11">
        <f>'[3]input data'!E909</f>
        <v>29.6</v>
      </c>
      <c r="F34" s="11">
        <f>'[3]input data'!E910</f>
        <v>30.4</v>
      </c>
      <c r="G34" s="11">
        <f>'[3]input data'!E911</f>
        <v>31.1</v>
      </c>
      <c r="H34" s="11">
        <f>'[3]input data'!E912</f>
        <v>31.3</v>
      </c>
      <c r="I34" s="11">
        <f>'[3]input data'!E913</f>
        <v>30.6</v>
      </c>
      <c r="J34" s="11">
        <f>'[3]input data'!E914</f>
        <v>30</v>
      </c>
      <c r="K34" s="11">
        <f>'[3]input data'!E915</f>
        <v>26.4</v>
      </c>
      <c r="L34" s="11">
        <f>'[3]input data'!E916</f>
        <v>25.4</v>
      </c>
      <c r="M34" s="11">
        <f>'[3]input data'!E917</f>
        <v>24.4</v>
      </c>
      <c r="N34" s="11">
        <f>'[3]input data'!E918</f>
        <v>23.8</v>
      </c>
      <c r="O34" s="12">
        <f t="shared" si="0"/>
        <v>31.3</v>
      </c>
      <c r="P34" s="13">
        <f t="shared" si="1"/>
        <v>23.8</v>
      </c>
      <c r="Q34" s="16">
        <f t="shared" si="6"/>
        <v>27.907692307692304</v>
      </c>
      <c r="T34" s="15">
        <v>26</v>
      </c>
      <c r="U34" s="11">
        <f>INDEX('[3]input data'!$F$1:$F$1108,U83,1)</f>
        <v>22.8</v>
      </c>
      <c r="V34" s="11">
        <f>INDEX('[3]input data'!$F$1:$F$1108,V83,1)</f>
        <v>23</v>
      </c>
      <c r="W34" s="11">
        <f>INDEX('[3]input data'!$F$1:$F$1108,W83,1)</f>
        <v>23.4</v>
      </c>
      <c r="X34" s="11">
        <f>INDEX('[3]input data'!$F$1:$F$1108,X83,1)</f>
        <v>24.2</v>
      </c>
      <c r="Y34" s="11">
        <f>INDEX('[3]input data'!$F$1:$F$1108,Y83,1)</f>
        <v>23.9</v>
      </c>
      <c r="Z34" s="11">
        <f>INDEX('[3]input data'!$F$1:$F$1108,Z83,1)</f>
        <v>25</v>
      </c>
      <c r="AA34" s="11">
        <f>INDEX('[3]input data'!$F$1:$F$1108,AA83,1)</f>
        <v>25.1</v>
      </c>
      <c r="AB34" s="11">
        <f>INDEX('[3]input data'!$F$1:$F$1108,AB83,1)</f>
        <v>25</v>
      </c>
      <c r="AC34" s="11">
        <f>INDEX('[3]input data'!$F$1:$F$1108,AC83,1)</f>
        <v>25</v>
      </c>
      <c r="AD34" s="11">
        <f>INDEX('[3]input data'!$F$1:$F$1108,AD83,1)</f>
        <v>24</v>
      </c>
      <c r="AE34" s="11">
        <f>INDEX('[3]input data'!$F$1:$F$1108,AE83,1)</f>
        <v>23.6</v>
      </c>
      <c r="AF34" s="11">
        <f>INDEX('[3]input data'!$F$1:$F$1108,AF83,1)</f>
        <v>23</v>
      </c>
      <c r="AG34" s="11">
        <f>INDEX('[3]input data'!$F$1:$F$1108,AG83,1)</f>
        <v>23.4</v>
      </c>
      <c r="AH34" s="12">
        <f t="shared" si="2"/>
        <v>25.1</v>
      </c>
      <c r="AI34" s="13">
        <f t="shared" si="3"/>
        <v>22.8</v>
      </c>
      <c r="AJ34" s="16">
        <f t="shared" si="7"/>
        <v>23.95384615384615</v>
      </c>
      <c r="AM34" s="15">
        <v>26</v>
      </c>
      <c r="AN34" s="11">
        <f>INDEX('[3]input data'!$G$1:$G$1108,AO83,1)</f>
        <v>21.829495781399554</v>
      </c>
      <c r="AO34" s="11">
        <f>INDEX('[3]input data'!$G$1:$G$1108,AP83,1)</f>
        <v>21.085601188259545</v>
      </c>
      <c r="AP34" s="11">
        <f>INDEX('[3]input data'!$G$1:$G$1108,AQ83,1)</f>
        <v>20.808139383747161</v>
      </c>
      <c r="AQ34" s="11">
        <f>INDEX('[3]input data'!$G$1:$G$1108,AR83,1)</f>
        <v>21.568635253270578</v>
      </c>
      <c r="AR34" s="11">
        <f>INDEX('[3]input data'!$G$1:$G$1108,AS83,1)</f>
        <v>20.654482565786164</v>
      </c>
      <c r="AS34" s="11">
        <f>INDEX('[3]input data'!$G$1:$G$1108,AT83,1)</f>
        <v>22.142612870489575</v>
      </c>
      <c r="AT34" s="11">
        <f>INDEX('[3]input data'!$G$1:$G$1108,AU83,1)</f>
        <v>22.209749633065176</v>
      </c>
      <c r="AU34" s="11">
        <f>INDEX('[3]input data'!$G$1:$G$1108,AV83,1)</f>
        <v>22.384333702710158</v>
      </c>
      <c r="AV34" s="11">
        <f>INDEX('[3]input data'!$G$1:$G$1108,AW83,1)</f>
        <v>22.670362668359488</v>
      </c>
      <c r="AW34" s="11">
        <f>INDEX('[3]input data'!$G$1:$G$1108,AX83,1)</f>
        <v>22.804533908537021</v>
      </c>
      <c r="AX34" s="11">
        <f>INDEX('[3]input data'!$G$1:$G$1108,AY83,1)</f>
        <v>22.666490581585112</v>
      </c>
      <c r="AY34" s="11">
        <f>INDEX('[3]input data'!$G$1:$G$1108,AZ83,1)</f>
        <v>22.233586565753708</v>
      </c>
      <c r="AZ34" s="11">
        <f>INDEX('[3]input data'!$G$1:$G$1108,BA83,1)</f>
        <v>23.115625074420976</v>
      </c>
      <c r="BA34" s="12">
        <f t="shared" si="4"/>
        <v>23.115625074420976</v>
      </c>
      <c r="BB34" s="13">
        <f t="shared" si="5"/>
        <v>20.654482565786164</v>
      </c>
      <c r="BC34" s="16">
        <f t="shared" si="8"/>
        <v>22.013357629029557</v>
      </c>
    </row>
    <row r="35" spans="1:55" ht="14.25" customHeight="1" x14ac:dyDescent="0.25">
      <c r="A35" s="15">
        <v>27</v>
      </c>
      <c r="B35" s="11">
        <f>'[3]input data'!E942</f>
        <v>24.1</v>
      </c>
      <c r="C35" s="11">
        <f>'[3]input data'!E943</f>
        <v>25.5</v>
      </c>
      <c r="D35" s="11">
        <f>'[3]input data'!E944</f>
        <v>26.5</v>
      </c>
      <c r="E35" s="11">
        <f>'[3]input data'!E945</f>
        <v>29</v>
      </c>
      <c r="F35" s="11">
        <f>'[3]input data'!E946</f>
        <v>30</v>
      </c>
      <c r="G35" s="11">
        <f>'[3]input data'!E947</f>
        <v>30.4</v>
      </c>
      <c r="H35" s="11">
        <f>'[3]input data'!E948</f>
        <v>31</v>
      </c>
      <c r="I35" s="11">
        <f>'[3]input data'!E949</f>
        <v>30.8</v>
      </c>
      <c r="J35" s="11">
        <f>'[3]input data'!E950</f>
        <v>29</v>
      </c>
      <c r="K35" s="11">
        <f>'[3]input data'!E951</f>
        <v>28.4</v>
      </c>
      <c r="L35" s="11">
        <f>'[3]input data'!E952</f>
        <v>27.2</v>
      </c>
      <c r="M35" s="11">
        <f>'[3]input data'!E953</f>
        <v>27</v>
      </c>
      <c r="N35" s="11">
        <f>'[3]input data'!E954</f>
        <v>26.4</v>
      </c>
      <c r="O35" s="12">
        <f t="shared" si="0"/>
        <v>31</v>
      </c>
      <c r="P35" s="13">
        <f t="shared" si="1"/>
        <v>24.1</v>
      </c>
      <c r="Q35" s="16">
        <f t="shared" si="6"/>
        <v>28.099999999999998</v>
      </c>
      <c r="T35" s="15">
        <v>27</v>
      </c>
      <c r="U35" s="11">
        <f>INDEX('[3]input data'!$F$1:$F$1108,U84,1)</f>
        <v>22.3</v>
      </c>
      <c r="V35" s="11">
        <f>INDEX('[3]input data'!$F$1:$F$1108,V84,1)</f>
        <v>23.8</v>
      </c>
      <c r="W35" s="11">
        <f>INDEX('[3]input data'!$F$1:$F$1108,W84,1)</f>
        <v>24.7</v>
      </c>
      <c r="X35" s="11">
        <f>INDEX('[3]input data'!$F$1:$F$1108,X84,1)</f>
        <v>24.9</v>
      </c>
      <c r="Y35" s="11">
        <f>INDEX('[3]input data'!$F$1:$F$1108,Y84,1)</f>
        <v>24.8</v>
      </c>
      <c r="Z35" s="11">
        <f>INDEX('[3]input data'!$F$1:$F$1108,Z84,1)</f>
        <v>24.5</v>
      </c>
      <c r="AA35" s="11">
        <f>INDEX('[3]input data'!$F$1:$F$1108,AA84,1)</f>
        <v>24</v>
      </c>
      <c r="AB35" s="11">
        <f>INDEX('[3]input data'!$F$1:$F$1108,AB84,1)</f>
        <v>25.6</v>
      </c>
      <c r="AC35" s="11">
        <f>INDEX('[3]input data'!$F$1:$F$1108,AC84,1)</f>
        <v>25.4</v>
      </c>
      <c r="AD35" s="11">
        <f>INDEX('[3]input data'!$F$1:$F$1108,AD84,1)</f>
        <v>25.4</v>
      </c>
      <c r="AE35" s="11">
        <f>INDEX('[3]input data'!$F$1:$F$1108,AE84,1)</f>
        <v>25</v>
      </c>
      <c r="AF35" s="11">
        <f>INDEX('[3]input data'!$F$1:$F$1108,AF84,1)</f>
        <v>25</v>
      </c>
      <c r="AG35" s="11">
        <f>INDEX('[3]input data'!$F$1:$F$1108,AG84,1)</f>
        <v>24.6</v>
      </c>
      <c r="AH35" s="12">
        <f t="shared" si="2"/>
        <v>25.6</v>
      </c>
      <c r="AI35" s="13">
        <f t="shared" si="3"/>
        <v>22.3</v>
      </c>
      <c r="AJ35" s="16">
        <f t="shared" si="7"/>
        <v>24.615384615384617</v>
      </c>
      <c r="AM35" s="15">
        <v>27</v>
      </c>
      <c r="AN35" s="11">
        <f>INDEX('[3]input data'!$G$1:$G$1108,AO84,1)</f>
        <v>21.305398672948787</v>
      </c>
      <c r="AO35" s="11">
        <f>INDEX('[3]input data'!$G$1:$G$1108,AP84,1)</f>
        <v>22.922189807747518</v>
      </c>
      <c r="AP35" s="11">
        <f>INDEX('[3]input data'!$G$1:$G$1108,AQ84,1)</f>
        <v>23.814403752179942</v>
      </c>
      <c r="AQ35" s="11">
        <f>INDEX('[3]input data'!$G$1:$G$1108,AR84,1)</f>
        <v>22.981462246956188</v>
      </c>
      <c r="AR35" s="11">
        <f>INDEX('[3]input data'!$G$1:$G$1108,AS84,1)</f>
        <v>22.34934818078785</v>
      </c>
      <c r="AS35" s="11">
        <f>INDEX('[3]input data'!$G$1:$G$1108,AT84,1)</f>
        <v>21.663260375206157</v>
      </c>
      <c r="AT35" s="11">
        <f>INDEX('[3]input data'!$G$1:$G$1108,AU84,1)</f>
        <v>20.508989309109545</v>
      </c>
      <c r="AU35" s="11">
        <f>INDEX('[3]input data'!$G$1:$G$1108,AV84,1)</f>
        <v>23.251853221643302</v>
      </c>
      <c r="AV35" s="11">
        <f>INDEX('[3]input data'!$G$1:$G$1108,AW84,1)</f>
        <v>23.755443039226666</v>
      </c>
      <c r="AW35" s="11">
        <f>INDEX('[3]input data'!$G$1:$G$1108,AX84,1)</f>
        <v>24.021663637150674</v>
      </c>
      <c r="AX35" s="11">
        <f>INDEX('[3]input data'!$G$1:$G$1108,AY84,1)</f>
        <v>23.950825647173037</v>
      </c>
      <c r="AY35" s="11">
        <f>INDEX('[3]input data'!$G$1:$G$1108,AZ84,1)</f>
        <v>24.039070257543216</v>
      </c>
      <c r="AZ35" s="11">
        <f>INDEX('[3]input data'!$G$1:$G$1108,BA84,1)</f>
        <v>23.710183186275557</v>
      </c>
      <c r="BA35" s="12">
        <f t="shared" si="4"/>
        <v>24.039070257543216</v>
      </c>
      <c r="BB35" s="13">
        <f t="shared" si="5"/>
        <v>20.508989309109545</v>
      </c>
      <c r="BC35" s="16">
        <f t="shared" si="8"/>
        <v>22.944160871842193</v>
      </c>
    </row>
    <row r="36" spans="1:55" ht="14.25" customHeight="1" x14ac:dyDescent="0.25">
      <c r="A36" s="15">
        <v>28</v>
      </c>
      <c r="B36" s="11">
        <f>'[3]input data'!E978</f>
        <v>25.2</v>
      </c>
      <c r="C36" s="11">
        <f>'[3]input data'!E979</f>
        <v>26.4</v>
      </c>
      <c r="D36" s="11">
        <f>'[3]input data'!E980</f>
        <v>28</v>
      </c>
      <c r="E36" s="11">
        <f>'[3]input data'!E981</f>
        <v>29.2</v>
      </c>
      <c r="F36" s="11">
        <f>'[3]input data'!E982</f>
        <v>30</v>
      </c>
      <c r="G36" s="11">
        <f>'[3]input data'!E983</f>
        <v>29.2</v>
      </c>
      <c r="H36" s="11">
        <f>'[3]input data'!E984</f>
        <v>29.6</v>
      </c>
      <c r="I36" s="11">
        <f>'[3]input data'!E985</f>
        <v>29.3</v>
      </c>
      <c r="J36" s="11">
        <f>'[3]input data'!E986</f>
        <v>29</v>
      </c>
      <c r="K36" s="11">
        <f>'[3]input data'!E987</f>
        <v>27.7</v>
      </c>
      <c r="L36" s="11">
        <f>'[3]input data'!E988</f>
        <v>27.5</v>
      </c>
      <c r="M36" s="11">
        <f>'[3]input data'!E989</f>
        <v>26.8</v>
      </c>
      <c r="N36" s="11">
        <f>'[3]input data'!E990</f>
        <v>26.3</v>
      </c>
      <c r="O36" s="12">
        <f t="shared" si="0"/>
        <v>30</v>
      </c>
      <c r="P36" s="13">
        <f t="shared" si="1"/>
        <v>25.2</v>
      </c>
      <c r="Q36" s="16">
        <f t="shared" si="6"/>
        <v>28.015384615384619</v>
      </c>
      <c r="T36" s="15">
        <v>28</v>
      </c>
      <c r="U36" s="11">
        <f>INDEX('[3]input data'!$F$1:$F$1108,U85,1)</f>
        <v>23.8</v>
      </c>
      <c r="V36" s="11">
        <f>INDEX('[3]input data'!$F$1:$F$1108,V85,1)</f>
        <v>24.2</v>
      </c>
      <c r="W36" s="11">
        <f>INDEX('[3]input data'!$F$1:$F$1108,W85,1)</f>
        <v>24.6</v>
      </c>
      <c r="X36" s="11">
        <f>INDEX('[3]input data'!$F$1:$F$1108,X85,1)</f>
        <v>25.2</v>
      </c>
      <c r="Y36" s="11">
        <f>INDEX('[3]input data'!$F$1:$F$1108,Y85,1)</f>
        <v>25.8</v>
      </c>
      <c r="Z36" s="11">
        <f>INDEX('[3]input data'!$F$1:$F$1108,Z85,1)</f>
        <v>25</v>
      </c>
      <c r="AA36" s="11">
        <f>INDEX('[3]input data'!$F$1:$F$1108,AA85,1)</f>
        <v>25.1</v>
      </c>
      <c r="AB36" s="11">
        <f>INDEX('[3]input data'!$F$1:$F$1108,AB85,1)</f>
        <v>25.2</v>
      </c>
      <c r="AC36" s="11">
        <f>INDEX('[3]input data'!$F$1:$F$1108,AC85,1)</f>
        <v>24.1</v>
      </c>
      <c r="AD36" s="11">
        <f>INDEX('[3]input data'!$F$1:$F$1108,AD85,1)</f>
        <v>24.2</v>
      </c>
      <c r="AE36" s="11">
        <f>INDEX('[3]input data'!$F$1:$F$1108,AE85,1)</f>
        <v>24.8</v>
      </c>
      <c r="AF36" s="11">
        <f>INDEX('[3]input data'!$F$1:$F$1108,AF85,1)</f>
        <v>24.2</v>
      </c>
      <c r="AG36" s="11">
        <f>INDEX('[3]input data'!$F$1:$F$1108,AG85,1)</f>
        <v>24</v>
      </c>
      <c r="AH36" s="12">
        <f t="shared" si="2"/>
        <v>25.8</v>
      </c>
      <c r="AI36" s="13">
        <f t="shared" si="3"/>
        <v>23.8</v>
      </c>
      <c r="AJ36" s="16">
        <f t="shared" si="7"/>
        <v>24.630769230769225</v>
      </c>
      <c r="AM36" s="15">
        <v>28</v>
      </c>
      <c r="AN36" s="11">
        <f>INDEX('[3]input data'!$G$1:$G$1108,AO85,1)</f>
        <v>23.061719670002304</v>
      </c>
      <c r="AO36" s="11">
        <f>INDEX('[3]input data'!$G$1:$G$1108,AP85,1)</f>
        <v>23.109032442757304</v>
      </c>
      <c r="AP36" s="11">
        <f>INDEX('[3]input data'!$G$1:$G$1108,AQ85,1)</f>
        <v>22.979754663101517</v>
      </c>
      <c r="AQ36" s="11">
        <f>INDEX('[3]input data'!$G$1:$G$1108,AR85,1)</f>
        <v>23.356890846549941</v>
      </c>
      <c r="AR36" s="11">
        <f>INDEX('[3]input data'!$G$1:$G$1108,AS85,1)</f>
        <v>23.924726871474732</v>
      </c>
      <c r="AS36" s="11">
        <f>INDEX('[3]input data'!$G$1:$G$1108,AT85,1)</f>
        <v>23.045116879889999</v>
      </c>
      <c r="AT36" s="11">
        <f>INDEX('[3]input data'!$G$1:$G$1108,AU85,1)</f>
        <v>23.016448789361732</v>
      </c>
      <c r="AU36" s="11">
        <f>INDEX('[3]input data'!$G$1:$G$1108,AV85,1)</f>
        <v>23.311208565766815</v>
      </c>
      <c r="AV36" s="11">
        <f>INDEX('[3]input data'!$G$1:$G$1108,AW85,1)</f>
        <v>21.704934170691413</v>
      </c>
      <c r="AW36" s="11">
        <f>INDEX('[3]input data'!$G$1:$G$1108,AX85,1)</f>
        <v>22.498359192841523</v>
      </c>
      <c r="AX36" s="11">
        <f>INDEX('[3]input data'!$G$1:$G$1108,AY85,1)</f>
        <v>23.51567808679572</v>
      </c>
      <c r="AY36" s="11">
        <f>INDEX('[3]input data'!$G$1:$G$1108,AZ85,1)</f>
        <v>22.923225481997395</v>
      </c>
      <c r="AZ36" s="11">
        <f>INDEX('[3]input data'!$G$1:$G$1108,BA85,1)</f>
        <v>22.851449529512763</v>
      </c>
      <c r="BA36" s="12">
        <f t="shared" si="4"/>
        <v>23.924726871474732</v>
      </c>
      <c r="BB36" s="13">
        <f t="shared" si="5"/>
        <v>21.704934170691413</v>
      </c>
      <c r="BC36" s="16">
        <f t="shared" si="8"/>
        <v>23.02296501467255</v>
      </c>
    </row>
    <row r="37" spans="1:55" ht="14.25" customHeight="1" x14ac:dyDescent="0.25">
      <c r="A37" s="1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3"/>
      <c r="Q37" s="16"/>
      <c r="T37" s="15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/>
      <c r="AI37" s="13"/>
      <c r="AJ37" s="16"/>
      <c r="AM37" s="15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2"/>
      <c r="BB37" s="13"/>
      <c r="BC37" s="16"/>
    </row>
    <row r="38" spans="1:55" ht="14.25" customHeight="1" x14ac:dyDescent="0.25">
      <c r="A38" s="1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/>
      <c r="P38" s="13"/>
      <c r="Q38" s="16"/>
      <c r="T38" s="15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2"/>
      <c r="AI38" s="13"/>
      <c r="AJ38" s="16"/>
      <c r="AM38" s="15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2"/>
      <c r="BB38" s="13"/>
      <c r="BC38" s="16"/>
    </row>
    <row r="39" spans="1:55" ht="14.25" customHeight="1" thickBot="1" x14ac:dyDescent="0.3">
      <c r="A39" s="1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7"/>
      <c r="P39" s="18"/>
      <c r="Q39" s="19"/>
      <c r="T39" s="15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  <c r="AI39" s="20"/>
      <c r="AJ39" s="19"/>
      <c r="AM39" s="15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7"/>
      <c r="BB39" s="18"/>
      <c r="BC39" s="19"/>
    </row>
    <row r="40" spans="1:55" ht="14.25" customHeight="1" thickTop="1" x14ac:dyDescent="0.25">
      <c r="A40" s="21" t="s">
        <v>25</v>
      </c>
      <c r="B40" s="22">
        <f t="shared" ref="B40:Q40" si="9">MAX(B9:B39)</f>
        <v>26.6</v>
      </c>
      <c r="C40" s="22">
        <f t="shared" si="9"/>
        <v>27.4</v>
      </c>
      <c r="D40" s="22">
        <f t="shared" si="9"/>
        <v>28.9</v>
      </c>
      <c r="E40" s="22">
        <f t="shared" si="9"/>
        <v>30</v>
      </c>
      <c r="F40" s="22">
        <f t="shared" si="9"/>
        <v>30.8</v>
      </c>
      <c r="G40" s="22">
        <f t="shared" si="9"/>
        <v>32.299999999999997</v>
      </c>
      <c r="H40" s="22">
        <f t="shared" si="9"/>
        <v>32.700000000000003</v>
      </c>
      <c r="I40" s="22">
        <f t="shared" si="9"/>
        <v>32</v>
      </c>
      <c r="J40" s="22">
        <f t="shared" si="9"/>
        <v>31.2</v>
      </c>
      <c r="K40" s="22">
        <f t="shared" si="9"/>
        <v>30</v>
      </c>
      <c r="L40" s="22">
        <f t="shared" si="9"/>
        <v>29.2</v>
      </c>
      <c r="M40" s="22">
        <f t="shared" si="9"/>
        <v>28.4</v>
      </c>
      <c r="N40" s="22">
        <f t="shared" si="9"/>
        <v>27.1</v>
      </c>
      <c r="O40" s="12">
        <f t="shared" si="9"/>
        <v>32.700000000000003</v>
      </c>
      <c r="P40" s="23">
        <f t="shared" si="9"/>
        <v>26.4</v>
      </c>
      <c r="Q40" s="24">
        <f t="shared" si="9"/>
        <v>28.923076923076923</v>
      </c>
      <c r="T40" s="21" t="s">
        <v>25</v>
      </c>
      <c r="U40" s="22">
        <f t="shared" ref="U40:AJ40" si="10">MAX(U9:U39)</f>
        <v>24.2</v>
      </c>
      <c r="V40" s="22">
        <f t="shared" si="10"/>
        <v>24.8</v>
      </c>
      <c r="W40" s="22">
        <f t="shared" si="10"/>
        <v>25.5</v>
      </c>
      <c r="X40" s="22">
        <f t="shared" si="10"/>
        <v>25.5</v>
      </c>
      <c r="Y40" s="22">
        <f t="shared" si="10"/>
        <v>25.9</v>
      </c>
      <c r="Z40" s="22">
        <f t="shared" si="10"/>
        <v>26.2</v>
      </c>
      <c r="AA40" s="22">
        <f t="shared" si="10"/>
        <v>26</v>
      </c>
      <c r="AB40" s="22">
        <f t="shared" si="10"/>
        <v>26.6</v>
      </c>
      <c r="AC40" s="22">
        <f t="shared" si="10"/>
        <v>25.6</v>
      </c>
      <c r="AD40" s="22">
        <f t="shared" si="10"/>
        <v>25.8</v>
      </c>
      <c r="AE40" s="22">
        <f t="shared" si="10"/>
        <v>26</v>
      </c>
      <c r="AF40" s="22">
        <f t="shared" si="10"/>
        <v>26</v>
      </c>
      <c r="AG40" s="22">
        <f t="shared" si="10"/>
        <v>25</v>
      </c>
      <c r="AH40" s="25">
        <f t="shared" si="10"/>
        <v>26.6</v>
      </c>
      <c r="AI40" s="23">
        <f t="shared" si="10"/>
        <v>24</v>
      </c>
      <c r="AJ40" s="24">
        <f t="shared" si="10"/>
        <v>25.069230769230767</v>
      </c>
      <c r="AM40" s="21" t="s">
        <v>25</v>
      </c>
      <c r="AN40" s="22">
        <f t="shared" ref="AN40:BC40" si="11">MAX(AN9:AN39)</f>
        <v>23.655772475405435</v>
      </c>
      <c r="AO40" s="22">
        <f t="shared" si="11"/>
        <v>24.00699031261323</v>
      </c>
      <c r="AP40" s="22">
        <f t="shared" si="11"/>
        <v>23.9524681757811</v>
      </c>
      <c r="AQ40" s="22">
        <f t="shared" si="11"/>
        <v>23.906549780904818</v>
      </c>
      <c r="AR40" s="22">
        <f t="shared" si="11"/>
        <v>24.117157557316535</v>
      </c>
      <c r="AS40" s="22">
        <f t="shared" si="11"/>
        <v>24.284221531671822</v>
      </c>
      <c r="AT40" s="22">
        <f t="shared" si="11"/>
        <v>24.100149656934345</v>
      </c>
      <c r="AU40" s="22">
        <f t="shared" si="11"/>
        <v>25.010651451605227</v>
      </c>
      <c r="AV40" s="22">
        <f t="shared" si="11"/>
        <v>24.32232363916911</v>
      </c>
      <c r="AW40" s="22">
        <f t="shared" si="11"/>
        <v>24.875038398378631</v>
      </c>
      <c r="AX40" s="22">
        <f t="shared" si="11"/>
        <v>25.000196763282311</v>
      </c>
      <c r="AY40" s="22">
        <f t="shared" si="11"/>
        <v>25.083754616146514</v>
      </c>
      <c r="AZ40" s="22">
        <f t="shared" si="11"/>
        <v>24.039070257543216</v>
      </c>
      <c r="BA40" s="12">
        <f t="shared" si="11"/>
        <v>25.083754616146514</v>
      </c>
      <c r="BB40" s="23">
        <f t="shared" si="11"/>
        <v>22.686634774970017</v>
      </c>
      <c r="BC40" s="24">
        <f t="shared" si="11"/>
        <v>23.777213357752423</v>
      </c>
    </row>
    <row r="41" spans="1:55" ht="14.25" customHeight="1" x14ac:dyDescent="0.25">
      <c r="A41" s="15" t="s">
        <v>26</v>
      </c>
      <c r="B41" s="26">
        <f>MIN(B9:B36)</f>
        <v>22.9</v>
      </c>
      <c r="C41" s="26">
        <f t="shared" ref="C41:Q41" si="12">MIN(C9:C36)</f>
        <v>23.2</v>
      </c>
      <c r="D41" s="26">
        <f t="shared" si="12"/>
        <v>23.4</v>
      </c>
      <c r="E41" s="26">
        <f t="shared" si="12"/>
        <v>23.4</v>
      </c>
      <c r="F41" s="26">
        <f t="shared" si="12"/>
        <v>24.4</v>
      </c>
      <c r="G41" s="26">
        <f t="shared" si="12"/>
        <v>25.6</v>
      </c>
      <c r="H41" s="26">
        <f t="shared" si="12"/>
        <v>26.2</v>
      </c>
      <c r="I41" s="26">
        <f t="shared" si="12"/>
        <v>23.7</v>
      </c>
      <c r="J41" s="26">
        <f t="shared" si="12"/>
        <v>23.4</v>
      </c>
      <c r="K41" s="26">
        <f t="shared" si="12"/>
        <v>24</v>
      </c>
      <c r="L41" s="26">
        <f t="shared" si="12"/>
        <v>23.2</v>
      </c>
      <c r="M41" s="26">
        <f t="shared" si="12"/>
        <v>23</v>
      </c>
      <c r="N41" s="26">
        <f t="shared" si="12"/>
        <v>22.6</v>
      </c>
      <c r="O41" s="26">
        <f t="shared" si="12"/>
        <v>26.7</v>
      </c>
      <c r="P41" s="26">
        <f t="shared" si="12"/>
        <v>22.6</v>
      </c>
      <c r="Q41" s="26">
        <f t="shared" si="12"/>
        <v>25.299999999999997</v>
      </c>
      <c r="T41" s="15" t="s">
        <v>26</v>
      </c>
      <c r="U41" s="26">
        <f>MIN(U9:U36)</f>
        <v>22.2</v>
      </c>
      <c r="V41" s="26">
        <f t="shared" ref="V41:AJ41" si="13">MIN(V9:V36)</f>
        <v>22.6</v>
      </c>
      <c r="W41" s="26">
        <f t="shared" si="13"/>
        <v>22.2</v>
      </c>
      <c r="X41" s="26">
        <f t="shared" si="13"/>
        <v>22.2</v>
      </c>
      <c r="Y41" s="26">
        <f t="shared" si="13"/>
        <v>22.8</v>
      </c>
      <c r="Z41" s="26">
        <f t="shared" si="13"/>
        <v>24</v>
      </c>
      <c r="AA41" s="26">
        <f t="shared" si="13"/>
        <v>23.6</v>
      </c>
      <c r="AB41" s="26">
        <f t="shared" si="13"/>
        <v>22.6</v>
      </c>
      <c r="AC41" s="26">
        <f t="shared" si="13"/>
        <v>22.4</v>
      </c>
      <c r="AD41" s="26">
        <f t="shared" si="13"/>
        <v>23</v>
      </c>
      <c r="AE41" s="26">
        <f t="shared" si="13"/>
        <v>22.4</v>
      </c>
      <c r="AF41" s="26">
        <f t="shared" si="13"/>
        <v>22.8</v>
      </c>
      <c r="AG41" s="26">
        <f t="shared" si="13"/>
        <v>22.6</v>
      </c>
      <c r="AH41" s="26">
        <f t="shared" si="13"/>
        <v>24.6</v>
      </c>
      <c r="AI41" s="26">
        <f t="shared" si="13"/>
        <v>22.2</v>
      </c>
      <c r="AJ41" s="26">
        <f t="shared" si="13"/>
        <v>23.53846153846154</v>
      </c>
      <c r="AM41" s="15" t="s">
        <v>26</v>
      </c>
      <c r="AN41" s="26">
        <f>MIN(AN9:AN36)</f>
        <v>20.485635396168096</v>
      </c>
      <c r="AO41" s="26">
        <f>MIN(AO9:AO36)</f>
        <v>20.485635396168096</v>
      </c>
      <c r="AP41" s="26">
        <f t="shared" ref="AP41:BC41" si="14">MIN(AP9:AP36)</f>
        <v>20.189223465573374</v>
      </c>
      <c r="AQ41" s="26">
        <f t="shared" si="14"/>
        <v>20.097265135038942</v>
      </c>
      <c r="AR41" s="26">
        <f t="shared" si="14"/>
        <v>20.654482565786164</v>
      </c>
      <c r="AS41" s="26">
        <f t="shared" si="14"/>
        <v>21.339773119354938</v>
      </c>
      <c r="AT41" s="26">
        <f t="shared" si="14"/>
        <v>20.508989309109545</v>
      </c>
      <c r="AU41" s="26">
        <f t="shared" si="14"/>
        <v>20.919624643011055</v>
      </c>
      <c r="AV41" s="26">
        <f t="shared" si="14"/>
        <v>20.851661076617987</v>
      </c>
      <c r="AW41" s="26">
        <f t="shared" si="14"/>
        <v>21.44106467360707</v>
      </c>
      <c r="AX41" s="26">
        <f t="shared" si="14"/>
        <v>19.917113757434294</v>
      </c>
      <c r="AY41" s="26">
        <f t="shared" si="14"/>
        <v>20.737584230106016</v>
      </c>
      <c r="AZ41" s="26">
        <f t="shared" si="14"/>
        <v>21.085601188259545</v>
      </c>
      <c r="BA41" s="26">
        <f t="shared" si="14"/>
        <v>22.923312230764488</v>
      </c>
      <c r="BB41" s="26">
        <f t="shared" si="14"/>
        <v>19.917113757434294</v>
      </c>
      <c r="BC41" s="26">
        <f t="shared" si="14"/>
        <v>21.653821552619565</v>
      </c>
    </row>
    <row r="42" spans="1:55" ht="14.25" customHeight="1" thickBot="1" x14ac:dyDescent="0.3">
      <c r="A42" s="29" t="s">
        <v>27</v>
      </c>
      <c r="B42" s="18">
        <f>AVERAGE(B9:B36)</f>
        <v>24.660714285714285</v>
      </c>
      <c r="C42" s="18">
        <f t="shared" ref="C42:Q42" si="15">AVERAGE(C9:C36)</f>
        <v>25.785714285714295</v>
      </c>
      <c r="D42" s="18">
        <f t="shared" si="15"/>
        <v>27.085714285714289</v>
      </c>
      <c r="E42" s="18">
        <f t="shared" si="15"/>
        <v>28.167857142857148</v>
      </c>
      <c r="F42" s="18">
        <f t="shared" si="15"/>
        <v>29.014285714285716</v>
      </c>
      <c r="G42" s="18">
        <f t="shared" si="15"/>
        <v>29.675000000000008</v>
      </c>
      <c r="H42" s="18">
        <f t="shared" si="15"/>
        <v>29.578571428571426</v>
      </c>
      <c r="I42" s="18">
        <f t="shared" si="15"/>
        <v>29.053571428571423</v>
      </c>
      <c r="J42" s="18">
        <f t="shared" si="15"/>
        <v>28.482142857142861</v>
      </c>
      <c r="K42" s="18">
        <f t="shared" si="15"/>
        <v>27.525000000000002</v>
      </c>
      <c r="L42" s="18">
        <f t="shared" si="15"/>
        <v>27.01071428571429</v>
      </c>
      <c r="M42" s="18">
        <f t="shared" si="15"/>
        <v>26.535714285714281</v>
      </c>
      <c r="N42" s="18">
        <f t="shared" si="15"/>
        <v>25.68571428571428</v>
      </c>
      <c r="O42" s="18">
        <f t="shared" si="15"/>
        <v>30.292857142857141</v>
      </c>
      <c r="P42" s="18">
        <f t="shared" si="15"/>
        <v>24.357142857142854</v>
      </c>
      <c r="Q42" s="18">
        <f t="shared" si="15"/>
        <v>27.558516483516488</v>
      </c>
      <c r="T42" s="29" t="s">
        <v>27</v>
      </c>
      <c r="U42" s="18">
        <f>AVERAGE(U9:U36)</f>
        <v>23.360714285714284</v>
      </c>
      <c r="V42" s="18">
        <f t="shared" ref="V42:AJ42" si="16">AVERAGE(V9:V36)</f>
        <v>23.800000000000004</v>
      </c>
      <c r="W42" s="18">
        <f t="shared" si="16"/>
        <v>24.232142857142861</v>
      </c>
      <c r="X42" s="18">
        <f t="shared" si="16"/>
        <v>24.446428571428577</v>
      </c>
      <c r="Y42" s="18">
        <f t="shared" si="16"/>
        <v>24.73571428571427</v>
      </c>
      <c r="Z42" s="18">
        <f t="shared" si="16"/>
        <v>24.985714285714288</v>
      </c>
      <c r="AA42" s="18">
        <f t="shared" si="16"/>
        <v>24.93214285714286</v>
      </c>
      <c r="AB42" s="18">
        <f t="shared" si="16"/>
        <v>24.817857142857147</v>
      </c>
      <c r="AC42" s="18">
        <f t="shared" si="16"/>
        <v>24.696428571428566</v>
      </c>
      <c r="AD42" s="18">
        <f t="shared" si="16"/>
        <v>24.546428571428574</v>
      </c>
      <c r="AE42" s="18">
        <f t="shared" si="16"/>
        <v>24.314285714285717</v>
      </c>
      <c r="AF42" s="18">
        <f t="shared" si="16"/>
        <v>24.25357142857143</v>
      </c>
      <c r="AG42" s="18">
        <f t="shared" si="16"/>
        <v>23.928571428571434</v>
      </c>
      <c r="AH42" s="18">
        <f t="shared" si="16"/>
        <v>25.521428571428572</v>
      </c>
      <c r="AI42" s="18">
        <f t="shared" si="16"/>
        <v>23.057142857142853</v>
      </c>
      <c r="AJ42" s="18">
        <f t="shared" si="16"/>
        <v>24.388461538461542</v>
      </c>
      <c r="AM42" s="29" t="s">
        <v>27</v>
      </c>
      <c r="AN42" s="18">
        <f>AVERAGE(AN9:AN36)</f>
        <v>22.64507330417096</v>
      </c>
      <c r="AO42" s="18">
        <f t="shared" ref="AO42:BC42" si="17">AVERAGE(AO9:AO36)</f>
        <v>22.778273485259486</v>
      </c>
      <c r="AP42" s="18">
        <f t="shared" si="17"/>
        <v>22.829315251847511</v>
      </c>
      <c r="AQ42" s="18">
        <f t="shared" si="17"/>
        <v>22.655757059370099</v>
      </c>
      <c r="AR42" s="18">
        <f t="shared" si="17"/>
        <v>22.710436803845727</v>
      </c>
      <c r="AS42" s="18">
        <f t="shared" si="17"/>
        <v>22.792592332153049</v>
      </c>
      <c r="AT42" s="18">
        <f t="shared" si="17"/>
        <v>22.751029975261897</v>
      </c>
      <c r="AU42" s="18">
        <f t="shared" si="17"/>
        <v>22.82970059617865</v>
      </c>
      <c r="AV42" s="18">
        <f t="shared" si="17"/>
        <v>22.904860507996773</v>
      </c>
      <c r="AW42" s="18">
        <f t="shared" si="17"/>
        <v>23.115324766160516</v>
      </c>
      <c r="AX42" s="18">
        <f t="shared" si="17"/>
        <v>22.993498606666801</v>
      </c>
      <c r="AY42" s="18">
        <f t="shared" si="17"/>
        <v>23.124277285811925</v>
      </c>
      <c r="AZ42" s="18">
        <f t="shared" si="17"/>
        <v>23.031353335508211</v>
      </c>
      <c r="BA42" s="18">
        <f t="shared" si="17"/>
        <v>23.917383213827094</v>
      </c>
      <c r="BB42" s="18">
        <f t="shared" si="17"/>
        <v>21.578553887434225</v>
      </c>
      <c r="BC42" s="18">
        <f t="shared" si="17"/>
        <v>22.858576408479358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[3]QFF!C42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[3]QFF!C43</f>
        <v>Kepala Stasiun Klimatologi Kelas IV</v>
      </c>
      <c r="N45" s="1" t="str">
        <f>[3]QFF!N43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tr">
        <f>[3]QFF!C44</f>
        <v>Sleman Yogyakarta</v>
      </c>
      <c r="N46" s="1"/>
      <c r="T46" s="1"/>
      <c r="V46" s="1" t="str">
        <f>C46</f>
        <v>Sleman Yogyakarta</v>
      </c>
      <c r="AG46" s="1"/>
      <c r="AM46" s="1"/>
      <c r="AO46" s="1" t="str">
        <f>V46</f>
        <v>Sleman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[3]QFF!C49</f>
        <v>RENI KRANINGTYAS, SP, M.Si</v>
      </c>
      <c r="N51" s="30" t="str">
        <f>[3]QFF!N49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[3]QFF!C50</f>
        <v>NIP.  19740203 199703 2 001</v>
      </c>
      <c r="N52" s="1" t="str">
        <f>[3]QFF!N50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60">
    <mergeCell ref="F1:L1"/>
    <mergeCell ref="Y1:AE1"/>
    <mergeCell ref="AR1:AX1"/>
    <mergeCell ref="G4:K4"/>
    <mergeCell ref="O4:Q4"/>
    <mergeCell ref="Z4:AD4"/>
    <mergeCell ref="AH4:AJ4"/>
    <mergeCell ref="AS4:AW4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</mergeCells>
  <pageMargins left="0.42" right="1.55" top="0.46" bottom="0.32" header="0.3" footer="0.3"/>
  <pageSetup paperSize="9" scale="75" orientation="landscape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BE90"/>
  <sheetViews>
    <sheetView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93" t="str">
        <f>'[4]input data'!C1136</f>
        <v>STASIUN KLIMATOLOGI KL. IV SLEMAN</v>
      </c>
      <c r="G1" s="93"/>
      <c r="H1" s="93"/>
      <c r="I1" s="93"/>
      <c r="J1" s="93"/>
      <c r="K1" s="93"/>
      <c r="L1" s="93"/>
      <c r="T1" s="1"/>
      <c r="Y1" s="93" t="str">
        <f>F1</f>
        <v>STASIUN KLIMATOLOGI KL. IV SLEMAN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KL. IV SLEMAN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4.25" customHeight="1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4.25" customHeight="1" x14ac:dyDescent="0.25">
      <c r="A4" s="2" t="s">
        <v>4</v>
      </c>
      <c r="C4" s="7"/>
      <c r="D4" s="4" t="s">
        <v>28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MARET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MARET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4.25" customHeight="1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4.25" customHeight="1" thickBot="1" x14ac:dyDescent="0.3">
      <c r="K6" s="2" t="s">
        <v>7</v>
      </c>
      <c r="M6" s="8" t="str">
        <f>'[4]input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4.25" customHeight="1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4.25" customHeight="1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4.25" customHeight="1" thickTop="1" x14ac:dyDescent="0.25">
      <c r="A9" s="10">
        <v>1</v>
      </c>
      <c r="B9" s="11">
        <f>'[4]input data'!E6</f>
        <v>24.6</v>
      </c>
      <c r="C9" s="11">
        <f>'[4]input data'!E7</f>
        <v>26.9</v>
      </c>
      <c r="D9" s="11">
        <f>'[4]input data'!E8</f>
        <v>28</v>
      </c>
      <c r="E9" s="11">
        <f>'[4]input data'!E9</f>
        <v>30.2</v>
      </c>
      <c r="F9" s="11">
        <f>'[4]input data'!E10</f>
        <v>30.8</v>
      </c>
      <c r="G9" s="11">
        <f>'[4]input data'!E11</f>
        <v>31.1</v>
      </c>
      <c r="H9" s="11">
        <f>'[4]input data'!E12</f>
        <v>30.7</v>
      </c>
      <c r="I9" s="11">
        <f>'[4]input data'!E13</f>
        <v>30.2</v>
      </c>
      <c r="J9" s="11">
        <f>'[4]input data'!E14</f>
        <v>29.2</v>
      </c>
      <c r="K9" s="11">
        <f>'[4]input data'!E15</f>
        <v>28</v>
      </c>
      <c r="L9" s="11">
        <f>'[4]input data'!E16</f>
        <v>27.8</v>
      </c>
      <c r="M9" s="11">
        <f>'[4]input data'!E17</f>
        <v>27.4</v>
      </c>
      <c r="N9" s="11">
        <f>'[4]input data'!E18</f>
        <v>26.8</v>
      </c>
      <c r="O9" s="12">
        <f t="shared" ref="O9:O39" si="0">MAX(B9:N9)</f>
        <v>31.1</v>
      </c>
      <c r="P9" s="13">
        <f t="shared" ref="P9:P39" si="1">MIN(B9:N9)</f>
        <v>24.6</v>
      </c>
      <c r="Q9" s="14">
        <f>AVERAGE(B9:N9)</f>
        <v>28.592307692307692</v>
      </c>
      <c r="T9" s="10">
        <v>1</v>
      </c>
      <c r="U9" s="11">
        <f>INDEX('[4]input data'!$F$1:$F$1108,U58,1)</f>
        <v>22.4</v>
      </c>
      <c r="V9" s="11">
        <f>INDEX('[4]input data'!$F$1:$F$1108,V58,1)</f>
        <v>23.7</v>
      </c>
      <c r="W9" s="11">
        <f>INDEX('[4]input data'!$F$1:$F$1108,W58,1)</f>
        <v>24</v>
      </c>
      <c r="X9" s="11">
        <f>INDEX('[4]input data'!$F$1:$F$1108,X58,1)</f>
        <v>24.3</v>
      </c>
      <c r="Y9" s="11">
        <f>INDEX('[4]input data'!$F$1:$F$1108,Y58,1)</f>
        <v>24.3</v>
      </c>
      <c r="Z9" s="11">
        <f>INDEX('[4]input data'!$F$1:$F$1108,Z58,1)</f>
        <v>24.8</v>
      </c>
      <c r="AA9" s="11">
        <f>INDEX('[4]input data'!$F$1:$F$1108,AA58,1)</f>
        <v>25.2</v>
      </c>
      <c r="AB9" s="11">
        <f>INDEX('[4]input data'!$F$1:$F$1108,AB58,1)</f>
        <v>24.6</v>
      </c>
      <c r="AC9" s="11">
        <f>INDEX('[4]input data'!$F$1:$F$1108,AC58,1)</f>
        <v>24.5</v>
      </c>
      <c r="AD9" s="11">
        <f>INDEX('[4]input data'!$F$1:$F$1108,AD58,1)</f>
        <v>25</v>
      </c>
      <c r="AE9" s="11">
        <f>INDEX('[4]input data'!$F$1:$F$1108,AE58,1)</f>
        <v>24.5</v>
      </c>
      <c r="AF9" s="11">
        <f>INDEX('[4]input data'!$F$1:$F$1108,AF58,1)</f>
        <v>24.6</v>
      </c>
      <c r="AG9" s="11">
        <f>INDEX('[4]input data'!$F$1:$F$1108,AG58,1)</f>
        <v>24.4</v>
      </c>
      <c r="AH9" s="12">
        <f t="shared" ref="AH9:AH39" si="2">MAX(U9:AG9)</f>
        <v>25.2</v>
      </c>
      <c r="AI9" s="13">
        <f t="shared" ref="AI9:AI39" si="3">MIN(U9:AG9)</f>
        <v>22.4</v>
      </c>
      <c r="AJ9" s="14">
        <f>AVERAGE(U9:AG9)</f>
        <v>24.330769230769228</v>
      </c>
      <c r="AM9" s="10">
        <v>1</v>
      </c>
      <c r="AN9" s="11">
        <f>INDEX('[4]input data'!$G$1:$G$1108,AO58,1)</f>
        <v>21.206827006453103</v>
      </c>
      <c r="AO9" s="11">
        <f>INDEX('[4]input data'!$G$1:$G$1108,AP58,1)</f>
        <v>22.100410941838401</v>
      </c>
      <c r="AP9" s="11">
        <f>INDEX('[4]input data'!$G$1:$G$1108,AQ58,1)</f>
        <v>22.037563837182521</v>
      </c>
      <c r="AQ9" s="11">
        <f>INDEX('[4]input data'!$G$1:$G$1108,AR58,1)</f>
        <v>21.431936245680912</v>
      </c>
      <c r="AR9" s="11">
        <f>INDEX('[4]input data'!$G$1:$G$1108,AS58,1)</f>
        <v>21.12624143647675</v>
      </c>
      <c r="AS9" s="11">
        <f>INDEX('[4]input data'!$G$1:$G$1108,AT58,1)</f>
        <v>21.812391472228335</v>
      </c>
      <c r="AT9" s="11">
        <f>INDEX('[4]input data'!$G$1:$G$1108,AU58,1)</f>
        <v>22.659813274024209</v>
      </c>
      <c r="AU9" s="11">
        <f>INDEX('[4]input data'!$G$1:$G$1108,AV58,1)</f>
        <v>21.926992488235253</v>
      </c>
      <c r="AV9" s="11">
        <f>INDEX('[4]input data'!$G$1:$G$1108,AW58,1)</f>
        <v>22.25286027093837</v>
      </c>
      <c r="AW9" s="11">
        <f>INDEX('[4]input data'!$G$1:$G$1108,AX58,1)</f>
        <v>23.593703811444115</v>
      </c>
      <c r="AX9" s="11">
        <f>INDEX('[4]input data'!$G$1:$G$1108,AY58,1)</f>
        <v>22.918160749608798</v>
      </c>
      <c r="AY9" s="11">
        <f>INDEX('[4]input data'!$G$1:$G$1108,AZ58,1)</f>
        <v>23.256970699803183</v>
      </c>
      <c r="AZ9" s="11">
        <f>INDEX('[4]input data'!$G$1:$G$1108,BA58,1)</f>
        <v>23.228029920116789</v>
      </c>
      <c r="BA9" s="12">
        <f t="shared" ref="BA9:BA39" si="4">MAX(AN9:AZ9)</f>
        <v>23.593703811444115</v>
      </c>
      <c r="BB9" s="13">
        <f t="shared" ref="BB9:BB39" si="5">MIN(AN9:AZ9)</f>
        <v>21.12624143647675</v>
      </c>
      <c r="BC9" s="14">
        <f>AVERAGE(AN9:AZ9)</f>
        <v>22.27322324261775</v>
      </c>
    </row>
    <row r="10" spans="1:57" ht="14.25" customHeight="1" x14ac:dyDescent="0.25">
      <c r="A10" s="15">
        <v>2</v>
      </c>
      <c r="B10" s="11">
        <f>'[4]input data'!E42</f>
        <v>25</v>
      </c>
      <c r="C10" s="11">
        <f>'[4]input data'!E43</f>
        <v>26.4</v>
      </c>
      <c r="D10" s="11">
        <f>'[4]input data'!E44</f>
        <v>28.4</v>
      </c>
      <c r="E10" s="11">
        <f>'[4]input data'!E45</f>
        <v>28.8</v>
      </c>
      <c r="F10" s="11">
        <f>'[4]input data'!E46</f>
        <v>28.6</v>
      </c>
      <c r="G10" s="11">
        <f>'[4]input data'!E47</f>
        <v>28.4</v>
      </c>
      <c r="H10" s="11">
        <f>'[4]input data'!E48</f>
        <v>27.3</v>
      </c>
      <c r="I10" s="11">
        <f>'[4]input data'!E49</f>
        <v>25.6</v>
      </c>
      <c r="J10" s="11">
        <f>'[4]input data'!E50</f>
        <v>24.6</v>
      </c>
      <c r="K10" s="11">
        <f>'[4]input data'!E51</f>
        <v>26</v>
      </c>
      <c r="L10" s="11">
        <f>'[4]input data'!E52</f>
        <v>25.5</v>
      </c>
      <c r="M10" s="11">
        <f>'[4]input data'!E53</f>
        <v>24.4</v>
      </c>
      <c r="N10" s="11">
        <f>'[4]input data'!E54</f>
        <v>23.8</v>
      </c>
      <c r="O10" s="12">
        <f t="shared" si="0"/>
        <v>28.8</v>
      </c>
      <c r="P10" s="13">
        <f t="shared" si="1"/>
        <v>23.8</v>
      </c>
      <c r="Q10" s="16">
        <f t="shared" ref="Q10:Q39" si="6">AVERAGE(B10:N10)</f>
        <v>26.369230769230771</v>
      </c>
      <c r="T10" s="15">
        <v>2</v>
      </c>
      <c r="U10" s="11">
        <f>INDEX('[4]input data'!$F$1:$F$1108,U59,1)</f>
        <v>23.2</v>
      </c>
      <c r="V10" s="11">
        <f>INDEX('[4]input data'!$F$1:$F$1108,V59,1)</f>
        <v>23.8</v>
      </c>
      <c r="W10" s="11">
        <f>INDEX('[4]input data'!$F$1:$F$1108,W59,1)</f>
        <v>24.2</v>
      </c>
      <c r="X10" s="11">
        <f>INDEX('[4]input data'!$F$1:$F$1108,X59,1)</f>
        <v>24.4</v>
      </c>
      <c r="Y10" s="11">
        <f>INDEX('[4]input data'!$F$1:$F$1108,Y59,1)</f>
        <v>24.8</v>
      </c>
      <c r="Z10" s="11">
        <f>INDEX('[4]input data'!$F$1:$F$1108,Z59,1)</f>
        <v>25.2</v>
      </c>
      <c r="AA10" s="11">
        <f>INDEX('[4]input data'!$F$1:$F$1108,AA59,1)</f>
        <v>24.7</v>
      </c>
      <c r="AB10" s="11">
        <f>INDEX('[4]input data'!$F$1:$F$1108,AB59,1)</f>
        <v>24.4</v>
      </c>
      <c r="AC10" s="11">
        <f>INDEX('[4]input data'!$F$1:$F$1108,AC59,1)</f>
        <v>24</v>
      </c>
      <c r="AD10" s="11">
        <f>INDEX('[4]input data'!$F$1:$F$1108,AD59,1)</f>
        <v>24.6</v>
      </c>
      <c r="AE10" s="11">
        <f>INDEX('[4]input data'!$F$1:$F$1108,AE59,1)</f>
        <v>24.4</v>
      </c>
      <c r="AF10" s="11">
        <f>INDEX('[4]input data'!$F$1:$F$1108,AF59,1)</f>
        <v>23.8</v>
      </c>
      <c r="AG10" s="11">
        <f>INDEX('[4]input data'!$F$1:$F$1108,AG59,1)</f>
        <v>23.5</v>
      </c>
      <c r="AH10" s="12">
        <f t="shared" si="2"/>
        <v>25.2</v>
      </c>
      <c r="AI10" s="13">
        <f t="shared" si="3"/>
        <v>23.2</v>
      </c>
      <c r="AJ10" s="16">
        <f t="shared" ref="AJ10:AJ39" si="7">AVERAGE(U10:AG10)</f>
        <v>24.23076923076923</v>
      </c>
      <c r="AM10" s="15">
        <v>2</v>
      </c>
      <c r="AN10" s="11">
        <f>INDEX('[4]input data'!$G$1:$G$1108,AO59,1)</f>
        <v>22.248227889936057</v>
      </c>
      <c r="AO10" s="11">
        <f>INDEX('[4]input data'!$G$1:$G$1108,AP59,1)</f>
        <v>22.497311086300893</v>
      </c>
      <c r="AP10" s="11">
        <f>INDEX('[4]input data'!$G$1:$G$1108,AQ59,1)</f>
        <v>22.161158941710486</v>
      </c>
      <c r="AQ10" s="11">
        <f>INDEX('[4]input data'!$G$1:$G$1108,AR59,1)</f>
        <v>22.286250338619315</v>
      </c>
      <c r="AR10" s="11">
        <f>INDEX('[4]input data'!$G$1:$G$1108,AS59,1)</f>
        <v>23.011327145203094</v>
      </c>
      <c r="AS10" s="11">
        <f>INDEX('[4]input data'!$G$1:$G$1108,AT59,1)</f>
        <v>23.718447763009451</v>
      </c>
      <c r="AT10" s="11">
        <f>INDEX('[4]input data'!$G$1:$G$1108,AU59,1)</f>
        <v>23.454696295979133</v>
      </c>
      <c r="AU10" s="11">
        <f>INDEX('[4]input data'!$G$1:$G$1108,AV59,1)</f>
        <v>23.771410936659056</v>
      </c>
      <c r="AV10" s="11">
        <f>INDEX('[4]input data'!$G$1:$G$1108,AW59,1)</f>
        <v>23.631733166285724</v>
      </c>
      <c r="AW10" s="11">
        <f>INDEX('[4]input data'!$G$1:$G$1108,AX59,1)</f>
        <v>23.88848726151063</v>
      </c>
      <c r="AX10" s="11">
        <f>INDEX('[4]input data'!$G$1:$G$1108,AY59,1)</f>
        <v>23.815999648741762</v>
      </c>
      <c r="AY10" s="11">
        <f>INDEX('[4]input data'!$G$1:$G$1108,AZ59,1)</f>
        <v>23.42885263958334</v>
      </c>
      <c r="AZ10" s="11">
        <f>INDEX('[4]input data'!$G$1:$G$1108,BA59,1)</f>
        <v>23.262516829141774</v>
      </c>
      <c r="BA10" s="12">
        <f t="shared" si="4"/>
        <v>23.88848726151063</v>
      </c>
      <c r="BB10" s="13">
        <f t="shared" si="5"/>
        <v>22.161158941710486</v>
      </c>
      <c r="BC10" s="16">
        <f t="shared" ref="BC10:BC39" si="8">AVERAGE(AN10:AZ10)</f>
        <v>23.167416918667747</v>
      </c>
    </row>
    <row r="11" spans="1:57" ht="14.25" customHeight="1" x14ac:dyDescent="0.25">
      <c r="A11" s="15">
        <v>3</v>
      </c>
      <c r="B11" s="11">
        <f>'[4]input data'!E78</f>
        <v>24.5</v>
      </c>
      <c r="C11" s="11">
        <f>'[4]input data'!E79</f>
        <v>26.6</v>
      </c>
      <c r="D11" s="11">
        <f>'[4]input data'!E80</f>
        <v>28.1</v>
      </c>
      <c r="E11" s="11">
        <f>'[4]input data'!E81</f>
        <v>28.6</v>
      </c>
      <c r="F11" s="11">
        <f>'[4]input data'!E82</f>
        <v>29.2</v>
      </c>
      <c r="G11" s="11">
        <f>'[4]input data'!E83</f>
        <v>29.2</v>
      </c>
      <c r="H11" s="11">
        <f>'[4]input data'!E84</f>
        <v>28.8</v>
      </c>
      <c r="I11" s="11">
        <f>'[4]input data'!E85</f>
        <v>29</v>
      </c>
      <c r="J11" s="11">
        <f>'[4]input data'!E86</f>
        <v>28.1</v>
      </c>
      <c r="K11" s="11">
        <f>'[4]input data'!E87</f>
        <v>27.4</v>
      </c>
      <c r="L11" s="11">
        <f>'[4]input data'!E88</f>
        <v>26.7</v>
      </c>
      <c r="M11" s="11">
        <f>'[4]input data'!E89</f>
        <v>25.8</v>
      </c>
      <c r="N11" s="11">
        <f>'[4]input data'!E90</f>
        <v>25.1</v>
      </c>
      <c r="O11" s="12">
        <f t="shared" si="0"/>
        <v>29.2</v>
      </c>
      <c r="P11" s="13">
        <f t="shared" si="1"/>
        <v>24.5</v>
      </c>
      <c r="Q11" s="16">
        <f t="shared" si="6"/>
        <v>27.469230769230769</v>
      </c>
      <c r="T11" s="15">
        <v>3</v>
      </c>
      <c r="U11" s="11">
        <f>INDEX('[4]input data'!$F$1:$F$1108,U60,1)</f>
        <v>22.5</v>
      </c>
      <c r="V11" s="11">
        <f>INDEX('[4]input data'!$F$1:$F$1108,V60,1)</f>
        <v>23.2</v>
      </c>
      <c r="W11" s="11">
        <f>INDEX('[4]input data'!$F$1:$F$1108,W60,1)</f>
        <v>23.6</v>
      </c>
      <c r="X11" s="11">
        <f>INDEX('[4]input data'!$F$1:$F$1108,X60,1)</f>
        <v>24.2</v>
      </c>
      <c r="Y11" s="11">
        <f>INDEX('[4]input data'!$F$1:$F$1108,Y60,1)</f>
        <v>25</v>
      </c>
      <c r="Z11" s="11">
        <f>INDEX('[4]input data'!$F$1:$F$1108,Z60,1)</f>
        <v>25.6</v>
      </c>
      <c r="AA11" s="11">
        <f>INDEX('[4]input data'!$F$1:$F$1108,AA60,1)</f>
        <v>25.4</v>
      </c>
      <c r="AB11" s="11">
        <f>INDEX('[4]input data'!$F$1:$F$1108,AB60,1)</f>
        <v>25.5</v>
      </c>
      <c r="AC11" s="11">
        <f>INDEX('[4]input data'!$F$1:$F$1108,AC60,1)</f>
        <v>25.1</v>
      </c>
      <c r="AD11" s="11">
        <f>INDEX('[4]input data'!$F$1:$F$1108,AD60,1)</f>
        <v>24.7</v>
      </c>
      <c r="AE11" s="11">
        <f>INDEX('[4]input data'!$F$1:$F$1108,AE60,1)</f>
        <v>24.6</v>
      </c>
      <c r="AF11" s="11">
        <f>INDEX('[4]input data'!$F$1:$F$1108,AF60,1)</f>
        <v>24.6</v>
      </c>
      <c r="AG11" s="11">
        <f>INDEX('[4]input data'!$F$1:$F$1108,AG60,1)</f>
        <v>24.4</v>
      </c>
      <c r="AH11" s="12">
        <f t="shared" si="2"/>
        <v>25.6</v>
      </c>
      <c r="AI11" s="13">
        <f t="shared" si="3"/>
        <v>22.5</v>
      </c>
      <c r="AJ11" s="16">
        <f t="shared" si="7"/>
        <v>24.492307692307694</v>
      </c>
      <c r="AM11" s="15">
        <v>3</v>
      </c>
      <c r="AN11" s="11">
        <f>INDEX('[4]input data'!$G$1:$G$1108,AO60,1)</f>
        <v>21.414249443445261</v>
      </c>
      <c r="AO11" s="11">
        <f>INDEX('[4]input data'!$G$1:$G$1108,AP60,1)</f>
        <v>21.457765521889179</v>
      </c>
      <c r="AP11" s="11">
        <f>INDEX('[4]input data'!$G$1:$G$1108,AQ60,1)</f>
        <v>21.343462834053522</v>
      </c>
      <c r="AQ11" s="11">
        <f>INDEX('[4]input data'!$G$1:$G$1108,AR60,1)</f>
        <v>22.063695259551533</v>
      </c>
      <c r="AR11" s="11">
        <f>INDEX('[4]input data'!$G$1:$G$1108,AS60,1)</f>
        <v>23.045116879889999</v>
      </c>
      <c r="AS11" s="11">
        <f>INDEX('[4]input data'!$G$1:$G$1108,AT60,1)</f>
        <v>23.972138646793855</v>
      </c>
      <c r="AT11" s="11">
        <f>INDEX('[4]input data'!$G$1:$G$1108,AU60,1)</f>
        <v>23.844597001278153</v>
      </c>
      <c r="AU11" s="11">
        <f>INDEX('[4]input data'!$G$1:$G$1108,AV60,1)</f>
        <v>23.908194584341274</v>
      </c>
      <c r="AV11" s="11">
        <f>INDEX('[4]input data'!$G$1:$G$1108,AW60,1)</f>
        <v>23.700761209849404</v>
      </c>
      <c r="AW11" s="11">
        <f>INDEX('[4]input data'!$G$1:$G$1108,AX60,1)</f>
        <v>23.409250558761531</v>
      </c>
      <c r="AX11" s="11">
        <f>INDEX('[4]input data'!$G$1:$G$1108,AY60,1)</f>
        <v>23.575350595291621</v>
      </c>
      <c r="AY11" s="11">
        <f>INDEX('[4]input data'!$G$1:$G$1108,AZ60,1)</f>
        <v>23.977017614815619</v>
      </c>
      <c r="AZ11" s="11">
        <f>INDEX('[4]input data'!$G$1:$G$1108,BA60,1)</f>
        <v>23.993318566443666</v>
      </c>
      <c r="BA11" s="12">
        <f t="shared" si="4"/>
        <v>23.993318566443666</v>
      </c>
      <c r="BB11" s="13">
        <f t="shared" si="5"/>
        <v>21.343462834053522</v>
      </c>
      <c r="BC11" s="16">
        <f t="shared" si="8"/>
        <v>23.05422451664651</v>
      </c>
    </row>
    <row r="12" spans="1:57" ht="14.25" customHeight="1" x14ac:dyDescent="0.25">
      <c r="A12" s="15">
        <v>4</v>
      </c>
      <c r="B12" s="11">
        <f>'[4]input data'!E114</f>
        <v>24.6</v>
      </c>
      <c r="C12" s="11">
        <f>'[4]input data'!E115</f>
        <v>26.4</v>
      </c>
      <c r="D12" s="11">
        <f>'[4]input data'!E116</f>
        <v>28</v>
      </c>
      <c r="E12" s="11">
        <f>'[4]input data'!E117</f>
        <v>28.9</v>
      </c>
      <c r="F12" s="11">
        <f>'[4]input data'!E118</f>
        <v>28.7</v>
      </c>
      <c r="G12" s="11">
        <f>'[4]input data'!E119</f>
        <v>30.1</v>
      </c>
      <c r="H12" s="11">
        <f>'[4]input data'!E120</f>
        <v>30.1</v>
      </c>
      <c r="I12" s="11">
        <f>'[4]input data'!E121</f>
        <v>29.6</v>
      </c>
      <c r="J12" s="11">
        <f>'[4]input data'!E122</f>
        <v>29</v>
      </c>
      <c r="K12" s="11">
        <f>'[4]input data'!E123</f>
        <v>27.4</v>
      </c>
      <c r="L12" s="11">
        <f>'[4]input data'!E124</f>
        <v>26.8</v>
      </c>
      <c r="M12" s="11">
        <f>'[4]input data'!E125</f>
        <v>26.6</v>
      </c>
      <c r="N12" s="11">
        <f>'[4]input data'!E126</f>
        <v>26.2</v>
      </c>
      <c r="O12" s="12">
        <f t="shared" si="0"/>
        <v>30.1</v>
      </c>
      <c r="P12" s="13">
        <f t="shared" si="1"/>
        <v>24.6</v>
      </c>
      <c r="Q12" s="16">
        <f t="shared" si="6"/>
        <v>27.876923076923074</v>
      </c>
      <c r="T12" s="15">
        <v>4</v>
      </c>
      <c r="U12" s="11">
        <f>INDEX('[4]input data'!$F$1:$F$1108,U61,1)</f>
        <v>23.3</v>
      </c>
      <c r="V12" s="11">
        <f>INDEX('[4]input data'!$F$1:$F$1108,V61,1)</f>
        <v>24</v>
      </c>
      <c r="W12" s="11">
        <f>INDEX('[4]input data'!$F$1:$F$1108,W61,1)</f>
        <v>24.5</v>
      </c>
      <c r="X12" s="11">
        <f>INDEX('[4]input data'!$F$1:$F$1108,X61,1)</f>
        <v>24.8</v>
      </c>
      <c r="Y12" s="11">
        <f>INDEX('[4]input data'!$F$1:$F$1108,Y61,1)</f>
        <v>24.7</v>
      </c>
      <c r="Z12" s="11">
        <f>INDEX('[4]input data'!$F$1:$F$1108,Z61,1)</f>
        <v>25.6</v>
      </c>
      <c r="AA12" s="11">
        <f>INDEX('[4]input data'!$F$1:$F$1108,AA61,1)</f>
        <v>25.2</v>
      </c>
      <c r="AB12" s="11">
        <f>INDEX('[4]input data'!$F$1:$F$1108,AB61,1)</f>
        <v>25.4</v>
      </c>
      <c r="AC12" s="11">
        <f>INDEX('[4]input data'!$F$1:$F$1108,AC61,1)</f>
        <v>25.2</v>
      </c>
      <c r="AD12" s="11">
        <f>INDEX('[4]input data'!$F$1:$F$1108,AD61,1)</f>
        <v>25</v>
      </c>
      <c r="AE12" s="11">
        <f>INDEX('[4]input data'!$F$1:$F$1108,AE61,1)</f>
        <v>25</v>
      </c>
      <c r="AF12" s="11">
        <f>INDEX('[4]input data'!$F$1:$F$1108,AF61,1)</f>
        <v>24.8</v>
      </c>
      <c r="AG12" s="11">
        <f>INDEX('[4]input data'!$F$1:$F$1108,AG61,1)</f>
        <v>24.6</v>
      </c>
      <c r="AH12" s="12">
        <f t="shared" si="2"/>
        <v>25.6</v>
      </c>
      <c r="AI12" s="13">
        <f t="shared" si="3"/>
        <v>23.3</v>
      </c>
      <c r="AJ12" s="16">
        <f t="shared" si="7"/>
        <v>24.776923076923079</v>
      </c>
      <c r="AM12" s="15">
        <v>4</v>
      </c>
      <c r="AN12" s="11">
        <f>INDEX('[4]input data'!$G$1:$G$1108,AO61,1)</f>
        <v>22.591865424441583</v>
      </c>
      <c r="AO12" s="11">
        <f>INDEX('[4]input data'!$G$1:$G$1108,AP61,1)</f>
        <v>22.804533908537021</v>
      </c>
      <c r="AP12" s="11">
        <f>INDEX('[4]input data'!$G$1:$G$1108,AQ61,1)</f>
        <v>22.824541481553876</v>
      </c>
      <c r="AQ12" s="11">
        <f>INDEX('[4]input data'!$G$1:$G$1108,AR61,1)</f>
        <v>22.871414569474581</v>
      </c>
      <c r="AR12" s="11">
        <f>INDEX('[4]input data'!$G$1:$G$1108,AS61,1)</f>
        <v>22.808324970948835</v>
      </c>
      <c r="AS12" s="11">
        <f>INDEX('[4]input data'!$G$1:$G$1108,AT61,1)</f>
        <v>23.570339610883245</v>
      </c>
      <c r="AT12" s="11">
        <f>INDEX('[4]input data'!$G$1:$G$1108,AU61,1)</f>
        <v>22.941732713579075</v>
      </c>
      <c r="AU12" s="11">
        <f>INDEX('[4]input data'!$G$1:$G$1108,AV61,1)</f>
        <v>23.485447924589423</v>
      </c>
      <c r="AV12" s="11">
        <f>INDEX('[4]input data'!$G$1:$G$1108,AW61,1)</f>
        <v>23.447926951785295</v>
      </c>
      <c r="AW12" s="11">
        <f>INDEX('[4]input data'!$G$1:$G$1108,AX61,1)</f>
        <v>23.862170856686003</v>
      </c>
      <c r="AX12" s="11">
        <f>INDEX('[4]input data'!$G$1:$G$1108,AY61,1)</f>
        <v>24.126908752194279</v>
      </c>
      <c r="AY12" s="11">
        <f>INDEX('[4]input data'!$G$1:$G$1108,AZ61,1)</f>
        <v>23.918598073842094</v>
      </c>
      <c r="AZ12" s="11">
        <f>INDEX('[4]input data'!$G$1:$G$1108,BA61,1)</f>
        <v>23.799543842618871</v>
      </c>
      <c r="BA12" s="12">
        <f t="shared" si="4"/>
        <v>24.126908752194279</v>
      </c>
      <c r="BB12" s="13">
        <f t="shared" si="5"/>
        <v>22.591865424441583</v>
      </c>
      <c r="BC12" s="16">
        <f t="shared" si="8"/>
        <v>23.311796083164161</v>
      </c>
    </row>
    <row r="13" spans="1:57" ht="14.25" customHeight="1" x14ac:dyDescent="0.25">
      <c r="A13" s="15">
        <v>5</v>
      </c>
      <c r="B13" s="11">
        <f>'[4]input data'!E150</f>
        <v>24.4</v>
      </c>
      <c r="C13" s="11">
        <f>'[4]input data'!E151</f>
        <v>26.2</v>
      </c>
      <c r="D13" s="11">
        <f>'[4]input data'!E152</f>
        <v>28</v>
      </c>
      <c r="E13" s="11">
        <f>'[4]input data'!E153</f>
        <v>28.6</v>
      </c>
      <c r="F13" s="11">
        <f>'[4]input data'!E154</f>
        <v>29.6</v>
      </c>
      <c r="G13" s="11">
        <f>'[4]input data'!E155</f>
        <v>28.8</v>
      </c>
      <c r="H13" s="11">
        <f>'[4]input data'!E156</f>
        <v>28.2</v>
      </c>
      <c r="I13" s="11">
        <f>'[4]input data'!E157</f>
        <v>28.8</v>
      </c>
      <c r="J13" s="11">
        <f>'[4]input data'!E158</f>
        <v>28.4</v>
      </c>
      <c r="K13" s="11">
        <f>'[4]input data'!E159</f>
        <v>28</v>
      </c>
      <c r="L13" s="11">
        <f>'[4]input data'!E160</f>
        <v>27</v>
      </c>
      <c r="M13" s="11">
        <f>'[4]input data'!E161</f>
        <v>26.6</v>
      </c>
      <c r="N13" s="11">
        <f>'[4]input data'!E162</f>
        <v>26.2</v>
      </c>
      <c r="O13" s="12">
        <f t="shared" si="0"/>
        <v>29.6</v>
      </c>
      <c r="P13" s="13">
        <f t="shared" si="1"/>
        <v>24.4</v>
      </c>
      <c r="Q13" s="16">
        <f t="shared" si="6"/>
        <v>27.6</v>
      </c>
      <c r="T13" s="15">
        <v>5</v>
      </c>
      <c r="U13" s="11">
        <f>INDEX('[4]input data'!$F$1:$F$1108,U62,1)</f>
        <v>23.6</v>
      </c>
      <c r="V13" s="11">
        <f>INDEX('[4]input data'!$F$1:$F$1108,V62,1)</f>
        <v>24.2</v>
      </c>
      <c r="W13" s="11">
        <f>INDEX('[4]input data'!$F$1:$F$1108,W62,1)</f>
        <v>24.4</v>
      </c>
      <c r="X13" s="11">
        <f>INDEX('[4]input data'!$F$1:$F$1108,X62,1)</f>
        <v>25.1</v>
      </c>
      <c r="Y13" s="11">
        <f>INDEX('[4]input data'!$F$1:$F$1108,Y62,1)</f>
        <v>25.6</v>
      </c>
      <c r="Z13" s="11">
        <f>INDEX('[4]input data'!$F$1:$F$1108,Z62,1)</f>
        <v>25.3</v>
      </c>
      <c r="AA13" s="11">
        <f>INDEX('[4]input data'!$F$1:$F$1108,AA62,1)</f>
        <v>24.6</v>
      </c>
      <c r="AB13" s="11">
        <f>INDEX('[4]input data'!$F$1:$F$1108,AB62,1)</f>
        <v>25.2</v>
      </c>
      <c r="AC13" s="11">
        <f>INDEX('[4]input data'!$F$1:$F$1108,AC62,1)</f>
        <v>25</v>
      </c>
      <c r="AD13" s="11">
        <f>INDEX('[4]input data'!$F$1:$F$1108,AD62,1)</f>
        <v>25</v>
      </c>
      <c r="AE13" s="11">
        <f>INDEX('[4]input data'!$F$1:$F$1108,AE62,1)</f>
        <v>24.6</v>
      </c>
      <c r="AF13" s="11">
        <f>INDEX('[4]input data'!$F$1:$F$1108,AF62,1)</f>
        <v>24.4</v>
      </c>
      <c r="AG13" s="11">
        <f>INDEX('[4]input data'!$F$1:$F$1108,AG62,1)</f>
        <v>24</v>
      </c>
      <c r="AH13" s="12">
        <f t="shared" si="2"/>
        <v>25.6</v>
      </c>
      <c r="AI13" s="13">
        <f t="shared" si="3"/>
        <v>23.6</v>
      </c>
      <c r="AJ13" s="16">
        <f t="shared" si="7"/>
        <v>24.692307692307686</v>
      </c>
      <c r="AM13" s="15">
        <v>5</v>
      </c>
      <c r="AN13" s="11">
        <f>INDEX('[4]input data'!$G$1:$G$1108,AO62,1)</f>
        <v>23.133837025841927</v>
      </c>
      <c r="AO13" s="11">
        <f>INDEX('[4]input data'!$G$1:$G$1108,AP62,1)</f>
        <v>23.201256751926248</v>
      </c>
      <c r="AP13" s="11">
        <f>INDEX('[4]input data'!$G$1:$G$1108,AQ62,1)</f>
        <v>22.668616177039841</v>
      </c>
      <c r="AQ13" s="11">
        <f>INDEX('[4]input data'!$G$1:$G$1108,AR62,1)</f>
        <v>23.475386165272468</v>
      </c>
      <c r="AR13" s="11">
        <f>INDEX('[4]input data'!$G$1:$G$1108,AS62,1)</f>
        <v>23.79460686035754</v>
      </c>
      <c r="AS13" s="11">
        <f>INDEX('[4]input data'!$G$1:$G$1108,AT62,1)</f>
        <v>23.691896911833854</v>
      </c>
      <c r="AT13" s="11">
        <f>INDEX('[4]input data'!$G$1:$G$1108,AU62,1)</f>
        <v>22.886439940964369</v>
      </c>
      <c r="AU13" s="11">
        <f>INDEX('[4]input data'!$G$1:$G$1108,AV62,1)</f>
        <v>23.538528861704741</v>
      </c>
      <c r="AV13" s="11">
        <f>INDEX('[4]input data'!$G$1:$G$1108,AW62,1)</f>
        <v>23.412597481878489</v>
      </c>
      <c r="AW13" s="11">
        <f>INDEX('[4]input data'!$G$1:$G$1108,AX62,1)</f>
        <v>23.593703811444115</v>
      </c>
      <c r="AX13" s="11">
        <f>INDEX('[4]input data'!$G$1:$G$1108,AY62,1)</f>
        <v>23.439555090650348</v>
      </c>
      <c r="AY13" s="11">
        <f>INDEX('[4]input data'!$G$1:$G$1108,AZ62,1)</f>
        <v>23.319679814146195</v>
      </c>
      <c r="AZ13" s="11">
        <f>INDEX('[4]input data'!$G$1:$G$1108,BA62,1)</f>
        <v>22.898249002326494</v>
      </c>
      <c r="BA13" s="12">
        <f t="shared" si="4"/>
        <v>23.79460686035754</v>
      </c>
      <c r="BB13" s="13">
        <f t="shared" si="5"/>
        <v>22.668616177039841</v>
      </c>
      <c r="BC13" s="16">
        <f t="shared" si="8"/>
        <v>23.311873376568204</v>
      </c>
    </row>
    <row r="14" spans="1:57" ht="14.25" customHeight="1" x14ac:dyDescent="0.25">
      <c r="A14" s="15">
        <v>6</v>
      </c>
      <c r="B14" s="11">
        <f>'[4]input data'!E186</f>
        <v>23.5</v>
      </c>
      <c r="C14" s="11">
        <f>'[4]input data'!E187</f>
        <v>25</v>
      </c>
      <c r="D14" s="11">
        <f>'[4]input data'!E188</f>
        <v>27</v>
      </c>
      <c r="E14" s="11">
        <f>'[4]input data'!E189</f>
        <v>28.2</v>
      </c>
      <c r="F14" s="11">
        <f>'[4]input data'!E190</f>
        <v>28.8</v>
      </c>
      <c r="G14" s="11">
        <f>'[4]input data'!E191</f>
        <v>29.2</v>
      </c>
      <c r="H14" s="11">
        <f>'[4]input data'!E192</f>
        <v>30</v>
      </c>
      <c r="I14" s="11">
        <f>'[4]input data'!E193</f>
        <v>30.6</v>
      </c>
      <c r="J14" s="11">
        <f>'[4]input data'!E194</f>
        <v>30</v>
      </c>
      <c r="K14" s="11">
        <f>'[4]input data'!E195</f>
        <v>29.2</v>
      </c>
      <c r="L14" s="11">
        <f>'[4]input data'!E196</f>
        <v>28.4</v>
      </c>
      <c r="M14" s="11">
        <f>'[4]input data'!E197</f>
        <v>27.2</v>
      </c>
      <c r="N14" s="11">
        <f>'[4]input data'!E198</f>
        <v>26.3</v>
      </c>
      <c r="O14" s="12">
        <f t="shared" si="0"/>
        <v>30.6</v>
      </c>
      <c r="P14" s="13">
        <f t="shared" si="1"/>
        <v>23.5</v>
      </c>
      <c r="Q14" s="16">
        <f t="shared" si="6"/>
        <v>27.95384615384615</v>
      </c>
      <c r="T14" s="15">
        <v>6</v>
      </c>
      <c r="U14" s="11">
        <f>INDEX('[4]input data'!$F$1:$F$1108,U63,1)</f>
        <v>22.6</v>
      </c>
      <c r="V14" s="11">
        <f>INDEX('[4]input data'!$F$1:$F$1108,V63,1)</f>
        <v>23.4</v>
      </c>
      <c r="W14" s="11">
        <f>INDEX('[4]input data'!$F$1:$F$1108,W63,1)</f>
        <v>23.7</v>
      </c>
      <c r="X14" s="11">
        <f>INDEX('[4]input data'!$F$1:$F$1108,X63,1)</f>
        <v>24</v>
      </c>
      <c r="Y14" s="11">
        <f>INDEX('[4]input data'!$F$1:$F$1108,Y63,1)</f>
        <v>24.2</v>
      </c>
      <c r="Z14" s="11">
        <f>INDEX('[4]input data'!$F$1:$F$1108,Z63,1)</f>
        <v>24.5</v>
      </c>
      <c r="AA14" s="11">
        <f>INDEX('[4]input data'!$F$1:$F$1108,AA63,1)</f>
        <v>25.4</v>
      </c>
      <c r="AB14" s="11">
        <f>INDEX('[4]input data'!$F$1:$F$1108,AB63,1)</f>
        <v>25.5</v>
      </c>
      <c r="AC14" s="11">
        <f>INDEX('[4]input data'!$F$1:$F$1108,AC63,1)</f>
        <v>25.1</v>
      </c>
      <c r="AD14" s="11">
        <f>INDEX('[4]input data'!$F$1:$F$1108,AD63,1)</f>
        <v>24.7</v>
      </c>
      <c r="AE14" s="11">
        <f>INDEX('[4]input data'!$F$1:$F$1108,AE63,1)</f>
        <v>24.5</v>
      </c>
      <c r="AF14" s="11">
        <f>INDEX('[4]input data'!$F$1:$F$1108,AF63,1)</f>
        <v>24.3</v>
      </c>
      <c r="AG14" s="11">
        <f>INDEX('[4]input data'!$F$1:$F$1108,AG63,1)</f>
        <v>24.2</v>
      </c>
      <c r="AH14" s="12">
        <f t="shared" si="2"/>
        <v>25.5</v>
      </c>
      <c r="AI14" s="13">
        <f t="shared" si="3"/>
        <v>22.6</v>
      </c>
      <c r="AJ14" s="16">
        <f t="shared" si="7"/>
        <v>24.315384615384616</v>
      </c>
      <c r="AM14" s="15">
        <v>6</v>
      </c>
      <c r="AN14" s="11">
        <f>INDEX('[4]input data'!$G$1:$G$1108,AO63,1)</f>
        <v>22.06483851697341</v>
      </c>
      <c r="AO14" s="11">
        <f>INDEX('[4]input data'!$G$1:$G$1108,AP63,1)</f>
        <v>22.552863273036831</v>
      </c>
      <c r="AP14" s="11">
        <f>INDEX('[4]input data'!$G$1:$G$1108,AQ63,1)</f>
        <v>22.051586021703706</v>
      </c>
      <c r="AQ14" s="11">
        <f>INDEX('[4]input data'!$G$1:$G$1108,AR63,1)</f>
        <v>21.939456220143654</v>
      </c>
      <c r="AR14" s="11">
        <f>INDEX('[4]input data'!$G$1:$G$1108,AS63,1)</f>
        <v>21.965723227091431</v>
      </c>
      <c r="AS14" s="11">
        <f>INDEX('[4]input data'!$G$1:$G$1108,AT63,1)</f>
        <v>22.25286027093837</v>
      </c>
      <c r="AT14" s="11">
        <f>INDEX('[4]input data'!$G$1:$G$1108,AU63,1)</f>
        <v>23.303296611588866</v>
      </c>
      <c r="AU14" s="11">
        <f>INDEX('[4]input data'!$G$1:$G$1108,AV63,1)</f>
        <v>23.18544147210784</v>
      </c>
      <c r="AV14" s="11">
        <f>INDEX('[4]input data'!$G$1:$G$1108,AW63,1)</f>
        <v>22.829714824028944</v>
      </c>
      <c r="AW14" s="11">
        <f>INDEX('[4]input data'!$G$1:$G$1108,AX63,1)</f>
        <v>22.572019626566767</v>
      </c>
      <c r="AX14" s="11">
        <f>INDEX('[4]input data'!$G$1:$G$1108,AY63,1)</f>
        <v>22.635899802692006</v>
      </c>
      <c r="AY14" s="11">
        <f>INDEX('[4]input data'!$G$1:$G$1108,AZ63,1)</f>
        <v>22.889828189285673</v>
      </c>
      <c r="AZ14" s="11">
        <f>INDEX('[4]input data'!$G$1:$G$1108,BA63,1)</f>
        <v>23.155200700166329</v>
      </c>
      <c r="BA14" s="12">
        <f t="shared" si="4"/>
        <v>23.303296611588866</v>
      </c>
      <c r="BB14" s="13">
        <f t="shared" si="5"/>
        <v>21.939456220143654</v>
      </c>
      <c r="BC14" s="16">
        <f t="shared" si="8"/>
        <v>22.569132981255681</v>
      </c>
    </row>
    <row r="15" spans="1:57" ht="14.25" customHeight="1" x14ac:dyDescent="0.25">
      <c r="A15" s="15">
        <v>7</v>
      </c>
      <c r="B15" s="11">
        <f>'[4]input data'!E222</f>
        <v>24.6</v>
      </c>
      <c r="C15" s="11">
        <f>'[4]input data'!E223</f>
        <v>25.9</v>
      </c>
      <c r="D15" s="11">
        <f>'[4]input data'!E224</f>
        <v>26.7</v>
      </c>
      <c r="E15" s="11">
        <f>'[4]input data'!E225</f>
        <v>27.7</v>
      </c>
      <c r="F15" s="11">
        <f>'[4]input data'!E226</f>
        <v>28.9</v>
      </c>
      <c r="G15" s="11">
        <f>'[4]input data'!E227</f>
        <v>29.3</v>
      </c>
      <c r="H15" s="11">
        <f>'[4]input data'!E228</f>
        <v>29.1</v>
      </c>
      <c r="I15" s="11">
        <f>'[4]input data'!E229</f>
        <v>29.4</v>
      </c>
      <c r="J15" s="11">
        <f>'[4]input data'!E230</f>
        <v>29.1</v>
      </c>
      <c r="K15" s="11">
        <f>'[4]input data'!E231</f>
        <v>27.6</v>
      </c>
      <c r="L15" s="11">
        <f>'[4]input data'!E232</f>
        <v>27.4</v>
      </c>
      <c r="M15" s="11">
        <f>'[4]input data'!E233</f>
        <v>26.2</v>
      </c>
      <c r="N15" s="11">
        <f>'[4]input data'!E234</f>
        <v>25.8</v>
      </c>
      <c r="O15" s="12">
        <f t="shared" si="0"/>
        <v>29.4</v>
      </c>
      <c r="P15" s="13">
        <f t="shared" si="1"/>
        <v>24.6</v>
      </c>
      <c r="Q15" s="16">
        <f t="shared" si="6"/>
        <v>27.515384615384615</v>
      </c>
      <c r="T15" s="15">
        <v>7</v>
      </c>
      <c r="U15" s="11">
        <f>INDEX('[4]input data'!$F$1:$F$1108,U64,1)</f>
        <v>23.8</v>
      </c>
      <c r="V15" s="11">
        <f>INDEX('[4]input data'!$F$1:$F$1108,V64,1)</f>
        <v>24</v>
      </c>
      <c r="W15" s="11">
        <f>INDEX('[4]input data'!$F$1:$F$1108,W64,1)</f>
        <v>23.9</v>
      </c>
      <c r="X15" s="11">
        <f>INDEX('[4]input data'!$F$1:$F$1108,X64,1)</f>
        <v>24.4</v>
      </c>
      <c r="Y15" s="11">
        <f>INDEX('[4]input data'!$F$1:$F$1108,Y64,1)</f>
        <v>24.6</v>
      </c>
      <c r="Z15" s="11">
        <f>INDEX('[4]input data'!$F$1:$F$1108,Z64,1)</f>
        <v>25.1</v>
      </c>
      <c r="AA15" s="11">
        <f>INDEX('[4]input data'!$F$1:$F$1108,AA64,1)</f>
        <v>24.7</v>
      </c>
      <c r="AB15" s="11">
        <f>INDEX('[4]input data'!$F$1:$F$1108,AB64,1)</f>
        <v>25.2</v>
      </c>
      <c r="AC15" s="11">
        <f>INDEX('[4]input data'!$F$1:$F$1108,AC64,1)</f>
        <v>25.1</v>
      </c>
      <c r="AD15" s="11">
        <f>INDEX('[4]input data'!$F$1:$F$1108,AD64,1)</f>
        <v>23.7</v>
      </c>
      <c r="AE15" s="11">
        <f>INDEX('[4]input data'!$F$1:$F$1108,AE64,1)</f>
        <v>24</v>
      </c>
      <c r="AF15" s="11">
        <f>INDEX('[4]input data'!$F$1:$F$1108,AF64,1)</f>
        <v>24.4</v>
      </c>
      <c r="AG15" s="11">
        <f>INDEX('[4]input data'!$F$1:$F$1108,AG64,1)</f>
        <v>24.6</v>
      </c>
      <c r="AH15" s="12">
        <f t="shared" si="2"/>
        <v>25.2</v>
      </c>
      <c r="AI15" s="13">
        <f t="shared" si="3"/>
        <v>23.7</v>
      </c>
      <c r="AJ15" s="16">
        <f t="shared" si="7"/>
        <v>24.42307692307692</v>
      </c>
      <c r="AM15" s="15">
        <v>7</v>
      </c>
      <c r="AN15" s="11">
        <f>INDEX('[4]input data'!$G$1:$G$1108,AO64,1)</f>
        <v>23.337733422817518</v>
      </c>
      <c r="AO15" s="11">
        <f>INDEX('[4]input data'!$G$1:$G$1108,AP64,1)</f>
        <v>23.037956678897412</v>
      </c>
      <c r="AP15" s="11">
        <f>INDEX('[4]input data'!$G$1:$G$1108,AQ64,1)</f>
        <v>22.508661564398647</v>
      </c>
      <c r="AQ15" s="11">
        <f>INDEX('[4]input data'!$G$1:$G$1108,AR64,1)</f>
        <v>22.810028566949143</v>
      </c>
      <c r="AR15" s="11">
        <f>INDEX('[4]input data'!$G$1:$G$1108,AS64,1)</f>
        <v>22.556161289601096</v>
      </c>
      <c r="AS15" s="11">
        <f>INDEX('[4]input data'!$G$1:$G$1108,AT64,1)</f>
        <v>23.15530014080689</v>
      </c>
      <c r="AT15" s="11">
        <f>INDEX('[4]input data'!$G$1:$G$1108,AU64,1)</f>
        <v>22.619517945782292</v>
      </c>
      <c r="AU15" s="11">
        <f>INDEX('[4]input data'!$G$1:$G$1108,AV64,1)</f>
        <v>23.265416041293889</v>
      </c>
      <c r="AV15" s="11">
        <f>INDEX('[4]input data'!$G$1:$G$1108,AW64,1)</f>
        <v>23.247305659103215</v>
      </c>
      <c r="AW15" s="11">
        <f>INDEX('[4]input data'!$G$1:$G$1108,AX64,1)</f>
        <v>21.755938799836887</v>
      </c>
      <c r="AX15" s="11">
        <f>INDEX('[4]input data'!$G$1:$G$1108,AY64,1)</f>
        <v>22.328850061942795</v>
      </c>
      <c r="AY15" s="11">
        <f>INDEX('[4]input data'!$G$1:$G$1108,AZ64,1)</f>
        <v>23.501662544126386</v>
      </c>
      <c r="AZ15" s="11">
        <f>INDEX('[4]input data'!$G$1:$G$1108,BA64,1)</f>
        <v>23.977017614815619</v>
      </c>
      <c r="BA15" s="12">
        <f t="shared" si="4"/>
        <v>23.977017614815619</v>
      </c>
      <c r="BB15" s="13">
        <f t="shared" si="5"/>
        <v>21.755938799836887</v>
      </c>
      <c r="BC15" s="16">
        <f t="shared" si="8"/>
        <v>22.930888486951673</v>
      </c>
    </row>
    <row r="16" spans="1:57" ht="14.25" customHeight="1" x14ac:dyDescent="0.25">
      <c r="A16" s="15">
        <v>8</v>
      </c>
      <c r="B16" s="11">
        <f>'[4]input data'!E258</f>
        <v>24.6</v>
      </c>
      <c r="C16" s="11">
        <f>'[4]input data'!E259</f>
        <v>26</v>
      </c>
      <c r="D16" s="11">
        <f>'[4]input data'!E260</f>
        <v>27.6</v>
      </c>
      <c r="E16" s="11">
        <f>'[4]input data'!E261</f>
        <v>28.6</v>
      </c>
      <c r="F16" s="11">
        <f>'[4]input data'!E262</f>
        <v>28.6</v>
      </c>
      <c r="G16" s="11">
        <f>'[4]input data'!E263</f>
        <v>29.4</v>
      </c>
      <c r="H16" s="11">
        <f>'[4]input data'!E264</f>
        <v>30</v>
      </c>
      <c r="I16" s="11">
        <f>'[4]input data'!E265</f>
        <v>30.5</v>
      </c>
      <c r="J16" s="11">
        <f>'[4]input data'!E266</f>
        <v>30.1</v>
      </c>
      <c r="K16" s="11">
        <f>'[4]input data'!E267</f>
        <v>28.8</v>
      </c>
      <c r="L16" s="11">
        <f>'[4]input data'!E268</f>
        <v>28.6</v>
      </c>
      <c r="M16" s="11">
        <f>'[4]input data'!E269</f>
        <v>26.6</v>
      </c>
      <c r="N16" s="11">
        <f>'[4]input data'!E270</f>
        <v>26.2</v>
      </c>
      <c r="O16" s="12">
        <f t="shared" si="0"/>
        <v>30.5</v>
      </c>
      <c r="P16" s="13">
        <f t="shared" si="1"/>
        <v>24.6</v>
      </c>
      <c r="Q16" s="16">
        <f t="shared" si="6"/>
        <v>28.123076923076926</v>
      </c>
      <c r="T16" s="15">
        <v>8</v>
      </c>
      <c r="U16" s="11">
        <f>INDEX('[4]input data'!$F$1:$F$1108,U65,1)</f>
        <v>23.2</v>
      </c>
      <c r="V16" s="11">
        <f>INDEX('[4]input data'!$F$1:$F$1108,V65,1)</f>
        <v>24.4</v>
      </c>
      <c r="W16" s="11">
        <f>INDEX('[4]input data'!$F$1:$F$1108,W65,1)</f>
        <v>24.7</v>
      </c>
      <c r="X16" s="11">
        <f>INDEX('[4]input data'!$F$1:$F$1108,X65,1)</f>
        <v>25.1</v>
      </c>
      <c r="Y16" s="11">
        <f>INDEX('[4]input data'!$F$1:$F$1108,Y65,1)</f>
        <v>25</v>
      </c>
      <c r="Z16" s="11">
        <f>INDEX('[4]input data'!$F$1:$F$1108,Z65,1)</f>
        <v>25.2</v>
      </c>
      <c r="AA16" s="11">
        <f>INDEX('[4]input data'!$F$1:$F$1108,AA65,1)</f>
        <v>25.6</v>
      </c>
      <c r="AB16" s="11">
        <f>INDEX('[4]input data'!$F$1:$F$1108,AB65,1)</f>
        <v>25.8</v>
      </c>
      <c r="AC16" s="11">
        <f>INDEX('[4]input data'!$F$1:$F$1108,AC65,1)</f>
        <v>25.5</v>
      </c>
      <c r="AD16" s="11">
        <f>INDEX('[4]input data'!$F$1:$F$1108,AD65,1)</f>
        <v>25</v>
      </c>
      <c r="AE16" s="11">
        <f>INDEX('[4]input data'!$F$1:$F$1108,AE65,1)</f>
        <v>25</v>
      </c>
      <c r="AF16" s="11">
        <f>INDEX('[4]input data'!$F$1:$F$1108,AF65,1)</f>
        <v>24.8</v>
      </c>
      <c r="AG16" s="11">
        <f>INDEX('[4]input data'!$F$1:$F$1108,AG65,1)</f>
        <v>24.8</v>
      </c>
      <c r="AH16" s="12">
        <f t="shared" si="2"/>
        <v>25.8</v>
      </c>
      <c r="AI16" s="13">
        <f t="shared" si="3"/>
        <v>23.2</v>
      </c>
      <c r="AJ16" s="16">
        <f t="shared" si="7"/>
        <v>24.930769230769233</v>
      </c>
      <c r="AM16" s="15">
        <v>8</v>
      </c>
      <c r="AN16" s="11">
        <f>INDEX('[4]input data'!$G$1:$G$1108,AO65,1)</f>
        <v>22.440752283690482</v>
      </c>
      <c r="AO16" s="11">
        <f>INDEX('[4]input data'!$G$1:$G$1108,AP65,1)</f>
        <v>23.592004375769026</v>
      </c>
      <c r="AP16" s="11">
        <f>INDEX('[4]input data'!$G$1:$G$1108,AQ65,1)</f>
        <v>23.318031457511136</v>
      </c>
      <c r="AQ16" s="11">
        <f>INDEX('[4]input data'!$G$1:$G$1108,AR65,1)</f>
        <v>23.475386165272468</v>
      </c>
      <c r="AR16" s="11">
        <f>INDEX('[4]input data'!$G$1:$G$1108,AS65,1)</f>
        <v>23.321392650725961</v>
      </c>
      <c r="AS16" s="11">
        <f>INDEX('[4]input data'!$G$1:$G$1108,AT65,1)</f>
        <v>23.265416041293889</v>
      </c>
      <c r="AT16" s="11">
        <f>INDEX('[4]input data'!$G$1:$G$1108,AU65,1)</f>
        <v>23.615405006377451</v>
      </c>
      <c r="AU16" s="11">
        <f>INDEX('[4]input data'!$G$1:$G$1108,AV65,1)</f>
        <v>23.701992691525966</v>
      </c>
      <c r="AV16" s="11">
        <f>INDEX('[4]input data'!$G$1:$G$1108,AW65,1)</f>
        <v>23.414268349656943</v>
      </c>
      <c r="AW16" s="11">
        <f>INDEX('[4]input data'!$G$1:$G$1108,AX65,1)</f>
        <v>23.229747355809128</v>
      </c>
      <c r="AX16" s="11">
        <f>INDEX('[4]input data'!$G$1:$G$1108,AY65,1)</f>
        <v>23.321392650725961</v>
      </c>
      <c r="AY16" s="11">
        <f>INDEX('[4]input data'!$G$1:$G$1108,AZ65,1)</f>
        <v>23.918598073842094</v>
      </c>
      <c r="AZ16" s="11">
        <f>INDEX('[4]input data'!$G$1:$G$1108,BA65,1)</f>
        <v>24.09497496904363</v>
      </c>
      <c r="BA16" s="12">
        <f t="shared" si="4"/>
        <v>24.09497496904363</v>
      </c>
      <c r="BB16" s="13">
        <f t="shared" si="5"/>
        <v>22.440752283690482</v>
      </c>
      <c r="BC16" s="16">
        <f t="shared" si="8"/>
        <v>23.439181697788008</v>
      </c>
    </row>
    <row r="17" spans="1:55" ht="14.25" customHeight="1" x14ac:dyDescent="0.25">
      <c r="A17" s="15">
        <v>9</v>
      </c>
      <c r="B17" s="11">
        <f>'[4]input data'!E294</f>
        <v>24.7</v>
      </c>
      <c r="C17" s="11">
        <f>'[4]input data'!E295</f>
        <v>25.4</v>
      </c>
      <c r="D17" s="11">
        <f>'[4]input data'!E296</f>
        <v>25.8</v>
      </c>
      <c r="E17" s="11">
        <f>'[4]input data'!E297</f>
        <v>27.3</v>
      </c>
      <c r="F17" s="11">
        <f>'[4]input data'!E298</f>
        <v>28.6</v>
      </c>
      <c r="G17" s="11">
        <f>'[4]input data'!E299</f>
        <v>29</v>
      </c>
      <c r="H17" s="11">
        <f>'[4]input data'!E300</f>
        <v>29.4</v>
      </c>
      <c r="I17" s="11">
        <f>'[4]input data'!E301</f>
        <v>30</v>
      </c>
      <c r="J17" s="11">
        <f>'[4]input data'!E302</f>
        <v>28.9</v>
      </c>
      <c r="K17" s="11">
        <f>'[4]input data'!E303</f>
        <v>27.8</v>
      </c>
      <c r="L17" s="11">
        <f>'[4]input data'!E304</f>
        <v>27.2</v>
      </c>
      <c r="M17" s="11">
        <f>'[4]input data'!E305</f>
        <v>26.8</v>
      </c>
      <c r="N17" s="11">
        <f>'[4]input data'!E306</f>
        <v>25.7</v>
      </c>
      <c r="O17" s="12">
        <f t="shared" si="0"/>
        <v>30</v>
      </c>
      <c r="P17" s="13">
        <f t="shared" si="1"/>
        <v>24.7</v>
      </c>
      <c r="Q17" s="16">
        <f t="shared" si="6"/>
        <v>27.430769230769229</v>
      </c>
      <c r="T17" s="15">
        <v>9</v>
      </c>
      <c r="U17" s="11">
        <f>INDEX('[4]input data'!$F$1:$F$1108,U66,1)</f>
        <v>24.2</v>
      </c>
      <c r="V17" s="11">
        <f>INDEX('[4]input data'!$F$1:$F$1108,V66,1)</f>
        <v>24.8</v>
      </c>
      <c r="W17" s="11">
        <f>INDEX('[4]input data'!$F$1:$F$1108,W66,1)</f>
        <v>24.6</v>
      </c>
      <c r="X17" s="11">
        <f>INDEX('[4]input data'!$F$1:$F$1108,X66,1)</f>
        <v>24.4</v>
      </c>
      <c r="Y17" s="11">
        <f>INDEX('[4]input data'!$F$1:$F$1108,Y66,1)</f>
        <v>25.4</v>
      </c>
      <c r="Z17" s="11">
        <f>INDEX('[4]input data'!$F$1:$F$1108,Z66,1)</f>
        <v>25.8</v>
      </c>
      <c r="AA17" s="11">
        <f>INDEX('[4]input data'!$F$1:$F$1108,AA66,1)</f>
        <v>25.7</v>
      </c>
      <c r="AB17" s="11">
        <f>INDEX('[4]input data'!$F$1:$F$1108,AB66,1)</f>
        <v>26.4</v>
      </c>
      <c r="AC17" s="11">
        <f>INDEX('[4]input data'!$F$1:$F$1108,AC66,1)</f>
        <v>25.5</v>
      </c>
      <c r="AD17" s="11">
        <f>INDEX('[4]input data'!$F$1:$F$1108,AD66,1)</f>
        <v>25.4</v>
      </c>
      <c r="AE17" s="11">
        <f>INDEX('[4]input data'!$F$1:$F$1108,AE66,1)</f>
        <v>24.5</v>
      </c>
      <c r="AF17" s="11">
        <f>INDEX('[4]input data'!$F$1:$F$1108,AF66,1)</f>
        <v>25</v>
      </c>
      <c r="AG17" s="11">
        <f>INDEX('[4]input data'!$F$1:$F$1108,AG66,1)</f>
        <v>24.5</v>
      </c>
      <c r="AH17" s="12">
        <f t="shared" si="2"/>
        <v>26.4</v>
      </c>
      <c r="AI17" s="13">
        <f t="shared" si="3"/>
        <v>24.2</v>
      </c>
      <c r="AJ17" s="16">
        <f t="shared" si="7"/>
        <v>25.092307692307696</v>
      </c>
      <c r="AM17" s="15">
        <v>9</v>
      </c>
      <c r="AN17" s="11">
        <f>INDEX('[4]input data'!$G$1:$G$1108,AO66,1)</f>
        <v>23.879020111077203</v>
      </c>
      <c r="AO17" s="11">
        <f>INDEX('[4]input data'!$G$1:$G$1108,AP66,1)</f>
        <v>24.442917369804558</v>
      </c>
      <c r="AP17" s="11">
        <f>INDEX('[4]input data'!$G$1:$G$1108,AQ66,1)</f>
        <v>23.977017614815619</v>
      </c>
      <c r="AQ17" s="11">
        <f>INDEX('[4]input data'!$G$1:$G$1108,AR66,1)</f>
        <v>22.99694745290844</v>
      </c>
      <c r="AR17" s="11">
        <f>INDEX('[4]input data'!$G$1:$G$1108,AS66,1)</f>
        <v>23.933335820614669</v>
      </c>
      <c r="AS17" s="11">
        <f>INDEX('[4]input data'!$G$1:$G$1108,AT66,1)</f>
        <v>24.362543776675032</v>
      </c>
      <c r="AT17" s="11">
        <f>INDEX('[4]input data'!$G$1:$G$1108,AU66,1)</f>
        <v>24.036427554228787</v>
      </c>
      <c r="AU17" s="11">
        <f>INDEX('[4]input data'!$G$1:$G$1108,AV66,1)</f>
        <v>24.836802408045006</v>
      </c>
      <c r="AV17" s="11">
        <f>INDEX('[4]input data'!$G$1:$G$1108,AW66,1)</f>
        <v>23.9524681757811</v>
      </c>
      <c r="AW17" s="11">
        <f>INDEX('[4]input data'!$G$1:$G$1108,AX66,1)</f>
        <v>24.284221531671822</v>
      </c>
      <c r="AX17" s="11">
        <f>INDEX('[4]input data'!$G$1:$G$1108,AY66,1)</f>
        <v>23.196271327670441</v>
      </c>
      <c r="AY17" s="11">
        <f>INDEX('[4]input data'!$G$1:$G$1108,AZ66,1)</f>
        <v>24.126908752194279</v>
      </c>
      <c r="AZ17" s="11">
        <f>INDEX('[4]input data'!$G$1:$G$1108,BA66,1)</f>
        <v>23.874222865361531</v>
      </c>
      <c r="BA17" s="12">
        <f t="shared" si="4"/>
        <v>24.836802408045006</v>
      </c>
      <c r="BB17" s="13">
        <f t="shared" si="5"/>
        <v>22.99694745290844</v>
      </c>
      <c r="BC17" s="16">
        <f t="shared" si="8"/>
        <v>23.992238827757571</v>
      </c>
    </row>
    <row r="18" spans="1:55" ht="14.25" customHeight="1" x14ac:dyDescent="0.25">
      <c r="A18" s="15">
        <v>10</v>
      </c>
      <c r="B18" s="11">
        <f>'[4]input data'!E330</f>
        <v>23.7</v>
      </c>
      <c r="C18" s="11">
        <f>'[4]input data'!E331</f>
        <v>24.2</v>
      </c>
      <c r="D18" s="11">
        <f>'[4]input data'!E332</f>
        <v>25.9</v>
      </c>
      <c r="E18" s="11">
        <f>'[4]input data'!E333</f>
        <v>27.7</v>
      </c>
      <c r="F18" s="11">
        <f>'[4]input data'!E334</f>
        <v>28.4</v>
      </c>
      <c r="G18" s="11">
        <f>'[4]input data'!E335</f>
        <v>28.4</v>
      </c>
      <c r="H18" s="11">
        <f>'[4]input data'!E336</f>
        <v>28.8</v>
      </c>
      <c r="I18" s="11">
        <f>'[4]input data'!E337</f>
        <v>29.6</v>
      </c>
      <c r="J18" s="11">
        <f>'[4]input data'!E338</f>
        <v>29</v>
      </c>
      <c r="K18" s="11">
        <f>'[4]input data'!E339</f>
        <v>28.4</v>
      </c>
      <c r="L18" s="11">
        <f>'[4]input data'!E340</f>
        <v>27.2</v>
      </c>
      <c r="M18" s="11">
        <f>'[4]input data'!E341</f>
        <v>26.8</v>
      </c>
      <c r="N18" s="11">
        <f>'[4]input data'!E342</f>
        <v>25.4</v>
      </c>
      <c r="O18" s="12">
        <f t="shared" si="0"/>
        <v>29.6</v>
      </c>
      <c r="P18" s="13">
        <f t="shared" si="1"/>
        <v>23.7</v>
      </c>
      <c r="Q18" s="16">
        <f t="shared" si="6"/>
        <v>27.192307692307693</v>
      </c>
      <c r="T18" s="15">
        <v>10</v>
      </c>
      <c r="U18" s="11">
        <f>INDEX('[4]input data'!$F$1:$F$1108,U67,1)</f>
        <v>23.6</v>
      </c>
      <c r="V18" s="11">
        <f>INDEX('[4]input data'!$F$1:$F$1108,V67,1)</f>
        <v>23.8</v>
      </c>
      <c r="W18" s="11">
        <f>INDEX('[4]input data'!$F$1:$F$1108,W67,1)</f>
        <v>24.7</v>
      </c>
      <c r="X18" s="11">
        <f>INDEX('[4]input data'!$F$1:$F$1108,X67,1)</f>
        <v>24.6</v>
      </c>
      <c r="Y18" s="11">
        <f>INDEX('[4]input data'!$F$1:$F$1108,Y67,1)</f>
        <v>25.2</v>
      </c>
      <c r="Z18" s="11">
        <f>INDEX('[4]input data'!$F$1:$F$1108,Z67,1)</f>
        <v>26</v>
      </c>
      <c r="AA18" s="11">
        <f>INDEX('[4]input data'!$F$1:$F$1108,AA67,1)</f>
        <v>25.7</v>
      </c>
      <c r="AB18" s="11">
        <f>INDEX('[4]input data'!$F$1:$F$1108,AB67,1)</f>
        <v>25.6</v>
      </c>
      <c r="AC18" s="11">
        <f>INDEX('[4]input data'!$F$1:$F$1108,AC67,1)</f>
        <v>25.4</v>
      </c>
      <c r="AD18" s="11">
        <f>INDEX('[4]input data'!$F$1:$F$1108,AD67,1)</f>
        <v>25.2</v>
      </c>
      <c r="AE18" s="11">
        <f>INDEX('[4]input data'!$F$1:$F$1108,AE67,1)</f>
        <v>24.8</v>
      </c>
      <c r="AF18" s="11">
        <f>INDEX('[4]input data'!$F$1:$F$1108,AF67,1)</f>
        <v>24.6</v>
      </c>
      <c r="AG18" s="11">
        <f>INDEX('[4]input data'!$F$1:$F$1108,AG67,1)</f>
        <v>24.4</v>
      </c>
      <c r="AH18" s="12">
        <f t="shared" si="2"/>
        <v>26</v>
      </c>
      <c r="AI18" s="13">
        <f t="shared" si="3"/>
        <v>23.6</v>
      </c>
      <c r="AJ18" s="16">
        <f t="shared" si="7"/>
        <v>24.892307692307693</v>
      </c>
      <c r="AM18" s="15">
        <v>10</v>
      </c>
      <c r="AN18" s="11">
        <f>INDEX('[4]input data'!$G$1:$G$1108,AO67,1)</f>
        <v>23.454250399915086</v>
      </c>
      <c r="AO18" s="11">
        <f>INDEX('[4]input data'!$G$1:$G$1108,AP67,1)</f>
        <v>23.519536764728979</v>
      </c>
      <c r="AP18" s="11">
        <f>INDEX('[4]input data'!$G$1:$G$1108,AQ67,1)</f>
        <v>24.079795308325551</v>
      </c>
      <c r="AQ18" s="11">
        <f>INDEX('[4]input data'!$G$1:$G$1108,AR67,1)</f>
        <v>23.118869724019063</v>
      </c>
      <c r="AR18" s="11">
        <f>INDEX('[4]input data'!$G$1:$G$1108,AS67,1)</f>
        <v>23.718447763009451</v>
      </c>
      <c r="AS18" s="11">
        <f>INDEX('[4]input data'!$G$1:$G$1108,AT67,1)</f>
        <v>24.91627434761546</v>
      </c>
      <c r="AT18" s="11">
        <f>INDEX('[4]input data'!$G$1:$G$1108,AU67,1)</f>
        <v>24.298789541961639</v>
      </c>
      <c r="AU18" s="11">
        <f>INDEX('[4]input data'!$G$1:$G$1108,AV67,1)</f>
        <v>23.79460686035754</v>
      </c>
      <c r="AV18" s="11">
        <f>INDEX('[4]input data'!$G$1:$G$1108,AW67,1)</f>
        <v>23.755443039226666</v>
      </c>
      <c r="AW18" s="11">
        <f>INDEX('[4]input data'!$G$1:$G$1108,AX67,1)</f>
        <v>23.718447763009451</v>
      </c>
      <c r="AX18" s="11">
        <f>INDEX('[4]input data'!$G$1:$G$1108,AY67,1)</f>
        <v>23.650934676208223</v>
      </c>
      <c r="AY18" s="11">
        <f>INDEX('[4]input data'!$G$1:$G$1108,AZ67,1)</f>
        <v>23.530193147412959</v>
      </c>
      <c r="AZ18" s="11">
        <f>INDEX('[4]input data'!$G$1:$G$1108,BA67,1)</f>
        <v>23.860484247779919</v>
      </c>
      <c r="BA18" s="12">
        <f t="shared" si="4"/>
        <v>24.91627434761546</v>
      </c>
      <c r="BB18" s="13">
        <f t="shared" si="5"/>
        <v>23.118869724019063</v>
      </c>
      <c r="BC18" s="16">
        <f t="shared" si="8"/>
        <v>23.801236429505384</v>
      </c>
    </row>
    <row r="19" spans="1:55" ht="14.25" customHeight="1" x14ac:dyDescent="0.25">
      <c r="A19" s="15">
        <v>11</v>
      </c>
      <c r="B19" s="11">
        <f>'[4]input data'!E366</f>
        <v>23.8</v>
      </c>
      <c r="C19" s="11">
        <f>'[4]input data'!E367</f>
        <v>24.6</v>
      </c>
      <c r="D19" s="11">
        <f>'[4]input data'!E368</f>
        <v>26.8</v>
      </c>
      <c r="E19" s="11">
        <f>'[4]input data'!E369</f>
        <v>28</v>
      </c>
      <c r="F19" s="11">
        <f>'[4]input data'!E370</f>
        <v>29</v>
      </c>
      <c r="G19" s="11">
        <f>'[4]input data'!E371</f>
        <v>29.7</v>
      </c>
      <c r="H19" s="11">
        <f>'[4]input data'!E372</f>
        <v>30</v>
      </c>
      <c r="I19" s="11">
        <f>'[4]input data'!E373</f>
        <v>30.2</v>
      </c>
      <c r="J19" s="11">
        <f>'[4]input data'!E374</f>
        <v>27.8</v>
      </c>
      <c r="K19" s="11">
        <f>'[4]input data'!E375</f>
        <v>26.8</v>
      </c>
      <c r="L19" s="11">
        <f>'[4]input data'!E376</f>
        <v>24.4</v>
      </c>
      <c r="M19" s="11">
        <f>'[4]input data'!E377</f>
        <v>24.4</v>
      </c>
      <c r="N19" s="11">
        <f>'[4]input data'!E378</f>
        <v>24.4</v>
      </c>
      <c r="O19" s="12">
        <f t="shared" si="0"/>
        <v>30.2</v>
      </c>
      <c r="P19" s="13">
        <f t="shared" si="1"/>
        <v>23.8</v>
      </c>
      <c r="Q19" s="16">
        <f t="shared" si="6"/>
        <v>26.91538461538461</v>
      </c>
      <c r="T19" s="15">
        <v>11</v>
      </c>
      <c r="U19" s="11">
        <f>INDEX('[4]input data'!$F$1:$F$1108,U68,1)</f>
        <v>23.1</v>
      </c>
      <c r="V19" s="11">
        <f>INDEX('[4]input data'!$F$1:$F$1108,V68,1)</f>
        <v>23.6</v>
      </c>
      <c r="W19" s="11">
        <f>INDEX('[4]input data'!$F$1:$F$1108,W68,1)</f>
        <v>24.6</v>
      </c>
      <c r="X19" s="11">
        <f>INDEX('[4]input data'!$F$1:$F$1108,X68,1)</f>
        <v>25</v>
      </c>
      <c r="Y19" s="11">
        <f>INDEX('[4]input data'!$F$1:$F$1108,Y68,1)</f>
        <v>25.3</v>
      </c>
      <c r="Z19" s="11">
        <f>INDEX('[4]input data'!$F$1:$F$1108,Z68,1)</f>
        <v>25.5</v>
      </c>
      <c r="AA19" s="11">
        <f>INDEX('[4]input data'!$F$1:$F$1108,AA68,1)</f>
        <v>25.2</v>
      </c>
      <c r="AB19" s="11">
        <f>INDEX('[4]input data'!$F$1:$F$1108,AB68,1)</f>
        <v>25</v>
      </c>
      <c r="AC19" s="11">
        <f>INDEX('[4]input data'!$F$1:$F$1108,AC68,1)</f>
        <v>24.8</v>
      </c>
      <c r="AD19" s="11">
        <f>INDEX('[4]input data'!$F$1:$F$1108,AD68,1)</f>
        <v>24.6</v>
      </c>
      <c r="AE19" s="11">
        <f>INDEX('[4]input data'!$F$1:$F$1108,AE68,1)</f>
        <v>23.4</v>
      </c>
      <c r="AF19" s="11">
        <f>INDEX('[4]input data'!$F$1:$F$1108,AF68,1)</f>
        <v>23.4</v>
      </c>
      <c r="AG19" s="11">
        <f>INDEX('[4]input data'!$F$1:$F$1108,AG68,1)</f>
        <v>23.4</v>
      </c>
      <c r="AH19" s="12">
        <f t="shared" si="2"/>
        <v>25.5</v>
      </c>
      <c r="AI19" s="13">
        <f t="shared" si="3"/>
        <v>23.1</v>
      </c>
      <c r="AJ19" s="16">
        <f t="shared" si="7"/>
        <v>24.376923076923074</v>
      </c>
      <c r="AM19" s="15">
        <v>11</v>
      </c>
      <c r="AN19" s="11">
        <f>INDEX('[4]input data'!$G$1:$G$1108,AO68,1)</f>
        <v>22.671249090819082</v>
      </c>
      <c r="AO19" s="11">
        <f>INDEX('[4]input data'!$G$1:$G$1108,AP68,1)</f>
        <v>23.041286800704647</v>
      </c>
      <c r="AP19" s="11">
        <f>INDEX('[4]input data'!$G$1:$G$1108,AQ68,1)</f>
        <v>23.530193147412959</v>
      </c>
      <c r="AQ19" s="11">
        <f>INDEX('[4]input data'!$G$1:$G$1108,AR68,1)</f>
        <v>23.593703811444115</v>
      </c>
      <c r="AR19" s="11">
        <f>INDEX('[4]input data'!$G$1:$G$1108,AS68,1)</f>
        <v>23.60202393285725</v>
      </c>
      <c r="AS19" s="11">
        <f>INDEX('[4]input data'!$G$1:$G$1108,AT68,1)</f>
        <v>23.595364975971581</v>
      </c>
      <c r="AT19" s="11">
        <f>INDEX('[4]input data'!$G$1:$G$1108,AU68,1)</f>
        <v>22.988313287442271</v>
      </c>
      <c r="AU19" s="11">
        <f>INDEX('[4]input data'!$G$1:$G$1108,AV68,1)</f>
        <v>22.575500907686056</v>
      </c>
      <c r="AV19" s="11">
        <f>INDEX('[4]input data'!$G$1:$G$1108,AW68,1)</f>
        <v>23.379452040413032</v>
      </c>
      <c r="AW19" s="11">
        <f>INDEX('[4]input data'!$G$1:$G$1108,AX68,1)</f>
        <v>23.530193147412959</v>
      </c>
      <c r="AX19" s="11">
        <f>INDEX('[4]input data'!$G$1:$G$1108,AY68,1)</f>
        <v>22.836338621391949</v>
      </c>
      <c r="AY19" s="11">
        <f>INDEX('[4]input data'!$G$1:$G$1108,AZ68,1)</f>
        <v>22.836338621391949</v>
      </c>
      <c r="AZ19" s="11">
        <f>INDEX('[4]input data'!$G$1:$G$1108,BA68,1)</f>
        <v>22.836338621391949</v>
      </c>
      <c r="BA19" s="12">
        <f t="shared" si="4"/>
        <v>23.60202393285725</v>
      </c>
      <c r="BB19" s="13">
        <f t="shared" si="5"/>
        <v>22.575500907686056</v>
      </c>
      <c r="BC19" s="16">
        <f t="shared" si="8"/>
        <v>23.155099769718451</v>
      </c>
    </row>
    <row r="20" spans="1:55" ht="14.25" customHeight="1" x14ac:dyDescent="0.25">
      <c r="A20" s="15">
        <v>12</v>
      </c>
      <c r="B20" s="11">
        <f>'[4]input data'!E402</f>
        <v>24.6</v>
      </c>
      <c r="C20" s="11">
        <f>'[4]input data'!E403</f>
        <v>25.8</v>
      </c>
      <c r="D20" s="11">
        <f>'[4]input data'!E404</f>
        <v>27.6</v>
      </c>
      <c r="E20" s="11">
        <f>'[4]input data'!E405</f>
        <v>28.7</v>
      </c>
      <c r="F20" s="11">
        <f>'[4]input data'!E406</f>
        <v>29.6</v>
      </c>
      <c r="G20" s="11">
        <f>'[4]input data'!E407</f>
        <v>29.8</v>
      </c>
      <c r="H20" s="11">
        <f>'[4]input data'!E408</f>
        <v>29.8</v>
      </c>
      <c r="I20" s="11">
        <f>'[4]input data'!E409</f>
        <v>29.3</v>
      </c>
      <c r="J20" s="11">
        <f>'[4]input data'!E410</f>
        <v>28.2</v>
      </c>
      <c r="K20" s="11">
        <f>'[4]input data'!E411</f>
        <v>25.1</v>
      </c>
      <c r="L20" s="11">
        <f>'[4]input data'!E412</f>
        <v>24.1</v>
      </c>
      <c r="M20" s="11">
        <f>'[4]input data'!E413</f>
        <v>24.2</v>
      </c>
      <c r="N20" s="11">
        <f>'[4]input data'!E414</f>
        <v>24.3</v>
      </c>
      <c r="O20" s="12">
        <f t="shared" si="0"/>
        <v>29.8</v>
      </c>
      <c r="P20" s="13">
        <f t="shared" si="1"/>
        <v>24.1</v>
      </c>
      <c r="Q20" s="16">
        <f t="shared" si="6"/>
        <v>27.007692307692313</v>
      </c>
      <c r="T20" s="15">
        <v>12</v>
      </c>
      <c r="U20" s="11">
        <f>INDEX('[4]input data'!$F$1:$F$1108,U69,1)</f>
        <v>23.3</v>
      </c>
      <c r="V20" s="11">
        <f>INDEX('[4]input data'!$F$1:$F$1108,V69,1)</f>
        <v>23.8</v>
      </c>
      <c r="W20" s="11">
        <f>INDEX('[4]input data'!$F$1:$F$1108,W69,1)</f>
        <v>25.2</v>
      </c>
      <c r="X20" s="11">
        <f>INDEX('[4]input data'!$F$1:$F$1108,X69,1)</f>
        <v>25.2</v>
      </c>
      <c r="Y20" s="11">
        <f>INDEX('[4]input data'!$F$1:$F$1108,Y69,1)</f>
        <v>25.3</v>
      </c>
      <c r="Z20" s="11">
        <f>INDEX('[4]input data'!$F$1:$F$1108,Z69,1)</f>
        <v>25.8</v>
      </c>
      <c r="AA20" s="11">
        <f>INDEX('[4]input data'!$F$1:$F$1108,AA69,1)</f>
        <v>25.6</v>
      </c>
      <c r="AB20" s="11">
        <f>INDEX('[4]input data'!$F$1:$F$1108,AB69,1)</f>
        <v>25.6</v>
      </c>
      <c r="AC20" s="11">
        <f>INDEX('[4]input data'!$F$1:$F$1108,AC69,1)</f>
        <v>24.8</v>
      </c>
      <c r="AD20" s="11">
        <f>INDEX('[4]input data'!$F$1:$F$1108,AD69,1)</f>
        <v>24.3</v>
      </c>
      <c r="AE20" s="11">
        <f>INDEX('[4]input data'!$F$1:$F$1108,AE69,1)</f>
        <v>23.8</v>
      </c>
      <c r="AF20" s="11">
        <f>INDEX('[4]input data'!$F$1:$F$1108,AF69,1)</f>
        <v>23.9</v>
      </c>
      <c r="AG20" s="11">
        <f>INDEX('[4]input data'!$F$1:$F$1108,AG69,1)</f>
        <v>23.9</v>
      </c>
      <c r="AH20" s="12">
        <f t="shared" si="2"/>
        <v>25.8</v>
      </c>
      <c r="AI20" s="13">
        <f t="shared" si="3"/>
        <v>23.3</v>
      </c>
      <c r="AJ20" s="16">
        <f t="shared" si="7"/>
        <v>24.65384615384615</v>
      </c>
      <c r="AM20" s="15">
        <v>12</v>
      </c>
      <c r="AN20" s="11">
        <f>INDEX('[4]input data'!$G$1:$G$1108,AO69,1)</f>
        <v>22.591865424441583</v>
      </c>
      <c r="AO20" s="11">
        <f>INDEX('[4]input data'!$G$1:$G$1108,AP69,1)</f>
        <v>22.781622980972795</v>
      </c>
      <c r="AP20" s="11">
        <f>INDEX('[4]input data'!$G$1:$G$1108,AQ69,1)</f>
        <v>24.073265773758312</v>
      </c>
      <c r="AQ20" s="11">
        <f>INDEX('[4]input data'!$G$1:$G$1108,AR69,1)</f>
        <v>23.583668381801939</v>
      </c>
      <c r="AR20" s="11">
        <f>INDEX('[4]input data'!$G$1:$G$1108,AS69,1)</f>
        <v>23.329827270776018</v>
      </c>
      <c r="AS20" s="11">
        <f>INDEX('[4]input data'!$G$1:$G$1108,AT69,1)</f>
        <v>24.013096932917858</v>
      </c>
      <c r="AT20" s="11">
        <f>INDEX('[4]input data'!$G$1:$G$1108,AU69,1)</f>
        <v>23.705216804198258</v>
      </c>
      <c r="AU20" s="11">
        <f>INDEX('[4]input data'!$G$1:$G$1108,AV69,1)</f>
        <v>23.927910438437131</v>
      </c>
      <c r="AV20" s="11">
        <f>INDEX('[4]input data'!$G$1:$G$1108,AW69,1)</f>
        <v>23.196283144013933</v>
      </c>
      <c r="AW20" s="11">
        <f>INDEX('[4]input data'!$G$1:$G$1108,AX69,1)</f>
        <v>23.847270187412668</v>
      </c>
      <c r="AX20" s="11">
        <f>INDEX('[4]input data'!$G$1:$G$1108,AY69,1)</f>
        <v>23.564717060684618</v>
      </c>
      <c r="AY20" s="11">
        <f>INDEX('[4]input data'!$G$1:$G$1108,AZ69,1)</f>
        <v>23.665442008743565</v>
      </c>
      <c r="AZ20" s="11">
        <f>INDEX('[4]input data'!$G$1:$G$1108,BA69,1)</f>
        <v>23.620500363098326</v>
      </c>
      <c r="BA20" s="12">
        <f t="shared" si="4"/>
        <v>24.073265773758312</v>
      </c>
      <c r="BB20" s="13">
        <f t="shared" si="5"/>
        <v>22.591865424441583</v>
      </c>
      <c r="BC20" s="16">
        <f t="shared" si="8"/>
        <v>23.530822059327459</v>
      </c>
    </row>
    <row r="21" spans="1:55" ht="14.25" customHeight="1" x14ac:dyDescent="0.25">
      <c r="A21" s="15">
        <v>13</v>
      </c>
      <c r="B21" s="11">
        <f>'[4]input data'!E438</f>
        <v>24.5</v>
      </c>
      <c r="C21" s="11">
        <f>'[4]input data'!E439</f>
        <v>25.8</v>
      </c>
      <c r="D21" s="11">
        <f>'[4]input data'!E440</f>
        <v>28.5</v>
      </c>
      <c r="E21" s="11">
        <f>'[4]input data'!E441</f>
        <v>29.7</v>
      </c>
      <c r="F21" s="11">
        <f>'[4]input data'!E442</f>
        <v>30.7</v>
      </c>
      <c r="G21" s="11">
        <f>'[4]input data'!E443</f>
        <v>31.4</v>
      </c>
      <c r="H21" s="11">
        <f>'[4]input data'!E444</f>
        <v>31.9</v>
      </c>
      <c r="I21" s="11">
        <f>'[4]input data'!E445</f>
        <v>32.200000000000003</v>
      </c>
      <c r="J21" s="11">
        <f>'[4]input data'!E446</f>
        <v>31.6</v>
      </c>
      <c r="K21" s="11">
        <f>'[4]input data'!E447</f>
        <v>27.2</v>
      </c>
      <c r="L21" s="11">
        <f>'[4]input data'!E448</f>
        <v>26</v>
      </c>
      <c r="M21" s="11">
        <f>'[4]input data'!E449</f>
        <v>25.2</v>
      </c>
      <c r="N21" s="11">
        <f>'[4]input data'!E450</f>
        <v>24.9</v>
      </c>
      <c r="O21" s="12">
        <f t="shared" si="0"/>
        <v>32.200000000000003</v>
      </c>
      <c r="P21" s="13">
        <f t="shared" si="1"/>
        <v>24.5</v>
      </c>
      <c r="Q21" s="16">
        <f t="shared" si="6"/>
        <v>28.430769230769229</v>
      </c>
      <c r="T21" s="15">
        <v>13</v>
      </c>
      <c r="U21" s="11">
        <f>INDEX('[4]input data'!$F$1:$F$1108,U70,1)</f>
        <v>23.6</v>
      </c>
      <c r="V21" s="11">
        <f>INDEX('[4]input data'!$F$1:$F$1108,V70,1)</f>
        <v>24.1</v>
      </c>
      <c r="W21" s="11">
        <f>INDEX('[4]input data'!$F$1:$F$1108,W70,1)</f>
        <v>25.8</v>
      </c>
      <c r="X21" s="11">
        <f>INDEX('[4]input data'!$F$1:$F$1108,X70,1)</f>
        <v>26</v>
      </c>
      <c r="Y21" s="11">
        <f>INDEX('[4]input data'!$F$1:$F$1108,Y70,1)</f>
        <v>25.6</v>
      </c>
      <c r="Z21" s="11">
        <f>INDEX('[4]input data'!$F$1:$F$1108,Z70,1)</f>
        <v>26.4</v>
      </c>
      <c r="AA21" s="11">
        <f>INDEX('[4]input data'!$F$1:$F$1108,AA70,1)</f>
        <v>26.1</v>
      </c>
      <c r="AB21" s="11">
        <f>INDEX('[4]input data'!$F$1:$F$1108,AB70,1)</f>
        <v>26.2</v>
      </c>
      <c r="AC21" s="11">
        <f>INDEX('[4]input data'!$F$1:$F$1108,AC70,1)</f>
        <v>26.1</v>
      </c>
      <c r="AD21" s="11">
        <f>INDEX('[4]input data'!$F$1:$F$1108,AD70,1)</f>
        <v>23.9</v>
      </c>
      <c r="AE21" s="11">
        <f>INDEX('[4]input data'!$F$1:$F$1108,AE70,1)</f>
        <v>23.7</v>
      </c>
      <c r="AF21" s="11">
        <f>INDEX('[4]input data'!$F$1:$F$1108,AF70,1)</f>
        <v>24.4</v>
      </c>
      <c r="AG21" s="11">
        <f>INDEX('[4]input data'!$F$1:$F$1108,AG70,1)</f>
        <v>24.2</v>
      </c>
      <c r="AH21" s="12">
        <f t="shared" si="2"/>
        <v>26.4</v>
      </c>
      <c r="AI21" s="13">
        <f t="shared" si="3"/>
        <v>23.6</v>
      </c>
      <c r="AJ21" s="16">
        <f t="shared" si="7"/>
        <v>25.084615384615383</v>
      </c>
      <c r="AM21" s="15">
        <v>13</v>
      </c>
      <c r="AN21" s="11">
        <f>INDEX('[4]input data'!$G$1:$G$1108,AO70,1)</f>
        <v>23.087618446210271</v>
      </c>
      <c r="AO21" s="11">
        <f>INDEX('[4]input data'!$G$1:$G$1108,AP70,1)</f>
        <v>23.234654421351522</v>
      </c>
      <c r="AP21" s="11">
        <f>INDEX('[4]input data'!$G$1:$G$1108,AQ70,1)</f>
        <v>24.577750330162949</v>
      </c>
      <c r="AQ21" s="11">
        <f>INDEX('[4]input data'!$G$1:$G$1108,AR70,1)</f>
        <v>24.361649825750867</v>
      </c>
      <c r="AR21" s="11">
        <f>INDEX('[4]input data'!$G$1:$G$1108,AS70,1)</f>
        <v>23.297679692494892</v>
      </c>
      <c r="AS21" s="11">
        <f>INDEX('[4]input data'!$G$1:$G$1108,AT70,1)</f>
        <v>24.236301083473421</v>
      </c>
      <c r="AT21" s="11">
        <f>INDEX('[4]input data'!$G$1:$G$1108,AU70,1)</f>
        <v>23.543968486931728</v>
      </c>
      <c r="AU21" s="11">
        <f>INDEX('[4]input data'!$G$1:$G$1108,AV70,1)</f>
        <v>23.567529900946834</v>
      </c>
      <c r="AV21" s="11">
        <f>INDEX('[4]input data'!$G$1:$G$1108,AW70,1)</f>
        <v>23.67903675334853</v>
      </c>
      <c r="AW21" s="11">
        <f>INDEX('[4]input data'!$G$1:$G$1108,AX70,1)</f>
        <v>22.268559142983406</v>
      </c>
      <c r="AX21" s="11">
        <f>INDEX('[4]input data'!$G$1:$G$1108,AY70,1)</f>
        <v>22.534223773870774</v>
      </c>
      <c r="AY21" s="11">
        <f>INDEX('[4]input data'!$G$1:$G$1108,AZ70,1)</f>
        <v>23.949143190637258</v>
      </c>
      <c r="AZ21" s="11">
        <f>INDEX('[4]input data'!$G$1:$G$1108,BA70,1)</f>
        <v>23.790034841842033</v>
      </c>
      <c r="BA21" s="12">
        <f t="shared" si="4"/>
        <v>24.577750330162949</v>
      </c>
      <c r="BB21" s="13">
        <f t="shared" si="5"/>
        <v>22.268559142983406</v>
      </c>
      <c r="BC21" s="16">
        <f t="shared" si="8"/>
        <v>23.548319222308034</v>
      </c>
    </row>
    <row r="22" spans="1:55" ht="14.25" customHeight="1" x14ac:dyDescent="0.25">
      <c r="A22" s="15">
        <v>14</v>
      </c>
      <c r="B22" s="11">
        <f>'[4]input data'!E474</f>
        <v>24.9</v>
      </c>
      <c r="C22" s="11">
        <f>'[4]input data'!E475</f>
        <v>26.3</v>
      </c>
      <c r="D22" s="11">
        <f>'[4]input data'!E476</f>
        <v>28.6</v>
      </c>
      <c r="E22" s="11">
        <f>'[4]input data'!E477</f>
        <v>29.9</v>
      </c>
      <c r="F22" s="11">
        <f>'[4]input data'!E478</f>
        <v>30.5</v>
      </c>
      <c r="G22" s="11">
        <f>'[4]input data'!E479</f>
        <v>30.7</v>
      </c>
      <c r="H22" s="11">
        <f>'[4]input data'!E480</f>
        <v>31.1</v>
      </c>
      <c r="I22" s="11">
        <f>'[4]input data'!E481</f>
        <v>30.4</v>
      </c>
      <c r="J22" s="11">
        <f>'[4]input data'!E482</f>
        <v>29.6</v>
      </c>
      <c r="K22" s="11">
        <f>'[4]input data'!E483</f>
        <v>27.2</v>
      </c>
      <c r="L22" s="11">
        <f>'[4]input data'!E484</f>
        <v>26</v>
      </c>
      <c r="M22" s="11">
        <f>'[4]input data'!E485</f>
        <v>25.3</v>
      </c>
      <c r="N22" s="11">
        <f>'[4]input data'!E486</f>
        <v>25</v>
      </c>
      <c r="O22" s="12">
        <f t="shared" si="0"/>
        <v>31.1</v>
      </c>
      <c r="P22" s="13">
        <f t="shared" si="1"/>
        <v>24.9</v>
      </c>
      <c r="Q22" s="16">
        <f t="shared" si="6"/>
        <v>28.115384615384617</v>
      </c>
      <c r="T22" s="15">
        <v>14</v>
      </c>
      <c r="U22" s="11">
        <f>INDEX('[4]input data'!$F$1:$F$1108,U71,1)</f>
        <v>24.1</v>
      </c>
      <c r="V22" s="11">
        <f>INDEX('[4]input data'!$F$1:$F$1108,V71,1)</f>
        <v>25</v>
      </c>
      <c r="W22" s="11">
        <f>INDEX('[4]input data'!$F$1:$F$1108,W71,1)</f>
        <v>25.6</v>
      </c>
      <c r="X22" s="11">
        <f>INDEX('[4]input data'!$F$1:$F$1108,X71,1)</f>
        <v>25.7</v>
      </c>
      <c r="Y22" s="11">
        <f>INDEX('[4]input data'!$F$1:$F$1108,Y71,1)</f>
        <v>25.8</v>
      </c>
      <c r="Z22" s="11">
        <f>INDEX('[4]input data'!$F$1:$F$1108,Z71,1)</f>
        <v>25.8</v>
      </c>
      <c r="AA22" s="11">
        <f>INDEX('[4]input data'!$F$1:$F$1108,AA71,1)</f>
        <v>25.9</v>
      </c>
      <c r="AB22" s="11">
        <f>INDEX('[4]input data'!$F$1:$F$1108,AB71,1)</f>
        <v>25.8</v>
      </c>
      <c r="AC22" s="11">
        <f>INDEX('[4]input data'!$F$1:$F$1108,AC71,1)</f>
        <v>25.4</v>
      </c>
      <c r="AD22" s="11">
        <f>INDEX('[4]input data'!$F$1:$F$1108,AD71,1)</f>
        <v>24.8</v>
      </c>
      <c r="AE22" s="11">
        <f>INDEX('[4]input data'!$F$1:$F$1108,AE71,1)</f>
        <v>24.6</v>
      </c>
      <c r="AF22" s="11">
        <f>INDEX('[4]input data'!$F$1:$F$1108,AF71,1)</f>
        <v>24.2</v>
      </c>
      <c r="AG22" s="11">
        <f>INDEX('[4]input data'!$F$1:$F$1108,AG71,1)</f>
        <v>24</v>
      </c>
      <c r="AH22" s="12">
        <f t="shared" si="2"/>
        <v>25.9</v>
      </c>
      <c r="AI22" s="13">
        <f t="shared" si="3"/>
        <v>24</v>
      </c>
      <c r="AJ22" s="16">
        <f t="shared" si="7"/>
        <v>25.130769230769236</v>
      </c>
      <c r="AM22" s="15">
        <v>14</v>
      </c>
      <c r="AN22" s="11">
        <f>INDEX('[4]input data'!$G$1:$G$1108,AO71,1)</f>
        <v>23.643490076594119</v>
      </c>
      <c r="AO22" s="11">
        <f>INDEX('[4]input data'!$G$1:$G$1108,AP71,1)</f>
        <v>24.344754353874922</v>
      </c>
      <c r="AP22" s="11">
        <f>INDEX('[4]input data'!$G$1:$G$1108,AQ71,1)</f>
        <v>24.235377202799327</v>
      </c>
      <c r="AQ22" s="11">
        <f>INDEX('[4]input data'!$G$1:$G$1108,AR71,1)</f>
        <v>23.815003930608807</v>
      </c>
      <c r="AR22" s="11">
        <f>INDEX('[4]input data'!$G$1:$G$1108,AS71,1)</f>
        <v>23.701992691525966</v>
      </c>
      <c r="AS22" s="11">
        <f>INDEX('[4]input data'!$G$1:$G$1108,AT71,1)</f>
        <v>23.612164397600498</v>
      </c>
      <c r="AT22" s="11">
        <f>INDEX('[4]input data'!$G$1:$G$1108,AU71,1)</f>
        <v>23.588880760079434</v>
      </c>
      <c r="AU22" s="11">
        <f>INDEX('[4]input data'!$G$1:$G$1108,AV71,1)</f>
        <v>23.746748358606883</v>
      </c>
      <c r="AV22" s="11">
        <f>INDEX('[4]input data'!$G$1:$G$1108,AW71,1)</f>
        <v>23.485447924589423</v>
      </c>
      <c r="AW22" s="11">
        <f>INDEX('[4]input data'!$G$1:$G$1108,AX71,1)</f>
        <v>23.650934676208223</v>
      </c>
      <c r="AX22" s="11">
        <f>INDEX('[4]input data'!$G$1:$G$1108,AY71,1)</f>
        <v>23.88848726151063</v>
      </c>
      <c r="AY22" s="11">
        <f>INDEX('[4]input data'!$G$1:$G$1108,AZ71,1)</f>
        <v>23.610807037277734</v>
      </c>
      <c r="AZ22" s="11">
        <f>INDEX('[4]input data'!$G$1:$G$1108,BA71,1)</f>
        <v>23.451002870250118</v>
      </c>
      <c r="BA22" s="12">
        <f t="shared" si="4"/>
        <v>24.344754353874922</v>
      </c>
      <c r="BB22" s="13">
        <f t="shared" si="5"/>
        <v>23.451002870250118</v>
      </c>
      <c r="BC22" s="16">
        <f t="shared" si="8"/>
        <v>23.751930118578933</v>
      </c>
    </row>
    <row r="23" spans="1:55" ht="14.25" customHeight="1" x14ac:dyDescent="0.25">
      <c r="A23" s="15">
        <v>15</v>
      </c>
      <c r="B23" s="11">
        <f>'[4]input data'!E510</f>
        <v>24.2</v>
      </c>
      <c r="C23" s="11">
        <f>'[4]input data'!E511</f>
        <v>24.4</v>
      </c>
      <c r="D23" s="11">
        <f>'[4]input data'!E512</f>
        <v>24.4</v>
      </c>
      <c r="E23" s="11">
        <f>'[4]input data'!E513</f>
        <v>23.8</v>
      </c>
      <c r="F23" s="11">
        <f>'[4]input data'!E514</f>
        <v>24.8</v>
      </c>
      <c r="G23" s="11">
        <f>'[4]input data'!E515</f>
        <v>26.4</v>
      </c>
      <c r="H23" s="11">
        <f>'[4]input data'!E516</f>
        <v>26.6</v>
      </c>
      <c r="I23" s="11">
        <f>'[4]input data'!E517</f>
        <v>26.6</v>
      </c>
      <c r="J23" s="11">
        <f>'[4]input data'!E518</f>
        <v>26.8</v>
      </c>
      <c r="K23" s="11">
        <f>'[4]input data'!E519</f>
        <v>26.9</v>
      </c>
      <c r="L23" s="11">
        <f>'[4]input data'!E520</f>
        <v>26.4</v>
      </c>
      <c r="M23" s="11">
        <f>'[4]input data'!E521</f>
        <v>25.4</v>
      </c>
      <c r="N23" s="11">
        <f>'[4]input data'!E522</f>
        <v>25</v>
      </c>
      <c r="O23" s="12">
        <f t="shared" si="0"/>
        <v>26.9</v>
      </c>
      <c r="P23" s="13">
        <f t="shared" si="1"/>
        <v>23.8</v>
      </c>
      <c r="Q23" s="16">
        <f t="shared" si="6"/>
        <v>25.515384615384615</v>
      </c>
      <c r="T23" s="15">
        <v>15</v>
      </c>
      <c r="U23" s="11">
        <f>INDEX('[4]input data'!$F$1:$F$1108,U72,1)</f>
        <v>24</v>
      </c>
      <c r="V23" s="11">
        <f>INDEX('[4]input data'!$F$1:$F$1108,V72,1)</f>
        <v>24</v>
      </c>
      <c r="W23" s="11">
        <f>INDEX('[4]input data'!$F$1:$F$1108,W72,1)</f>
        <v>23.8</v>
      </c>
      <c r="X23" s="11">
        <f>INDEX('[4]input data'!$F$1:$F$1108,X72,1)</f>
        <v>23.6</v>
      </c>
      <c r="Y23" s="11">
        <f>INDEX('[4]input data'!$F$1:$F$1108,Y72,1)</f>
        <v>23.9</v>
      </c>
      <c r="Z23" s="11">
        <f>INDEX('[4]input data'!$F$1:$F$1108,Z72,1)</f>
        <v>24</v>
      </c>
      <c r="AA23" s="11">
        <f>INDEX('[4]input data'!$F$1:$F$1108,AA72,1)</f>
        <v>24</v>
      </c>
      <c r="AB23" s="11">
        <f>INDEX('[4]input data'!$F$1:$F$1108,AB72,1)</f>
        <v>23.7</v>
      </c>
      <c r="AC23" s="11">
        <f>INDEX('[4]input data'!$F$1:$F$1108,AC72,1)</f>
        <v>24</v>
      </c>
      <c r="AD23" s="11">
        <f>INDEX('[4]input data'!$F$1:$F$1108,AD72,1)</f>
        <v>23.8</v>
      </c>
      <c r="AE23" s="11">
        <f>INDEX('[4]input data'!$F$1:$F$1108,AE72,1)</f>
        <v>24.6</v>
      </c>
      <c r="AF23" s="11">
        <f>INDEX('[4]input data'!$F$1:$F$1108,AF72,1)</f>
        <v>24.2</v>
      </c>
      <c r="AG23" s="11">
        <f>INDEX('[4]input data'!$F$1:$F$1108,AG72,1)</f>
        <v>24</v>
      </c>
      <c r="AH23" s="12">
        <f t="shared" si="2"/>
        <v>24.6</v>
      </c>
      <c r="AI23" s="13">
        <f t="shared" si="3"/>
        <v>23.6</v>
      </c>
      <c r="AJ23" s="16">
        <f t="shared" si="7"/>
        <v>23.969230769230769</v>
      </c>
      <c r="AM23" s="15">
        <v>15</v>
      </c>
      <c r="AN23" s="11">
        <f>INDEX('[4]input data'!$G$1:$G$1108,AO72,1)</f>
        <v>23.810762540290746</v>
      </c>
      <c r="AO23" s="11">
        <f>INDEX('[4]input data'!$G$1:$G$1108,AP72,1)</f>
        <v>23.721458312857198</v>
      </c>
      <c r="AP23" s="11">
        <f>INDEX('[4]input data'!$G$1:$G$1108,AQ72,1)</f>
        <v>23.42885263958334</v>
      </c>
      <c r="AQ23" s="11">
        <f>INDEX('[4]input data'!$G$1:$G$1108,AR72,1)</f>
        <v>23.408806959403272</v>
      </c>
      <c r="AR23" s="11">
        <f>INDEX('[4]input data'!$G$1:$G$1108,AS72,1)</f>
        <v>23.394184634767267</v>
      </c>
      <c r="AS23" s="11">
        <f>INDEX('[4]input data'!$G$1:$G$1108,AT72,1)</f>
        <v>22.804533908537021</v>
      </c>
      <c r="AT23" s="11">
        <f>INDEX('[4]input data'!$G$1:$G$1108,AU72,1)</f>
        <v>22.710351727825326</v>
      </c>
      <c r="AU23" s="11">
        <f>INDEX('[4]input data'!$G$1:$G$1108,AV72,1)</f>
        <v>22.246129222167593</v>
      </c>
      <c r="AV23" s="11">
        <f>INDEX('[4]input data'!$G$1:$G$1108,AW72,1)</f>
        <v>22.615697420007322</v>
      </c>
      <c r="AW23" s="11">
        <f>INDEX('[4]input data'!$G$1:$G$1108,AX72,1)</f>
        <v>22.257064518435996</v>
      </c>
      <c r="AX23" s="11">
        <f>INDEX('[4]input data'!$G$1:$G$1108,AY72,1)</f>
        <v>23.710183186275557</v>
      </c>
      <c r="AY23" s="11">
        <f>INDEX('[4]input data'!$G$1:$G$1108,AZ72,1)</f>
        <v>23.565735043217593</v>
      </c>
      <c r="AZ23" s="11">
        <f>INDEX('[4]input data'!$G$1:$G$1108,BA72,1)</f>
        <v>23.451002870250118</v>
      </c>
      <c r="BA23" s="12">
        <f t="shared" si="4"/>
        <v>23.810762540290746</v>
      </c>
      <c r="BB23" s="13">
        <f t="shared" si="5"/>
        <v>22.246129222167593</v>
      </c>
      <c r="BC23" s="16">
        <f t="shared" si="8"/>
        <v>23.163443306432182</v>
      </c>
    </row>
    <row r="24" spans="1:55" ht="14.25" customHeight="1" x14ac:dyDescent="0.25">
      <c r="A24" s="15">
        <v>16</v>
      </c>
      <c r="B24" s="11">
        <f>'[4]input data'!E546</f>
        <v>23.7</v>
      </c>
      <c r="C24" s="11">
        <f>'[4]input data'!E547</f>
        <v>25.8</v>
      </c>
      <c r="D24" s="11">
        <f>'[4]input data'!E548</f>
        <v>27.5</v>
      </c>
      <c r="E24" s="11">
        <f>'[4]input data'!E549</f>
        <v>28.7</v>
      </c>
      <c r="F24" s="11">
        <f>'[4]input data'!E550</f>
        <v>29.5</v>
      </c>
      <c r="G24" s="11">
        <f>'[4]input data'!E551</f>
        <v>30.5</v>
      </c>
      <c r="H24" s="11">
        <f>'[4]input data'!E552</f>
        <v>30.4</v>
      </c>
      <c r="I24" s="11">
        <f>'[4]input data'!E553</f>
        <v>29.6</v>
      </c>
      <c r="J24" s="11">
        <f>'[4]input data'!E554</f>
        <v>29.4</v>
      </c>
      <c r="K24" s="11">
        <f>'[4]input data'!E555</f>
        <v>23.4</v>
      </c>
      <c r="L24" s="11">
        <f>'[4]input data'!E556</f>
        <v>23.6</v>
      </c>
      <c r="M24" s="11">
        <f>'[4]input data'!E557</f>
        <v>23.6</v>
      </c>
      <c r="N24" s="11">
        <f>'[4]input data'!E558</f>
        <v>23.6</v>
      </c>
      <c r="O24" s="12">
        <f t="shared" si="0"/>
        <v>30.5</v>
      </c>
      <c r="P24" s="13">
        <f t="shared" si="1"/>
        <v>23.4</v>
      </c>
      <c r="Q24" s="16">
        <f t="shared" si="6"/>
        <v>26.869230769230775</v>
      </c>
      <c r="T24" s="15">
        <v>16</v>
      </c>
      <c r="U24" s="11">
        <f>INDEX('[4]input data'!$F$1:$F$1108,U73,1)</f>
        <v>23</v>
      </c>
      <c r="V24" s="11">
        <f>INDEX('[4]input data'!$F$1:$F$1108,V73,1)</f>
        <v>23.8</v>
      </c>
      <c r="W24" s="11">
        <f>INDEX('[4]input data'!$F$1:$F$1108,W73,1)</f>
        <v>24.5</v>
      </c>
      <c r="X24" s="11">
        <f>INDEX('[4]input data'!$F$1:$F$1108,X73,1)</f>
        <v>25</v>
      </c>
      <c r="Y24" s="11">
        <f>INDEX('[4]input data'!$F$1:$F$1108,Y73,1)</f>
        <v>25.4</v>
      </c>
      <c r="Z24" s="11">
        <f>INDEX('[4]input data'!$F$1:$F$1108,Z73,1)</f>
        <v>25.8</v>
      </c>
      <c r="AA24" s="11">
        <f>INDEX('[4]input data'!$F$1:$F$1108,AA73,1)</f>
        <v>26.3</v>
      </c>
      <c r="AB24" s="11">
        <f>INDEX('[4]input data'!$F$1:$F$1108,AB73,1)</f>
        <v>26.2</v>
      </c>
      <c r="AC24" s="11">
        <f>INDEX('[4]input data'!$F$1:$F$1108,AC73,1)</f>
        <v>26.1</v>
      </c>
      <c r="AD24" s="11">
        <f>INDEX('[4]input data'!$F$1:$F$1108,AD73,1)</f>
        <v>22.8</v>
      </c>
      <c r="AE24" s="11">
        <f>INDEX('[4]input data'!$F$1:$F$1108,AE73,1)</f>
        <v>22.8</v>
      </c>
      <c r="AF24" s="11">
        <f>INDEX('[4]input data'!$F$1:$F$1108,AF73,1)</f>
        <v>22.8</v>
      </c>
      <c r="AG24" s="11">
        <f>INDEX('[4]input data'!$F$1:$F$1108,AG73,1)</f>
        <v>22.8</v>
      </c>
      <c r="AH24" s="12">
        <f t="shared" si="2"/>
        <v>26.3</v>
      </c>
      <c r="AI24" s="13">
        <f t="shared" si="3"/>
        <v>22.8</v>
      </c>
      <c r="AJ24" s="16">
        <f t="shared" si="7"/>
        <v>24.407692307692308</v>
      </c>
      <c r="AM24" s="15">
        <v>16</v>
      </c>
      <c r="AN24" s="11">
        <f>INDEX('[4]input data'!$G$1:$G$1108,AO73,1)</f>
        <v>22.56947837237583</v>
      </c>
      <c r="AO24" s="11">
        <f>INDEX('[4]input data'!$G$1:$G$1108,AP73,1)</f>
        <v>22.781622980972795</v>
      </c>
      <c r="AP24" s="11">
        <f>INDEX('[4]input data'!$G$1:$G$1108,AQ73,1)</f>
        <v>23.057726613627626</v>
      </c>
      <c r="AQ24" s="11">
        <f>INDEX('[4]input data'!$G$1:$G$1108,AR73,1)</f>
        <v>23.275625347336408</v>
      </c>
      <c r="AR24" s="11">
        <f>INDEX('[4]input data'!$G$1:$G$1108,AS73,1)</f>
        <v>23.530714132417096</v>
      </c>
      <c r="AS24" s="11">
        <f>INDEX('[4]input data'!$G$1:$G$1108,AT73,1)</f>
        <v>23.701992691525966</v>
      </c>
      <c r="AT24" s="11">
        <f>INDEX('[4]input data'!$G$1:$G$1108,AU73,1)</f>
        <v>24.515386240018543</v>
      </c>
      <c r="AU24" s="11">
        <f>INDEX('[4]input data'!$G$1:$G$1108,AV73,1)</f>
        <v>24.706168921549796</v>
      </c>
      <c r="AV24" s="11">
        <f>INDEX('[4]input data'!$G$1:$G$1108,AW73,1)</f>
        <v>24.641351628929243</v>
      </c>
      <c r="AW24" s="11">
        <f>INDEX('[4]input data'!$G$1:$G$1108,AX73,1)</f>
        <v>22.413918494565792</v>
      </c>
      <c r="AX24" s="11">
        <f>INDEX('[4]input data'!$G$1:$G$1108,AY73,1)</f>
        <v>22.317767571519479</v>
      </c>
      <c r="AY24" s="11">
        <f>INDEX('[4]input data'!$G$1:$G$1108,AZ73,1)</f>
        <v>22.317767571519479</v>
      </c>
      <c r="AZ24" s="11">
        <f>INDEX('[4]input data'!$G$1:$G$1108,BA73,1)</f>
        <v>22.317767571519479</v>
      </c>
      <c r="BA24" s="12">
        <f t="shared" si="4"/>
        <v>24.706168921549796</v>
      </c>
      <c r="BB24" s="13">
        <f t="shared" si="5"/>
        <v>22.317767571519479</v>
      </c>
      <c r="BC24" s="16">
        <f t="shared" si="8"/>
        <v>23.242099087529041</v>
      </c>
    </row>
    <row r="25" spans="1:55" ht="14.25" customHeight="1" x14ac:dyDescent="0.25">
      <c r="A25" s="15">
        <v>17</v>
      </c>
      <c r="B25" s="11">
        <f>'[4]input data'!E582</f>
        <v>24</v>
      </c>
      <c r="C25" s="11">
        <f>'[4]input data'!E583</f>
        <v>26</v>
      </c>
      <c r="D25" s="11">
        <f>'[4]input data'!E584</f>
        <v>28</v>
      </c>
      <c r="E25" s="11">
        <f>'[4]input data'!E585</f>
        <v>29.3</v>
      </c>
      <c r="F25" s="11">
        <f>'[4]input data'!E586</f>
        <v>30</v>
      </c>
      <c r="G25" s="11">
        <f>'[4]input data'!E587</f>
        <v>30.3</v>
      </c>
      <c r="H25" s="11">
        <f>'[4]input data'!E588</f>
        <v>30.5</v>
      </c>
      <c r="I25" s="11">
        <f>'[4]input data'!E589</f>
        <v>32</v>
      </c>
      <c r="J25" s="11">
        <f>'[4]input data'!E590</f>
        <v>31.9</v>
      </c>
      <c r="K25" s="11">
        <f>'[4]input data'!E591</f>
        <v>31.2</v>
      </c>
      <c r="L25" s="11">
        <f>'[4]input data'!E592</f>
        <v>30</v>
      </c>
      <c r="M25" s="11">
        <f>'[4]input data'!E593</f>
        <v>28.6</v>
      </c>
      <c r="N25" s="11">
        <f>'[4]input data'!E594</f>
        <v>27.4</v>
      </c>
      <c r="O25" s="12">
        <f t="shared" si="0"/>
        <v>32</v>
      </c>
      <c r="P25" s="13">
        <f t="shared" si="1"/>
        <v>24</v>
      </c>
      <c r="Q25" s="16">
        <f t="shared" si="6"/>
        <v>29.169230769230769</v>
      </c>
      <c r="T25" s="15">
        <v>17</v>
      </c>
      <c r="U25" s="11">
        <f>INDEX('[4]input data'!$F$1:$F$1108,U74,1)</f>
        <v>23</v>
      </c>
      <c r="V25" s="11">
        <f>INDEX('[4]input data'!$F$1:$F$1108,V74,1)</f>
        <v>23.9</v>
      </c>
      <c r="W25" s="11">
        <f>INDEX('[4]input data'!$F$1:$F$1108,W74,1)</f>
        <v>25.1</v>
      </c>
      <c r="X25" s="11">
        <f>INDEX('[4]input data'!$F$1:$F$1108,X74,1)</f>
        <v>25.3</v>
      </c>
      <c r="Y25" s="11">
        <f>INDEX('[4]input data'!$F$1:$F$1108,Y74,1)</f>
        <v>25.8</v>
      </c>
      <c r="Z25" s="11">
        <f>INDEX('[4]input data'!$F$1:$F$1108,Z74,1)</f>
        <v>26.3</v>
      </c>
      <c r="AA25" s="11">
        <f>INDEX('[4]input data'!$F$1:$F$1108,AA74,1)</f>
        <v>26.9</v>
      </c>
      <c r="AB25" s="11">
        <f>INDEX('[4]input data'!$F$1:$F$1108,AB74,1)</f>
        <v>26.8</v>
      </c>
      <c r="AC25" s="11">
        <f>INDEX('[4]input data'!$F$1:$F$1108,AC74,1)</f>
        <v>27.4</v>
      </c>
      <c r="AD25" s="11">
        <f>INDEX('[4]input data'!$F$1:$F$1108,AD74,1)</f>
        <v>27.4</v>
      </c>
      <c r="AE25" s="11">
        <f>INDEX('[4]input data'!$F$1:$F$1108,AE74,1)</f>
        <v>26.8</v>
      </c>
      <c r="AF25" s="11">
        <f>INDEX('[4]input data'!$F$1:$F$1108,AF74,1)</f>
        <v>26.2</v>
      </c>
      <c r="AG25" s="11">
        <f>INDEX('[4]input data'!$F$1:$F$1108,AG74,1)</f>
        <v>25.8</v>
      </c>
      <c r="AH25" s="12">
        <f t="shared" si="2"/>
        <v>27.4</v>
      </c>
      <c r="AI25" s="13">
        <f t="shared" si="3"/>
        <v>23</v>
      </c>
      <c r="AJ25" s="16">
        <f t="shared" si="7"/>
        <v>25.900000000000002</v>
      </c>
      <c r="AM25" s="15">
        <v>17</v>
      </c>
      <c r="AN25" s="11">
        <f>INDEX('[4]input data'!$G$1:$G$1108,AO74,1)</f>
        <v>22.426257580226199</v>
      </c>
      <c r="AO25" s="11">
        <f>INDEX('[4]input data'!$G$1:$G$1108,AP74,1)</f>
        <v>22.839750014846285</v>
      </c>
      <c r="AP25" s="11">
        <f>INDEX('[4]input data'!$G$1:$G$1108,AQ74,1)</f>
        <v>23.745517608194067</v>
      </c>
      <c r="AQ25" s="11">
        <f>INDEX('[4]input data'!$G$1:$G$1108,AR74,1)</f>
        <v>23.466413061032977</v>
      </c>
      <c r="AR25" s="11">
        <f>INDEX('[4]input data'!$G$1:$G$1108,AS74,1)</f>
        <v>23.924726871474732</v>
      </c>
      <c r="AS25" s="11">
        <f>INDEX('[4]input data'!$G$1:$G$1108,AT74,1)</f>
        <v>24.558279729496785</v>
      </c>
      <c r="AT25" s="11">
        <f>INDEX('[4]input data'!$G$1:$G$1108,AU74,1)</f>
        <v>25.375561272846806</v>
      </c>
      <c r="AU25" s="11">
        <f>INDEX('[4]input data'!$G$1:$G$1108,AV74,1)</f>
        <v>24.595592251657958</v>
      </c>
      <c r="AV25" s="11">
        <f>INDEX('[4]input data'!$G$1:$G$1108,AW74,1)</f>
        <v>25.550262329032996</v>
      </c>
      <c r="AW25" s="11">
        <f>INDEX('[4]input data'!$G$1:$G$1108,AX74,1)</f>
        <v>25.833058292922001</v>
      </c>
      <c r="AX25" s="11">
        <f>INDEX('[4]input data'!$G$1:$G$1108,AY74,1)</f>
        <v>25.432381669400549</v>
      </c>
      <c r="AY25" s="11">
        <f>INDEX('[4]input data'!$G$1:$G$1108,AZ74,1)</f>
        <v>25.126693789475187</v>
      </c>
      <c r="AZ25" s="11">
        <f>INDEX('[4]input data'!$G$1:$G$1108,BA74,1)</f>
        <v>25.042874125091561</v>
      </c>
      <c r="BA25" s="12">
        <f t="shared" si="4"/>
        <v>25.833058292922001</v>
      </c>
      <c r="BB25" s="13">
        <f t="shared" si="5"/>
        <v>22.426257580226199</v>
      </c>
      <c r="BC25" s="16">
        <f t="shared" si="8"/>
        <v>24.455182199669085</v>
      </c>
    </row>
    <row r="26" spans="1:55" ht="14.25" customHeight="1" x14ac:dyDescent="0.25">
      <c r="A26" s="15">
        <v>18</v>
      </c>
      <c r="B26" s="11">
        <f>'[4]input data'!E618</f>
        <v>26.2</v>
      </c>
      <c r="C26" s="11">
        <f>'[4]input data'!E619</f>
        <v>27.8</v>
      </c>
      <c r="D26" s="11">
        <f>'[4]input data'!E620</f>
        <v>29</v>
      </c>
      <c r="E26" s="11">
        <f>'[4]input data'!E621</f>
        <v>30</v>
      </c>
      <c r="F26" s="11">
        <f>'[4]input data'!E622</f>
        <v>30.1</v>
      </c>
      <c r="G26" s="11">
        <f>'[4]input data'!E623</f>
        <v>30.2</v>
      </c>
      <c r="H26" s="11">
        <f>'[4]input data'!E624</f>
        <v>28.2</v>
      </c>
      <c r="I26" s="11">
        <f>'[4]input data'!E625</f>
        <v>28.6</v>
      </c>
      <c r="J26" s="11">
        <f>'[4]input data'!E626</f>
        <v>25.3</v>
      </c>
      <c r="K26" s="11">
        <f>'[4]input data'!E627</f>
        <v>25.5</v>
      </c>
      <c r="L26" s="11">
        <f>'[4]input data'!E628</f>
        <v>26.2</v>
      </c>
      <c r="M26" s="11">
        <f>'[4]input data'!E629</f>
        <v>26.2</v>
      </c>
      <c r="N26" s="11">
        <f>'[4]input data'!E630</f>
        <v>26.3</v>
      </c>
      <c r="O26" s="12">
        <f t="shared" si="0"/>
        <v>30.2</v>
      </c>
      <c r="P26" s="13">
        <f t="shared" si="1"/>
        <v>25.3</v>
      </c>
      <c r="Q26" s="16">
        <f t="shared" si="6"/>
        <v>27.661538461538459</v>
      </c>
      <c r="T26" s="15">
        <v>18</v>
      </c>
      <c r="U26" s="11">
        <f>INDEX('[4]input data'!$F$1:$F$1108,U75,1)</f>
        <v>24.7</v>
      </c>
      <c r="V26" s="11">
        <f>INDEX('[4]input data'!$F$1:$F$1108,V75,1)</f>
        <v>25</v>
      </c>
      <c r="W26" s="11">
        <f>INDEX('[4]input data'!$F$1:$F$1108,W75,1)</f>
        <v>25.3</v>
      </c>
      <c r="X26" s="11">
        <f>INDEX('[4]input data'!$F$1:$F$1108,X75,1)</f>
        <v>26</v>
      </c>
      <c r="Y26" s="11">
        <f>INDEX('[4]input data'!$F$1:$F$1108,Y75,1)</f>
        <v>26.6</v>
      </c>
      <c r="Z26" s="11">
        <f>INDEX('[4]input data'!$F$1:$F$1108,Z75,1)</f>
        <v>26.8</v>
      </c>
      <c r="AA26" s="11">
        <f>INDEX('[4]input data'!$F$1:$F$1108,AA75,1)</f>
        <v>26.5</v>
      </c>
      <c r="AB26" s="11">
        <f>INDEX('[4]input data'!$F$1:$F$1108,AB75,1)</f>
        <v>26.6</v>
      </c>
      <c r="AC26" s="11">
        <f>INDEX('[4]input data'!$F$1:$F$1108,AC75,1)</f>
        <v>24.2</v>
      </c>
      <c r="AD26" s="11">
        <f>INDEX('[4]input data'!$F$1:$F$1108,AD75,1)</f>
        <v>24.2</v>
      </c>
      <c r="AE26" s="11">
        <f>INDEX('[4]input data'!$F$1:$F$1108,AE75,1)</f>
        <v>25</v>
      </c>
      <c r="AF26" s="11">
        <f>INDEX('[4]input data'!$F$1:$F$1108,AF75,1)</f>
        <v>25</v>
      </c>
      <c r="AG26" s="11">
        <f>INDEX('[4]input data'!$F$1:$F$1108,AG75,1)</f>
        <v>25.3</v>
      </c>
      <c r="AH26" s="12">
        <f t="shared" si="2"/>
        <v>26.8</v>
      </c>
      <c r="AI26" s="13">
        <f t="shared" si="3"/>
        <v>24.2</v>
      </c>
      <c r="AJ26" s="16">
        <f t="shared" si="7"/>
        <v>25.476923076923075</v>
      </c>
      <c r="AM26" s="15">
        <v>18</v>
      </c>
      <c r="AN26" s="11">
        <f>INDEX('[4]input data'!$G$1:$G$1108,AO75,1)</f>
        <v>23.947561150294405</v>
      </c>
      <c r="AO26" s="11">
        <f>INDEX('[4]input data'!$G$1:$G$1108,AP75,1)</f>
        <v>23.683614162726549</v>
      </c>
      <c r="AP26" s="11">
        <f>INDEX('[4]input data'!$G$1:$G$1108,AQ75,1)</f>
        <v>23.60202393285725</v>
      </c>
      <c r="AQ26" s="11">
        <f>INDEX('[4]input data'!$G$1:$G$1108,AR75,1)</f>
        <v>24.231346865433</v>
      </c>
      <c r="AR26" s="11">
        <f>INDEX('[4]input data'!$G$1:$G$1108,AS75,1)</f>
        <v>25.094167733701742</v>
      </c>
      <c r="AS26" s="11">
        <f>INDEX('[4]input data'!$G$1:$G$1108,AT75,1)</f>
        <v>25.350320273695747</v>
      </c>
      <c r="AT26" s="11">
        <f>INDEX('[4]input data'!$G$1:$G$1108,AU75,1)</f>
        <v>25.726432888475905</v>
      </c>
      <c r="AU26" s="11">
        <f>INDEX('[4]input data'!$G$1:$G$1108,AV75,1)</f>
        <v>25.709266684195939</v>
      </c>
      <c r="AV26" s="11">
        <f>INDEX('[4]input data'!$G$1:$G$1108,AW75,1)</f>
        <v>23.610807037277734</v>
      </c>
      <c r="AW26" s="11">
        <f>INDEX('[4]input data'!$G$1:$G$1108,AX75,1)</f>
        <v>23.520555948119188</v>
      </c>
      <c r="AX26" s="11">
        <f>INDEX('[4]input data'!$G$1:$G$1108,AY75,1)</f>
        <v>24.388027271235554</v>
      </c>
      <c r="AY26" s="11">
        <f>INDEX('[4]input data'!$G$1:$G$1108,AZ75,1)</f>
        <v>24.388027271235554</v>
      </c>
      <c r="AZ26" s="11">
        <f>INDEX('[4]input data'!$G$1:$G$1108,BA75,1)</f>
        <v>24.780993312524082</v>
      </c>
      <c r="BA26" s="12">
        <f t="shared" si="4"/>
        <v>25.726432888475905</v>
      </c>
      <c r="BB26" s="13">
        <f t="shared" si="5"/>
        <v>23.520555948119188</v>
      </c>
      <c r="BC26" s="16">
        <f t="shared" si="8"/>
        <v>24.464088040905587</v>
      </c>
    </row>
    <row r="27" spans="1:55" ht="14.25" customHeight="1" x14ac:dyDescent="0.25">
      <c r="A27" s="15">
        <v>19</v>
      </c>
      <c r="B27" s="11">
        <f>'[4]input data'!E654</f>
        <v>25.4</v>
      </c>
      <c r="C27" s="11">
        <f>'[4]input data'!E655</f>
        <v>26.6</v>
      </c>
      <c r="D27" s="11">
        <f>'[4]input data'!E656</f>
        <v>28.6</v>
      </c>
      <c r="E27" s="11">
        <f>'[4]input data'!E657</f>
        <v>29.2</v>
      </c>
      <c r="F27" s="11">
        <f>'[4]input data'!E658</f>
        <v>29.6</v>
      </c>
      <c r="G27" s="11">
        <f>'[4]input data'!E659</f>
        <v>29.8</v>
      </c>
      <c r="H27" s="11">
        <f>'[4]input data'!E660</f>
        <v>29.6</v>
      </c>
      <c r="I27" s="11">
        <f>'[4]input data'!E661</f>
        <v>30.1</v>
      </c>
      <c r="J27" s="11">
        <f>'[4]input data'!E662</f>
        <v>29.5</v>
      </c>
      <c r="K27" s="11">
        <f>'[4]input data'!E663</f>
        <v>28.8</v>
      </c>
      <c r="L27" s="11">
        <f>'[4]input data'!E664</f>
        <v>28.1</v>
      </c>
      <c r="M27" s="11">
        <f>'[4]input data'!E665</f>
        <v>27.2</v>
      </c>
      <c r="N27" s="11">
        <f>'[4]input data'!E666</f>
        <v>26.5</v>
      </c>
      <c r="O27" s="12">
        <f t="shared" si="0"/>
        <v>30.1</v>
      </c>
      <c r="P27" s="13">
        <f t="shared" si="1"/>
        <v>25.4</v>
      </c>
      <c r="Q27" s="16">
        <f t="shared" si="6"/>
        <v>28.384615384615383</v>
      </c>
      <c r="T27" s="15">
        <v>19</v>
      </c>
      <c r="U27" s="11">
        <f>INDEX('[4]input data'!$F$1:$F$1108,U76,1)</f>
        <v>24.4</v>
      </c>
      <c r="V27" s="11">
        <f>INDEX('[4]input data'!$F$1:$F$1108,V76,1)</f>
        <v>25.4</v>
      </c>
      <c r="W27" s="11">
        <f>INDEX('[4]input data'!$F$1:$F$1108,W76,1)</f>
        <v>25.6</v>
      </c>
      <c r="X27" s="11">
        <f>INDEX('[4]input data'!$F$1:$F$1108,X76,1)</f>
        <v>26.6</v>
      </c>
      <c r="Y27" s="11">
        <f>INDEX('[4]input data'!$F$1:$F$1108,Y76,1)</f>
        <v>26</v>
      </c>
      <c r="Z27" s="11">
        <f>INDEX('[4]input data'!$F$1:$F$1108,Z76,1)</f>
        <v>25.8</v>
      </c>
      <c r="AA27" s="11">
        <f>INDEX('[4]input data'!$F$1:$F$1108,AA76,1)</f>
        <v>25.6</v>
      </c>
      <c r="AB27" s="11">
        <f>INDEX('[4]input data'!$F$1:$F$1108,AB76,1)</f>
        <v>26.1</v>
      </c>
      <c r="AC27" s="11">
        <f>INDEX('[4]input data'!$F$1:$F$1108,AC76,1)</f>
        <v>25.7</v>
      </c>
      <c r="AD27" s="11">
        <f>INDEX('[4]input data'!$F$1:$F$1108,AD76,1)</f>
        <v>25.3</v>
      </c>
      <c r="AE27" s="11">
        <f>INDEX('[4]input data'!$F$1:$F$1108,AE76,1)</f>
        <v>25</v>
      </c>
      <c r="AF27" s="11">
        <f>INDEX('[4]input data'!$F$1:$F$1108,AF76,1)</f>
        <v>24.7</v>
      </c>
      <c r="AG27" s="11">
        <f>INDEX('[4]input data'!$F$1:$F$1108,AG76,1)</f>
        <v>24.6</v>
      </c>
      <c r="AH27" s="12">
        <f t="shared" si="2"/>
        <v>26.6</v>
      </c>
      <c r="AI27" s="13">
        <f t="shared" si="3"/>
        <v>24.4</v>
      </c>
      <c r="AJ27" s="16">
        <f t="shared" si="7"/>
        <v>25.446153846153848</v>
      </c>
      <c r="AM27" s="15">
        <v>19</v>
      </c>
      <c r="AN27" s="11">
        <f>INDEX('[4]input data'!$G$1:$G$1108,AO76,1)</f>
        <v>23.860484247779919</v>
      </c>
      <c r="AO27" s="11">
        <f>INDEX('[4]input data'!$G$1:$G$1108,AP76,1)</f>
        <v>24.798771745606889</v>
      </c>
      <c r="AP27" s="11">
        <f>INDEX('[4]input data'!$G$1:$G$1108,AQ76,1)</f>
        <v>24.235377202799327</v>
      </c>
      <c r="AQ27" s="11">
        <f>INDEX('[4]input data'!$G$1:$G$1108,AR76,1)</f>
        <v>25.465574323631699</v>
      </c>
      <c r="AR27" s="11">
        <f>INDEX('[4]input data'!$G$1:$G$1108,AS76,1)</f>
        <v>24.404887683239696</v>
      </c>
      <c r="AS27" s="11">
        <f>INDEX('[4]input data'!$G$1:$G$1108,AT76,1)</f>
        <v>24.013096932917858</v>
      </c>
      <c r="AT27" s="11">
        <f>INDEX('[4]input data'!$G$1:$G$1108,AU76,1)</f>
        <v>23.79460686035754</v>
      </c>
      <c r="AU27" s="11">
        <f>INDEX('[4]input data'!$G$1:$G$1108,AV76,1)</f>
        <v>24.340382960192674</v>
      </c>
      <c r="AV27" s="11">
        <f>INDEX('[4]input data'!$G$1:$G$1108,AW76,1)</f>
        <v>23.992347993601047</v>
      </c>
      <c r="AW27" s="11">
        <f>INDEX('[4]input data'!$G$1:$G$1108,AX76,1)</f>
        <v>23.691896911833854</v>
      </c>
      <c r="AX27" s="11">
        <f>INDEX('[4]input data'!$G$1:$G$1108,AY76,1)</f>
        <v>23.548588754237745</v>
      </c>
      <c r="AY27" s="11">
        <f>INDEX('[4]input data'!$G$1:$G$1108,AZ76,1)</f>
        <v>23.500033572610199</v>
      </c>
      <c r="AZ27" s="11">
        <f>INDEX('[4]input data'!$G$1:$G$1108,BA76,1)</f>
        <v>23.665345072616162</v>
      </c>
      <c r="BA27" s="12">
        <f t="shared" si="4"/>
        <v>25.465574323631699</v>
      </c>
      <c r="BB27" s="13">
        <f t="shared" si="5"/>
        <v>23.500033572610199</v>
      </c>
      <c r="BC27" s="16">
        <f t="shared" si="8"/>
        <v>24.100876481648047</v>
      </c>
    </row>
    <row r="28" spans="1:55" ht="14.25" customHeight="1" x14ac:dyDescent="0.25">
      <c r="A28" s="15">
        <v>20</v>
      </c>
      <c r="B28" s="11">
        <f>'[4]input data'!E690</f>
        <v>24.8</v>
      </c>
      <c r="C28" s="11">
        <f>'[4]input data'!E691</f>
        <v>26.6</v>
      </c>
      <c r="D28" s="11">
        <f>'[4]input data'!E692</f>
        <v>27.9</v>
      </c>
      <c r="E28" s="11">
        <f>'[4]input data'!E693</f>
        <v>29</v>
      </c>
      <c r="F28" s="11">
        <f>'[4]input data'!E694</f>
        <v>29.9</v>
      </c>
      <c r="G28" s="11">
        <f>'[4]input data'!E695</f>
        <v>30.4</v>
      </c>
      <c r="H28" s="11">
        <f>'[4]input data'!E696</f>
        <v>31.2</v>
      </c>
      <c r="I28" s="11">
        <f>'[4]input data'!E697</f>
        <v>30</v>
      </c>
      <c r="J28" s="11">
        <f>'[4]input data'!E698</f>
        <v>29</v>
      </c>
      <c r="K28" s="11">
        <f>'[4]input data'!E699</f>
        <v>28.4</v>
      </c>
      <c r="L28" s="11">
        <f>'[4]input data'!E700</f>
        <v>27.8</v>
      </c>
      <c r="M28" s="11">
        <f>'[4]input data'!E701</f>
        <v>27</v>
      </c>
      <c r="N28" s="11">
        <f>'[4]input data'!E702</f>
        <v>26.4</v>
      </c>
      <c r="O28" s="12">
        <f t="shared" si="0"/>
        <v>31.2</v>
      </c>
      <c r="P28" s="13">
        <f t="shared" si="1"/>
        <v>24.8</v>
      </c>
      <c r="Q28" s="16">
        <f t="shared" si="6"/>
        <v>28.338461538461537</v>
      </c>
      <c r="T28" s="15">
        <v>20</v>
      </c>
      <c r="U28" s="11">
        <f>INDEX('[4]input data'!$F$1:$F$1108,U77,1)</f>
        <v>23</v>
      </c>
      <c r="V28" s="11">
        <f>INDEX('[4]input data'!$F$1:$F$1108,V77,1)</f>
        <v>23.8</v>
      </c>
      <c r="W28" s="11">
        <f>INDEX('[4]input data'!$F$1:$F$1108,W77,1)</f>
        <v>24.2</v>
      </c>
      <c r="X28" s="11">
        <f>INDEX('[4]input data'!$F$1:$F$1108,X77,1)</f>
        <v>25</v>
      </c>
      <c r="Y28" s="11">
        <f>INDEX('[4]input data'!$F$1:$F$1108,Y77,1)</f>
        <v>25.4</v>
      </c>
      <c r="Z28" s="11">
        <f>INDEX('[4]input data'!$F$1:$F$1108,Z77,1)</f>
        <v>25.3</v>
      </c>
      <c r="AA28" s="11">
        <f>INDEX('[4]input data'!$F$1:$F$1108,AA77,1)</f>
        <v>25.8</v>
      </c>
      <c r="AB28" s="11">
        <f>INDEX('[4]input data'!$F$1:$F$1108,AB77,1)</f>
        <v>25.2</v>
      </c>
      <c r="AC28" s="11">
        <f>INDEX('[4]input data'!$F$1:$F$1108,AC77,1)</f>
        <v>25</v>
      </c>
      <c r="AD28" s="11">
        <f>INDEX('[4]input data'!$F$1:$F$1108,AD77,1)</f>
        <v>24.6</v>
      </c>
      <c r="AE28" s="11">
        <f>INDEX('[4]input data'!$F$1:$F$1108,AE77,1)</f>
        <v>24.2</v>
      </c>
      <c r="AF28" s="11">
        <f>INDEX('[4]input data'!$F$1:$F$1108,AF77,1)</f>
        <v>24</v>
      </c>
      <c r="AG28" s="11">
        <f>INDEX('[4]input data'!$F$1:$F$1108,AG77,1)</f>
        <v>23.8</v>
      </c>
      <c r="AH28" s="12">
        <f t="shared" si="2"/>
        <v>25.8</v>
      </c>
      <c r="AI28" s="13">
        <f t="shared" si="3"/>
        <v>23</v>
      </c>
      <c r="AJ28" s="16">
        <f t="shared" si="7"/>
        <v>24.561538461538461</v>
      </c>
      <c r="AM28" s="15">
        <v>20</v>
      </c>
      <c r="AN28" s="11">
        <f>INDEX('[4]input data'!$G$1:$G$1108,AO77,1)</f>
        <v>22.038921395720571</v>
      </c>
      <c r="AO28" s="11">
        <f>INDEX('[4]input data'!$G$1:$G$1108,AP77,1)</f>
        <v>22.401579926224102</v>
      </c>
      <c r="AP28" s="11">
        <f>INDEX('[4]input data'!$G$1:$G$1108,AQ77,1)</f>
        <v>22.402630915606249</v>
      </c>
      <c r="AQ28" s="11">
        <f>INDEX('[4]input data'!$G$1:$G$1108,AR77,1)</f>
        <v>23.13765699199967</v>
      </c>
      <c r="AR28" s="11">
        <f>INDEX('[4]input data'!$G$1:$G$1108,AS77,1)</f>
        <v>23.348998535378588</v>
      </c>
      <c r="AS28" s="11">
        <f>INDEX('[4]input data'!$G$1:$G$1108,AT77,1)</f>
        <v>22.960715346435535</v>
      </c>
      <c r="AT28" s="11">
        <f>INDEX('[4]input data'!$G$1:$G$1108,AU77,1)</f>
        <v>23.385719390969253</v>
      </c>
      <c r="AU28" s="11">
        <f>INDEX('[4]input data'!$G$1:$G$1108,AV77,1)</f>
        <v>22.988313287442271</v>
      </c>
      <c r="AV28" s="11">
        <f>INDEX('[4]input data'!$G$1:$G$1108,AW77,1)</f>
        <v>23.13765699199967</v>
      </c>
      <c r="AW28" s="11">
        <f>INDEX('[4]input data'!$G$1:$G$1108,AX77,1)</f>
        <v>22.792662448856582</v>
      </c>
      <c r="AX28" s="11">
        <f>INDEX('[4]input data'!$G$1:$G$1108,AY77,1)</f>
        <v>22.450555846127838</v>
      </c>
      <c r="AY28" s="11">
        <f>INDEX('[4]input data'!$G$1:$G$1108,AZ77,1)</f>
        <v>22.520565860984291</v>
      </c>
      <c r="AZ28" s="11">
        <f>INDEX('[4]input data'!$G$1:$G$1108,BA77,1)</f>
        <v>22.497311086300893</v>
      </c>
      <c r="BA28" s="12">
        <f t="shared" si="4"/>
        <v>23.385719390969253</v>
      </c>
      <c r="BB28" s="13">
        <f t="shared" si="5"/>
        <v>22.038921395720571</v>
      </c>
      <c r="BC28" s="16">
        <f t="shared" si="8"/>
        <v>22.774099078772736</v>
      </c>
    </row>
    <row r="29" spans="1:55" ht="14.25" customHeight="1" x14ac:dyDescent="0.25">
      <c r="A29" s="15">
        <v>21</v>
      </c>
      <c r="B29" s="11">
        <f>'[4]input data'!E726</f>
        <v>25</v>
      </c>
      <c r="C29" s="11">
        <f>'[4]input data'!E727</f>
        <v>27</v>
      </c>
      <c r="D29" s="11">
        <f>'[4]input data'!E728</f>
        <v>28</v>
      </c>
      <c r="E29" s="11">
        <f>'[4]input data'!E729</f>
        <v>29.3</v>
      </c>
      <c r="F29" s="11">
        <f>'[4]input data'!E730</f>
        <v>30.2</v>
      </c>
      <c r="G29" s="11">
        <f>'[4]input data'!E731</f>
        <v>30.2</v>
      </c>
      <c r="H29" s="11">
        <f>'[4]input data'!E732</f>
        <v>30.3</v>
      </c>
      <c r="I29" s="11">
        <f>'[4]input data'!E733</f>
        <v>28.7</v>
      </c>
      <c r="J29" s="11">
        <f>'[4]input data'!E734</f>
        <v>26.8</v>
      </c>
      <c r="K29" s="11">
        <f>'[4]input data'!E735</f>
        <v>25.7</v>
      </c>
      <c r="L29" s="11">
        <f>'[4]input data'!E736</f>
        <v>25.3</v>
      </c>
      <c r="M29" s="11">
        <f>'[4]input data'!E737</f>
        <v>24.9</v>
      </c>
      <c r="N29" s="11">
        <f>'[4]input data'!E738</f>
        <v>24.7</v>
      </c>
      <c r="O29" s="12">
        <f t="shared" si="0"/>
        <v>30.3</v>
      </c>
      <c r="P29" s="13">
        <f t="shared" si="1"/>
        <v>24.7</v>
      </c>
      <c r="Q29" s="16">
        <f t="shared" si="6"/>
        <v>27.392307692307689</v>
      </c>
      <c r="T29" s="15">
        <v>21</v>
      </c>
      <c r="U29" s="11">
        <f>INDEX('[4]input data'!$F$1:$F$1108,U78,1)</f>
        <v>24.1</v>
      </c>
      <c r="V29" s="11">
        <f>INDEX('[4]input data'!$F$1:$F$1108,V78,1)</f>
        <v>24.9</v>
      </c>
      <c r="W29" s="11">
        <f>INDEX('[4]input data'!$F$1:$F$1108,W78,1)</f>
        <v>25.7</v>
      </c>
      <c r="X29" s="11">
        <f>INDEX('[4]input data'!$F$1:$F$1108,X78,1)</f>
        <v>25.1</v>
      </c>
      <c r="Y29" s="11">
        <f>INDEX('[4]input data'!$F$1:$F$1108,Y78,1)</f>
        <v>25.4</v>
      </c>
      <c r="Z29" s="11">
        <f>INDEX('[4]input data'!$F$1:$F$1108,Z78,1)</f>
        <v>25.7</v>
      </c>
      <c r="AA29" s="11">
        <f>INDEX('[4]input data'!$F$1:$F$1108,AA78,1)</f>
        <v>25.6</v>
      </c>
      <c r="AB29" s="11">
        <f>INDEX('[4]input data'!$F$1:$F$1108,AB78,1)</f>
        <v>25.2</v>
      </c>
      <c r="AC29" s="11">
        <f>INDEX('[4]input data'!$F$1:$F$1108,AC78,1)</f>
        <v>24.6</v>
      </c>
      <c r="AD29" s="11">
        <f>INDEX('[4]input data'!$F$1:$F$1108,AD78,1)</f>
        <v>24.1</v>
      </c>
      <c r="AE29" s="11">
        <f>INDEX('[4]input data'!$F$1:$F$1108,AE78,1)</f>
        <v>24.2</v>
      </c>
      <c r="AF29" s="11">
        <f>INDEX('[4]input data'!$F$1:$F$1108,AF78,1)</f>
        <v>24.2</v>
      </c>
      <c r="AG29" s="11">
        <f>INDEX('[4]input data'!$F$1:$F$1108,AG78,1)</f>
        <v>23.9</v>
      </c>
      <c r="AH29" s="12">
        <f t="shared" si="2"/>
        <v>25.7</v>
      </c>
      <c r="AI29" s="13">
        <f t="shared" si="3"/>
        <v>23.9</v>
      </c>
      <c r="AJ29" s="16">
        <f t="shared" si="7"/>
        <v>24.823076923076918</v>
      </c>
      <c r="AM29" s="15">
        <v>21</v>
      </c>
      <c r="AN29" s="11">
        <f>INDEX('[4]input data'!$G$1:$G$1108,AO78,1)</f>
        <v>23.598495867136165</v>
      </c>
      <c r="AO29" s="11">
        <f>INDEX('[4]input data'!$G$1:$G$1108,AP78,1)</f>
        <v>23.890133080418831</v>
      </c>
      <c r="AP29" s="11">
        <f>INDEX('[4]input data'!$G$1:$G$1108,AQ78,1)</f>
        <v>24.643100813782382</v>
      </c>
      <c r="AQ29" s="11">
        <f>INDEX('[4]input data'!$G$1:$G$1108,AR78,1)</f>
        <v>23.15530014080689</v>
      </c>
      <c r="AR29" s="11">
        <f>INDEX('[4]input data'!$G$1:$G$1108,AS78,1)</f>
        <v>23.211561155971527</v>
      </c>
      <c r="AS29" s="11">
        <f>INDEX('[4]input data'!$G$1:$G$1108,AT78,1)</f>
        <v>23.680904262603566</v>
      </c>
      <c r="AT29" s="11">
        <f>INDEX('[4]input data'!$G$1:$G$1108,AU78,1)</f>
        <v>23.479887102847229</v>
      </c>
      <c r="AU29" s="11">
        <f>INDEX('[4]input data'!$G$1:$G$1108,AV78,1)</f>
        <v>23.583668381801939</v>
      </c>
      <c r="AV29" s="11">
        <f>INDEX('[4]input data'!$G$1:$G$1108,AW78,1)</f>
        <v>23.530193147412959</v>
      </c>
      <c r="AW29" s="11">
        <f>INDEX('[4]input data'!$G$1:$G$1108,AX78,1)</f>
        <v>23.280517800633735</v>
      </c>
      <c r="AX29" s="11">
        <f>INDEX('[4]input data'!$G$1:$G$1108,AY78,1)</f>
        <v>23.610807037277734</v>
      </c>
      <c r="AY29" s="11">
        <f>INDEX('[4]input data'!$G$1:$G$1108,AZ78,1)</f>
        <v>23.790034841842033</v>
      </c>
      <c r="AZ29" s="11">
        <f>INDEX('[4]input data'!$G$1:$G$1108,BA78,1)</f>
        <v>23.439663949209095</v>
      </c>
      <c r="BA29" s="12">
        <f t="shared" si="4"/>
        <v>24.643100813782382</v>
      </c>
      <c r="BB29" s="13">
        <f t="shared" si="5"/>
        <v>23.15530014080689</v>
      </c>
      <c r="BC29" s="16">
        <f t="shared" si="8"/>
        <v>23.60725135244185</v>
      </c>
    </row>
    <row r="30" spans="1:55" ht="14.25" customHeight="1" x14ac:dyDescent="0.25">
      <c r="A30" s="15">
        <v>22</v>
      </c>
      <c r="B30" s="11">
        <f>'[4]input data'!E762</f>
        <v>24.8</v>
      </c>
      <c r="C30" s="11">
        <f>'[4]input data'!E763</f>
        <v>25.1</v>
      </c>
      <c r="D30" s="11">
        <f>'[4]input data'!E764</f>
        <v>26.6</v>
      </c>
      <c r="E30" s="11">
        <f>'[4]input data'!E765</f>
        <v>28.5</v>
      </c>
      <c r="F30" s="11">
        <f>'[4]input data'!E766</f>
        <v>30.1</v>
      </c>
      <c r="G30" s="11">
        <f>'[4]input data'!E767</f>
        <v>31</v>
      </c>
      <c r="H30" s="11">
        <f>'[4]input data'!E768</f>
        <v>32.299999999999997</v>
      </c>
      <c r="I30" s="11">
        <f>'[4]input data'!E769</f>
        <v>31.7</v>
      </c>
      <c r="J30" s="11">
        <f>'[4]input data'!E770</f>
        <v>29.7</v>
      </c>
      <c r="K30" s="11">
        <f>'[4]input data'!E771</f>
        <v>27.8</v>
      </c>
      <c r="L30" s="11">
        <f>'[4]input data'!E772</f>
        <v>26.4</v>
      </c>
      <c r="M30" s="11">
        <f>'[4]input data'!E773</f>
        <v>25</v>
      </c>
      <c r="N30" s="11">
        <f>'[4]input data'!E774</f>
        <v>23.2</v>
      </c>
      <c r="O30" s="12">
        <f t="shared" si="0"/>
        <v>32.299999999999997</v>
      </c>
      <c r="P30" s="13">
        <f t="shared" si="1"/>
        <v>23.2</v>
      </c>
      <c r="Q30" s="16">
        <f t="shared" si="6"/>
        <v>27.861538461538455</v>
      </c>
      <c r="T30" s="15">
        <v>22</v>
      </c>
      <c r="U30" s="11">
        <f>INDEX('[4]input data'!$F$1:$F$1108,U79,1)</f>
        <v>23.1</v>
      </c>
      <c r="V30" s="11">
        <f>INDEX('[4]input data'!$F$1:$F$1108,V79,1)</f>
        <v>23.6</v>
      </c>
      <c r="W30" s="11">
        <f>INDEX('[4]input data'!$F$1:$F$1108,W79,1)</f>
        <v>24.5</v>
      </c>
      <c r="X30" s="11">
        <f>INDEX('[4]input data'!$F$1:$F$1108,X79,1)</f>
        <v>25.6</v>
      </c>
      <c r="Y30" s="11">
        <f>INDEX('[4]input data'!$F$1:$F$1108,Y79,1)</f>
        <v>25.7</v>
      </c>
      <c r="Z30" s="11">
        <f>INDEX('[4]input data'!$F$1:$F$1108,Z79,1)</f>
        <v>25.1</v>
      </c>
      <c r="AA30" s="11">
        <f>INDEX('[4]input data'!$F$1:$F$1108,AA79,1)</f>
        <v>25.8</v>
      </c>
      <c r="AB30" s="11">
        <f>INDEX('[4]input data'!$F$1:$F$1108,AB79,1)</f>
        <v>25.8</v>
      </c>
      <c r="AC30" s="11">
        <f>INDEX('[4]input data'!$F$1:$F$1108,AC79,1)</f>
        <v>24.9</v>
      </c>
      <c r="AD30" s="11">
        <f>INDEX('[4]input data'!$F$1:$F$1108,AD79,1)</f>
        <v>24.7</v>
      </c>
      <c r="AE30" s="11">
        <f>INDEX('[4]input data'!$F$1:$F$1108,AE79,1)</f>
        <v>24.6</v>
      </c>
      <c r="AF30" s="11">
        <f>INDEX('[4]input data'!$F$1:$F$1108,AF79,1)</f>
        <v>24</v>
      </c>
      <c r="AG30" s="11">
        <f>INDEX('[4]input data'!$F$1:$F$1108,AG79,1)</f>
        <v>22.8</v>
      </c>
      <c r="AH30" s="12">
        <f t="shared" si="2"/>
        <v>25.8</v>
      </c>
      <c r="AI30" s="13">
        <f t="shared" si="3"/>
        <v>22.8</v>
      </c>
      <c r="AJ30" s="16">
        <f t="shared" si="7"/>
        <v>24.630769230769236</v>
      </c>
      <c r="AM30" s="15">
        <v>22</v>
      </c>
      <c r="AN30" s="11">
        <f>INDEX('[4]input data'!$G$1:$G$1108,AO79,1)</f>
        <v>22.192174368298414</v>
      </c>
      <c r="AO30" s="11">
        <f>INDEX('[4]input data'!$G$1:$G$1108,AP79,1)</f>
        <v>22.807911515857466</v>
      </c>
      <c r="AP30" s="11">
        <f>INDEX('[4]input data'!$G$1:$G$1108,AQ79,1)</f>
        <v>23.470360724914261</v>
      </c>
      <c r="AQ30" s="11">
        <f>INDEX('[4]input data'!$G$1:$G$1108,AR79,1)</f>
        <v>24.278899833422276</v>
      </c>
      <c r="AR30" s="11">
        <f>INDEX('[4]input data'!$G$1:$G$1108,AS79,1)</f>
        <v>23.725709166248677</v>
      </c>
      <c r="AS30" s="11">
        <f>INDEX('[4]input data'!$G$1:$G$1108,AT79,1)</f>
        <v>22.35463937621892</v>
      </c>
      <c r="AT30" s="11">
        <f>INDEX('[4]input data'!$G$1:$G$1108,AU79,1)</f>
        <v>22.877817745524776</v>
      </c>
      <c r="AU30" s="11">
        <f>INDEX('[4]input data'!$G$1:$G$1108,AV79,1)</f>
        <v>23.156541144087583</v>
      </c>
      <c r="AV30" s="11">
        <f>INDEX('[4]input data'!$G$1:$G$1108,AW79,1)</f>
        <v>22.652848637331207</v>
      </c>
      <c r="AW30" s="11">
        <f>INDEX('[4]input data'!$G$1:$G$1108,AX79,1)</f>
        <v>23.226371733954831</v>
      </c>
      <c r="AX30" s="11">
        <f>INDEX('[4]input data'!$G$1:$G$1108,AY79,1)</f>
        <v>23.710183186275557</v>
      </c>
      <c r="AY30" s="11">
        <f>INDEX('[4]input data'!$G$1:$G$1108,AZ79,1)</f>
        <v>23.451002870250118</v>
      </c>
      <c r="AZ30" s="11">
        <f>INDEX('[4]input data'!$G$1:$G$1108,BA79,1)</f>
        <v>22.509581083658311</v>
      </c>
      <c r="BA30" s="12">
        <f t="shared" si="4"/>
        <v>24.278899833422276</v>
      </c>
      <c r="BB30" s="13">
        <f t="shared" si="5"/>
        <v>22.192174368298414</v>
      </c>
      <c r="BC30" s="16">
        <f t="shared" si="8"/>
        <v>23.108772414310955</v>
      </c>
    </row>
    <row r="31" spans="1:55" ht="14.25" customHeight="1" x14ac:dyDescent="0.25">
      <c r="A31" s="15">
        <v>23</v>
      </c>
      <c r="B31" s="11">
        <f>'[4]input data'!E798</f>
        <v>25.4</v>
      </c>
      <c r="C31" s="11">
        <f>'[4]input data'!E799</f>
        <v>27.1</v>
      </c>
      <c r="D31" s="11">
        <f>'[4]input data'!E800</f>
        <v>28.9</v>
      </c>
      <c r="E31" s="11">
        <f>'[4]input data'!E801</f>
        <v>29.2</v>
      </c>
      <c r="F31" s="11">
        <f>'[4]input data'!E802</f>
        <v>30.4</v>
      </c>
      <c r="G31" s="11">
        <f>'[4]input data'!E803</f>
        <v>27.6</v>
      </c>
      <c r="H31" s="11">
        <f>'[4]input data'!E804</f>
        <v>28</v>
      </c>
      <c r="I31" s="11">
        <f>'[4]input data'!E805</f>
        <v>29.6</v>
      </c>
      <c r="J31" s="11">
        <f>'[4]input data'!E806</f>
        <v>29</v>
      </c>
      <c r="K31" s="11">
        <f>'[4]input data'!E807</f>
        <v>27.8</v>
      </c>
      <c r="L31" s="11">
        <f>'[4]input data'!E808</f>
        <v>27</v>
      </c>
      <c r="M31" s="11">
        <f>'[4]input data'!E809</f>
        <v>26.8</v>
      </c>
      <c r="N31" s="11">
        <f>'[4]input data'!E810</f>
        <v>26.4</v>
      </c>
      <c r="O31" s="12">
        <f t="shared" si="0"/>
        <v>30.4</v>
      </c>
      <c r="P31" s="13">
        <f t="shared" si="1"/>
        <v>25.4</v>
      </c>
      <c r="Q31" s="16">
        <f t="shared" si="6"/>
        <v>27.938461538461539</v>
      </c>
      <c r="T31" s="15">
        <v>23</v>
      </c>
      <c r="U31" s="11">
        <f>INDEX('[4]input data'!$F$1:$F$1108,U80,1)</f>
        <v>24.1</v>
      </c>
      <c r="V31" s="11">
        <f>INDEX('[4]input data'!$F$1:$F$1108,V80,1)</f>
        <v>24.9</v>
      </c>
      <c r="W31" s="11">
        <f>INDEX('[4]input data'!$F$1:$F$1108,W80,1)</f>
        <v>25.8</v>
      </c>
      <c r="X31" s="11">
        <f>INDEX('[4]input data'!$F$1:$F$1108,X80,1)</f>
        <v>25.7</v>
      </c>
      <c r="Y31" s="11">
        <f>INDEX('[4]input data'!$F$1:$F$1108,Y80,1)</f>
        <v>25.8</v>
      </c>
      <c r="Z31" s="11">
        <f>INDEX('[4]input data'!$F$1:$F$1108,Z80,1)</f>
        <v>24.8</v>
      </c>
      <c r="AA31" s="11">
        <f>INDEX('[4]input data'!$F$1:$F$1108,AA80,1)</f>
        <v>25.1</v>
      </c>
      <c r="AB31" s="11">
        <f>INDEX('[4]input data'!$F$1:$F$1108,AB80,1)</f>
        <v>25.4</v>
      </c>
      <c r="AC31" s="11">
        <f>INDEX('[4]input data'!$F$1:$F$1108,AC80,1)</f>
        <v>25</v>
      </c>
      <c r="AD31" s="11">
        <f>INDEX('[4]input data'!$F$1:$F$1108,AD80,1)</f>
        <v>24.8</v>
      </c>
      <c r="AE31" s="11">
        <f>INDEX('[4]input data'!$F$1:$F$1108,AE80,1)</f>
        <v>24.6</v>
      </c>
      <c r="AF31" s="11">
        <f>INDEX('[4]input data'!$F$1:$F$1108,AF80,1)</f>
        <v>24.4</v>
      </c>
      <c r="AG31" s="11">
        <f>INDEX('[4]input data'!$F$1:$F$1108,AG80,1)</f>
        <v>24.2</v>
      </c>
      <c r="AH31" s="12">
        <f t="shared" si="2"/>
        <v>25.8</v>
      </c>
      <c r="AI31" s="13">
        <f t="shared" si="3"/>
        <v>24.1</v>
      </c>
      <c r="AJ31" s="16">
        <f t="shared" si="7"/>
        <v>24.969230769230766</v>
      </c>
      <c r="AM31" s="15">
        <v>23</v>
      </c>
      <c r="AN31" s="11">
        <f>INDEX('[4]input data'!$G$1:$G$1108,AO80,1)</f>
        <v>23.417446507367213</v>
      </c>
      <c r="AO31" s="11">
        <f>INDEX('[4]input data'!$G$1:$G$1108,AP80,1)</f>
        <v>23.845716181625463</v>
      </c>
      <c r="AP31" s="11">
        <f>INDEX('[4]input data'!$G$1:$G$1108,AQ80,1)</f>
        <v>24.405778998377858</v>
      </c>
      <c r="AQ31" s="11">
        <f>INDEX('[4]input data'!$G$1:$G$1108,AR80,1)</f>
        <v>24.12428248768639</v>
      </c>
      <c r="AR31" s="11">
        <f>INDEX('[4]input data'!$G$1:$G$1108,AS80,1)</f>
        <v>23.746748358606883</v>
      </c>
      <c r="AS31" s="11">
        <f>INDEX('[4]input data'!$G$1:$G$1108,AT80,1)</f>
        <v>23.470377859669266</v>
      </c>
      <c r="AT31" s="11">
        <f>INDEX('[4]input data'!$G$1:$G$1108,AU80,1)</f>
        <v>23.745517608194067</v>
      </c>
      <c r="AU31" s="11">
        <f>INDEX('[4]input data'!$G$1:$G$1108,AV80,1)</f>
        <v>23.485447924589423</v>
      </c>
      <c r="AV31" s="11">
        <f>INDEX('[4]input data'!$G$1:$G$1108,AW80,1)</f>
        <v>23.13765699199967</v>
      </c>
      <c r="AW31" s="11">
        <f>INDEX('[4]input data'!$G$1:$G$1108,AX80,1)</f>
        <v>23.379452040413032</v>
      </c>
      <c r="AX31" s="11">
        <f>INDEX('[4]input data'!$G$1:$G$1108,AY80,1)</f>
        <v>23.439555090650348</v>
      </c>
      <c r="AY31" s="11">
        <f>INDEX('[4]input data'!$G$1:$G$1108,AZ80,1)</f>
        <v>23.228029920116789</v>
      </c>
      <c r="AZ31" s="11">
        <f>INDEX('[4]input data'!$G$1:$G$1108,BA80,1)</f>
        <v>23.109032442757304</v>
      </c>
      <c r="BA31" s="12">
        <f t="shared" si="4"/>
        <v>24.405778998377858</v>
      </c>
      <c r="BB31" s="13">
        <f t="shared" si="5"/>
        <v>23.109032442757304</v>
      </c>
      <c r="BC31" s="16">
        <f t="shared" si="8"/>
        <v>23.579618647081059</v>
      </c>
    </row>
    <row r="32" spans="1:55" ht="14.25" customHeight="1" x14ac:dyDescent="0.25">
      <c r="A32" s="15">
        <v>24</v>
      </c>
      <c r="B32" s="11">
        <f>'[4]input data'!E834</f>
        <v>24.1</v>
      </c>
      <c r="C32" s="11">
        <f>'[4]input data'!E835</f>
        <v>25.4</v>
      </c>
      <c r="D32" s="11">
        <f>'[4]input data'!E836</f>
        <v>26.7</v>
      </c>
      <c r="E32" s="11">
        <f>'[4]input data'!E837</f>
        <v>27.9</v>
      </c>
      <c r="F32" s="11">
        <f>'[4]input data'!E838</f>
        <v>29.1</v>
      </c>
      <c r="G32" s="11">
        <f>'[4]input data'!E839</f>
        <v>30.1</v>
      </c>
      <c r="H32" s="11">
        <f>'[4]input data'!E840</f>
        <v>30.2</v>
      </c>
      <c r="I32" s="11">
        <f>'[4]input data'!E841</f>
        <v>30.1</v>
      </c>
      <c r="J32" s="11">
        <f>'[4]input data'!E842</f>
        <v>27.4</v>
      </c>
      <c r="K32" s="11">
        <f>'[4]input data'!E843</f>
        <v>24.8</v>
      </c>
      <c r="L32" s="11">
        <f>'[4]input data'!E844</f>
        <v>23.3</v>
      </c>
      <c r="M32" s="11">
        <f>'[4]input data'!E845</f>
        <v>23.9</v>
      </c>
      <c r="N32" s="11">
        <f>'[4]input data'!E846</f>
        <v>24</v>
      </c>
      <c r="O32" s="12">
        <f t="shared" si="0"/>
        <v>30.2</v>
      </c>
      <c r="P32" s="13">
        <f t="shared" si="1"/>
        <v>23.3</v>
      </c>
      <c r="Q32" s="16">
        <f t="shared" si="6"/>
        <v>26.692307692307686</v>
      </c>
      <c r="T32" s="15">
        <v>24</v>
      </c>
      <c r="U32" s="11">
        <f>INDEX('[4]input data'!$F$1:$F$1108,U81,1)</f>
        <v>23.4</v>
      </c>
      <c r="V32" s="11">
        <f>INDEX('[4]input data'!$F$1:$F$1108,V81,1)</f>
        <v>24.1</v>
      </c>
      <c r="W32" s="11">
        <f>INDEX('[4]input data'!$F$1:$F$1108,W81,1)</f>
        <v>25</v>
      </c>
      <c r="X32" s="11">
        <f>INDEX('[4]input data'!$F$1:$F$1108,X81,1)</f>
        <v>24.8</v>
      </c>
      <c r="Y32" s="11">
        <f>INDEX('[4]input data'!$F$1:$F$1108,Y81,1)</f>
        <v>25</v>
      </c>
      <c r="Z32" s="11">
        <f>INDEX('[4]input data'!$F$1:$F$1108,Z81,1)</f>
        <v>25.6</v>
      </c>
      <c r="AA32" s="11">
        <f>INDEX('[4]input data'!$F$1:$F$1108,AA81,1)</f>
        <v>25.7</v>
      </c>
      <c r="AB32" s="11">
        <f>INDEX('[4]input data'!$F$1:$F$1108,AB81,1)</f>
        <v>25.7</v>
      </c>
      <c r="AC32" s="11">
        <f>INDEX('[4]input data'!$F$1:$F$1108,AC81,1)</f>
        <v>24.6</v>
      </c>
      <c r="AD32" s="11">
        <f>INDEX('[4]input data'!$F$1:$F$1108,AD81,1)</f>
        <v>23.3</v>
      </c>
      <c r="AE32" s="11">
        <f>INDEX('[4]input data'!$F$1:$F$1108,AE81,1)</f>
        <v>22.5</v>
      </c>
      <c r="AF32" s="11">
        <f>INDEX('[4]input data'!$F$1:$F$1108,AF81,1)</f>
        <v>23.4</v>
      </c>
      <c r="AG32" s="11">
        <f>INDEX('[4]input data'!$F$1:$F$1108,AG81,1)</f>
        <v>23.5</v>
      </c>
      <c r="AH32" s="12">
        <f t="shared" si="2"/>
        <v>25.7</v>
      </c>
      <c r="AI32" s="13">
        <f t="shared" si="3"/>
        <v>22.5</v>
      </c>
      <c r="AJ32" s="16">
        <f t="shared" si="7"/>
        <v>24.353846153846153</v>
      </c>
      <c r="AM32" s="15">
        <v>24</v>
      </c>
      <c r="AN32" s="11">
        <f>INDEX('[4]input data'!$G$1:$G$1108,AO81,1)</f>
        <v>22.976497121725625</v>
      </c>
      <c r="AO32" s="11">
        <f>INDEX('[4]input data'!$G$1:$G$1108,AP81,1)</f>
        <v>23.417446507367213</v>
      </c>
      <c r="AP32" s="11">
        <f>INDEX('[4]input data'!$G$1:$G$1108,AQ81,1)</f>
        <v>24.170676959407547</v>
      </c>
      <c r="AQ32" s="11">
        <f>INDEX('[4]input data'!$G$1:$G$1108,AR81,1)</f>
        <v>23.333825326586801</v>
      </c>
      <c r="AR32" s="11">
        <f>INDEX('[4]input data'!$G$1:$G$1108,AS81,1)</f>
        <v>23.091443449890949</v>
      </c>
      <c r="AS32" s="11">
        <f>INDEX('[4]input data'!$G$1:$G$1108,AT81,1)</f>
        <v>23.570339610883245</v>
      </c>
      <c r="AT32" s="11">
        <f>INDEX('[4]input data'!$G$1:$G$1108,AU81,1)</f>
        <v>23.680904262603566</v>
      </c>
      <c r="AU32" s="11">
        <f>INDEX('[4]input data'!$G$1:$G$1108,AV81,1)</f>
        <v>23.725709166248677</v>
      </c>
      <c r="AV32" s="11">
        <f>INDEX('[4]input data'!$G$1:$G$1108,AW81,1)</f>
        <v>23.256970699803183</v>
      </c>
      <c r="AW32" s="11">
        <f>INDEX('[4]input data'!$G$1:$G$1108,AX81,1)</f>
        <v>22.496617546342105</v>
      </c>
      <c r="AX32" s="11">
        <f>INDEX('[4]input data'!$G$1:$G$1108,AY81,1)</f>
        <v>22.011535607458864</v>
      </c>
      <c r="AY32" s="11">
        <f>INDEX('[4]input data'!$G$1:$G$1108,AZ81,1)</f>
        <v>23.069362589016496</v>
      </c>
      <c r="AZ32" s="11">
        <f>INDEX('[4]input data'!$G$1:$G$1108,BA81,1)</f>
        <v>23.170595097320081</v>
      </c>
      <c r="BA32" s="12">
        <f t="shared" si="4"/>
        <v>24.170676959407547</v>
      </c>
      <c r="BB32" s="13">
        <f t="shared" si="5"/>
        <v>22.011535607458864</v>
      </c>
      <c r="BC32" s="16">
        <f t="shared" si="8"/>
        <v>23.228609534204182</v>
      </c>
    </row>
    <row r="33" spans="1:55" ht="14.25" customHeight="1" x14ac:dyDescent="0.25">
      <c r="A33" s="15">
        <v>25</v>
      </c>
      <c r="B33" s="11">
        <f>'[4]input data'!E870</f>
        <v>24.4</v>
      </c>
      <c r="C33" s="11">
        <f>'[4]input data'!E871</f>
        <v>25.8</v>
      </c>
      <c r="D33" s="11">
        <f>'[4]input data'!E872</f>
        <v>26.9</v>
      </c>
      <c r="E33" s="11">
        <f>'[4]input data'!E873</f>
        <v>28.2</v>
      </c>
      <c r="F33" s="11">
        <f>'[4]input data'!E874</f>
        <v>29.3</v>
      </c>
      <c r="G33" s="11">
        <f>'[4]input data'!E875</f>
        <v>30.4</v>
      </c>
      <c r="H33" s="11">
        <f>'[4]input data'!E876</f>
        <v>30.9</v>
      </c>
      <c r="I33" s="11">
        <f>'[4]input data'!E877</f>
        <v>27.5</v>
      </c>
      <c r="J33" s="11">
        <f>'[4]input data'!E878</f>
        <v>27.8</v>
      </c>
      <c r="K33" s="11">
        <f>'[4]input data'!E879</f>
        <v>28</v>
      </c>
      <c r="L33" s="11">
        <f>'[4]input data'!E880</f>
        <v>27.8</v>
      </c>
      <c r="M33" s="11">
        <f>'[4]input data'!E881</f>
        <v>27.2</v>
      </c>
      <c r="N33" s="11">
        <f>'[4]input data'!E882</f>
        <v>26.6</v>
      </c>
      <c r="O33" s="12">
        <f t="shared" si="0"/>
        <v>30.9</v>
      </c>
      <c r="P33" s="13">
        <f t="shared" si="1"/>
        <v>24.4</v>
      </c>
      <c r="Q33" s="16">
        <f t="shared" si="6"/>
        <v>27.753846153846158</v>
      </c>
      <c r="T33" s="15">
        <v>25</v>
      </c>
      <c r="U33" s="11">
        <f>INDEX('[4]input data'!$F$1:$F$1108,U82,1)</f>
        <v>23.8</v>
      </c>
      <c r="V33" s="11">
        <f>INDEX('[4]input data'!$F$1:$F$1108,V82,1)</f>
        <v>24.6</v>
      </c>
      <c r="W33" s="11">
        <f>INDEX('[4]input data'!$F$1:$F$1108,W82,1)</f>
        <v>25</v>
      </c>
      <c r="X33" s="11">
        <f>INDEX('[4]input data'!$F$1:$F$1108,X82,1)</f>
        <v>25.7</v>
      </c>
      <c r="Y33" s="11">
        <f>INDEX('[4]input data'!$F$1:$F$1108,Y82,1)</f>
        <v>25.6</v>
      </c>
      <c r="Z33" s="11">
        <f>INDEX('[4]input data'!$F$1:$F$1108,Z82,1)</f>
        <v>26.4</v>
      </c>
      <c r="AA33" s="11">
        <f>INDEX('[4]input data'!$F$1:$F$1108,AA82,1)</f>
        <v>26.6</v>
      </c>
      <c r="AB33" s="11">
        <f>INDEX('[4]input data'!$F$1:$F$1108,AB82,1)</f>
        <v>24.9</v>
      </c>
      <c r="AC33" s="11">
        <f>INDEX('[4]input data'!$F$1:$F$1108,AC82,1)</f>
        <v>25.1</v>
      </c>
      <c r="AD33" s="11">
        <f>INDEX('[4]input data'!$F$1:$F$1108,AD82,1)</f>
        <v>25.4</v>
      </c>
      <c r="AE33" s="11">
        <f>INDEX('[4]input data'!$F$1:$F$1108,AE82,1)</f>
        <v>25.8</v>
      </c>
      <c r="AF33" s="11">
        <f>INDEX('[4]input data'!$F$1:$F$1108,AF82,1)</f>
        <v>25.6</v>
      </c>
      <c r="AG33" s="11">
        <f>INDEX('[4]input data'!$F$1:$F$1108,AG82,1)</f>
        <v>25.2</v>
      </c>
      <c r="AH33" s="12">
        <f t="shared" si="2"/>
        <v>26.6</v>
      </c>
      <c r="AI33" s="13">
        <f t="shared" si="3"/>
        <v>23.8</v>
      </c>
      <c r="AJ33" s="16">
        <f t="shared" si="7"/>
        <v>25.361538461538466</v>
      </c>
      <c r="AM33" s="15">
        <v>25</v>
      </c>
      <c r="AN33" s="11">
        <f>INDEX('[4]input data'!$G$1:$G$1108,AO82,1)</f>
        <v>23.42885263958334</v>
      </c>
      <c r="AO33" s="11">
        <f>INDEX('[4]input data'!$G$1:$G$1108,AP82,1)</f>
        <v>23.977017614815619</v>
      </c>
      <c r="AP33" s="11">
        <f>INDEX('[4]input data'!$G$1:$G$1108,AQ82,1)</f>
        <v>24.083040017724613</v>
      </c>
      <c r="AQ33" s="11">
        <f>INDEX('[4]input data'!$G$1:$G$1108,AR82,1)</f>
        <v>24.557601385913394</v>
      </c>
      <c r="AR33" s="11">
        <f>INDEX('[4]input data'!$G$1:$G$1108,AS82,1)</f>
        <v>23.927910438437131</v>
      </c>
      <c r="AS33" s="11">
        <f>INDEX('[4]input data'!$G$1:$G$1108,AT82,1)</f>
        <v>24.667141319943219</v>
      </c>
      <c r="AT33" s="11">
        <f>INDEX('[4]input data'!$G$1:$G$1108,AU82,1)</f>
        <v>24.757903891169914</v>
      </c>
      <c r="AU33" s="11">
        <f>INDEX('[4]input data'!$G$1:$G$1108,AV82,1)</f>
        <v>23.667005654759933</v>
      </c>
      <c r="AV33" s="11">
        <f>INDEX('[4]input data'!$G$1:$G$1108,AW82,1)</f>
        <v>23.834716079901977</v>
      </c>
      <c r="AW33" s="11">
        <f>INDEX('[4]input data'!$G$1:$G$1108,AX82,1)</f>
        <v>24.197102507728658</v>
      </c>
      <c r="AX33" s="11">
        <f>INDEX('[4]input data'!$G$1:$G$1108,AY82,1)</f>
        <v>24.875038398378631</v>
      </c>
      <c r="AY33" s="11">
        <f>INDEX('[4]input data'!$G$1:$G$1108,AZ82,1)</f>
        <v>24.835872856569932</v>
      </c>
      <c r="AZ33" s="11">
        <f>INDEX('[4]input data'!$G$1:$G$1108,BA82,1)</f>
        <v>24.507713530973501</v>
      </c>
      <c r="BA33" s="12">
        <f t="shared" si="4"/>
        <v>24.875038398378631</v>
      </c>
      <c r="BB33" s="13">
        <f t="shared" si="5"/>
        <v>23.42885263958334</v>
      </c>
      <c r="BC33" s="16">
        <f t="shared" si="8"/>
        <v>24.255147410453837</v>
      </c>
    </row>
    <row r="34" spans="1:55" ht="14.25" customHeight="1" x14ac:dyDescent="0.25">
      <c r="A34" s="15">
        <v>26</v>
      </c>
      <c r="B34" s="11">
        <f>'[4]input data'!E906</f>
        <v>26.2</v>
      </c>
      <c r="C34" s="11">
        <f>'[4]input data'!E907</f>
        <v>27.2</v>
      </c>
      <c r="D34" s="11">
        <f>'[4]input data'!E908</f>
        <v>27.7</v>
      </c>
      <c r="E34" s="11">
        <f>'[4]input data'!E909</f>
        <v>28.8</v>
      </c>
      <c r="F34" s="11">
        <f>'[4]input data'!E910</f>
        <v>29.8</v>
      </c>
      <c r="G34" s="11">
        <f>'[4]input data'!E911</f>
        <v>30.2</v>
      </c>
      <c r="H34" s="11">
        <f>'[4]input data'!E912</f>
        <v>31.2</v>
      </c>
      <c r="I34" s="11">
        <f>'[4]input data'!E913</f>
        <v>30.8</v>
      </c>
      <c r="J34" s="11">
        <f>'[4]input data'!E914</f>
        <v>30.4</v>
      </c>
      <c r="K34" s="11">
        <f>'[4]input data'!E915</f>
        <v>26.6</v>
      </c>
      <c r="L34" s="11">
        <f>'[4]input data'!E916</f>
        <v>25.8</v>
      </c>
      <c r="M34" s="11">
        <f>'[4]input data'!E917</f>
        <v>25.4</v>
      </c>
      <c r="N34" s="11">
        <f>'[4]input data'!E918</f>
        <v>24.8</v>
      </c>
      <c r="O34" s="12">
        <f t="shared" si="0"/>
        <v>31.2</v>
      </c>
      <c r="P34" s="13">
        <f t="shared" si="1"/>
        <v>24.8</v>
      </c>
      <c r="Q34" s="16">
        <f t="shared" si="6"/>
        <v>28.069230769230767</v>
      </c>
      <c r="T34" s="15">
        <v>26</v>
      </c>
      <c r="U34" s="11">
        <f>INDEX('[4]input data'!$F$1:$F$1108,U83,1)</f>
        <v>24.4</v>
      </c>
      <c r="V34" s="11">
        <f>INDEX('[4]input data'!$F$1:$F$1108,V83,1)</f>
        <v>24.8</v>
      </c>
      <c r="W34" s="11">
        <f>INDEX('[4]input data'!$F$1:$F$1108,W83,1)</f>
        <v>25.6</v>
      </c>
      <c r="X34" s="11">
        <f>INDEX('[4]input data'!$F$1:$F$1108,X83,1)</f>
        <v>25.4</v>
      </c>
      <c r="Y34" s="11">
        <f>INDEX('[4]input data'!$F$1:$F$1108,Y83,1)</f>
        <v>25</v>
      </c>
      <c r="Z34" s="11">
        <f>INDEX('[4]input data'!$F$1:$F$1108,Z83,1)</f>
        <v>25.8</v>
      </c>
      <c r="AA34" s="11">
        <f>INDEX('[4]input data'!$F$1:$F$1108,AA83,1)</f>
        <v>26.8</v>
      </c>
      <c r="AB34" s="11">
        <f>INDEX('[4]input data'!$F$1:$F$1108,AB83,1)</f>
        <v>26.2</v>
      </c>
      <c r="AC34" s="11">
        <f>INDEX('[4]input data'!$F$1:$F$1108,AC83,1)</f>
        <v>26</v>
      </c>
      <c r="AD34" s="11">
        <f>INDEX('[4]input data'!$F$1:$F$1108,AD83,1)</f>
        <v>23.4</v>
      </c>
      <c r="AE34" s="11">
        <f>INDEX('[4]input data'!$F$1:$F$1108,AE83,1)</f>
        <v>23.8</v>
      </c>
      <c r="AF34" s="11">
        <f>INDEX('[4]input data'!$F$1:$F$1108,AF83,1)</f>
        <v>23.8</v>
      </c>
      <c r="AG34" s="11">
        <f>INDEX('[4]input data'!$F$1:$F$1108,AG83,1)</f>
        <v>23.6</v>
      </c>
      <c r="AH34" s="12">
        <f t="shared" si="2"/>
        <v>26.8</v>
      </c>
      <c r="AI34" s="13">
        <f t="shared" si="3"/>
        <v>23.4</v>
      </c>
      <c r="AJ34" s="16">
        <f t="shared" si="7"/>
        <v>24.969230769230776</v>
      </c>
      <c r="AM34" s="15">
        <v>26</v>
      </c>
      <c r="AN34" s="11">
        <f>INDEX('[4]input data'!$G$1:$G$1108,AO83,1)</f>
        <v>23.501662544126386</v>
      </c>
      <c r="AO34" s="11">
        <f>INDEX('[4]input data'!$G$1:$G$1108,AP83,1)</f>
        <v>23.650934676208223</v>
      </c>
      <c r="AP34" s="11">
        <f>INDEX('[4]input data'!$G$1:$G$1108,AQ83,1)</f>
        <v>24.623563215299065</v>
      </c>
      <c r="AQ34" s="11">
        <f>INDEX('[4]input data'!$G$1:$G$1108,AR83,1)</f>
        <v>23.844597001278153</v>
      </c>
      <c r="AR34" s="11">
        <f>INDEX('[4]input data'!$G$1:$G$1108,AS83,1)</f>
        <v>22.764750111093644</v>
      </c>
      <c r="AS34" s="11">
        <f>INDEX('[4]input data'!$G$1:$G$1108,AT83,1)</f>
        <v>23.835945395479477</v>
      </c>
      <c r="AT34" s="11">
        <f>INDEX('[4]input data'!$G$1:$G$1108,AU83,1)</f>
        <v>24.934688923953829</v>
      </c>
      <c r="AU34" s="11">
        <f>INDEX('[4]input data'!$G$1:$G$1108,AV83,1)</f>
        <v>24.189061302754549</v>
      </c>
      <c r="AV34" s="11">
        <f>INDEX('[4]input data'!$G$1:$G$1108,AW83,1)</f>
        <v>24.056216238791031</v>
      </c>
      <c r="AW34" s="11">
        <f>INDEX('[4]input data'!$G$1:$G$1108,AX83,1)</f>
        <v>21.775380812344167</v>
      </c>
      <c r="AX34" s="11">
        <f>INDEX('[4]input data'!$G$1:$G$1108,AY83,1)</f>
        <v>22.781622980972795</v>
      </c>
      <c r="AY34" s="11">
        <f>INDEX('[4]input data'!$G$1:$G$1108,AZ83,1)</f>
        <v>22.968814165589823</v>
      </c>
      <c r="AZ34" s="11">
        <f>INDEX('[4]input data'!$G$1:$G$1108,BA83,1)</f>
        <v>22.948281918843517</v>
      </c>
      <c r="BA34" s="12">
        <f t="shared" si="4"/>
        <v>24.934688923953829</v>
      </c>
      <c r="BB34" s="13">
        <f t="shared" si="5"/>
        <v>21.775380812344167</v>
      </c>
      <c r="BC34" s="16">
        <f t="shared" si="8"/>
        <v>23.528886098979587</v>
      </c>
    </row>
    <row r="35" spans="1:55" ht="14.25" customHeight="1" x14ac:dyDescent="0.25">
      <c r="A35" s="15">
        <v>27</v>
      </c>
      <c r="B35" s="11">
        <f>'[4]input data'!E942</f>
        <v>25.2</v>
      </c>
      <c r="C35" s="11">
        <f>'[4]input data'!E943</f>
        <v>25.6</v>
      </c>
      <c r="D35" s="11">
        <f>'[4]input data'!E944</f>
        <v>27.4</v>
      </c>
      <c r="E35" s="11">
        <f>'[4]input data'!E945</f>
        <v>28.2</v>
      </c>
      <c r="F35" s="11">
        <f>'[4]input data'!E946</f>
        <v>28.8</v>
      </c>
      <c r="G35" s="11">
        <f>'[4]input data'!E947</f>
        <v>29.6</v>
      </c>
      <c r="H35" s="11">
        <f>'[4]input data'!E948</f>
        <v>29.6</v>
      </c>
      <c r="I35" s="11">
        <f>'[4]input data'!E949</f>
        <v>29.5</v>
      </c>
      <c r="J35" s="11">
        <f>'[4]input data'!E950</f>
        <v>29.4</v>
      </c>
      <c r="K35" s="11">
        <f>'[4]input data'!E951</f>
        <v>28.8</v>
      </c>
      <c r="L35" s="11">
        <f>'[4]input data'!E952</f>
        <v>28.6</v>
      </c>
      <c r="M35" s="11">
        <f>'[4]input data'!E953</f>
        <v>27.2</v>
      </c>
      <c r="N35" s="11">
        <f>'[4]input data'!E954</f>
        <v>26.2</v>
      </c>
      <c r="O35" s="12">
        <f t="shared" si="0"/>
        <v>29.6</v>
      </c>
      <c r="P35" s="13">
        <f t="shared" si="1"/>
        <v>25.2</v>
      </c>
      <c r="Q35" s="16">
        <f t="shared" si="6"/>
        <v>28.007692307692306</v>
      </c>
      <c r="T35" s="15">
        <v>27</v>
      </c>
      <c r="U35" s="11">
        <f>INDEX('[4]input data'!$F$1:$F$1108,U84,1)</f>
        <v>23.4</v>
      </c>
      <c r="V35" s="11">
        <f>INDEX('[4]input data'!$F$1:$F$1108,V84,1)</f>
        <v>23.6</v>
      </c>
      <c r="W35" s="11">
        <f>INDEX('[4]input data'!$F$1:$F$1108,W84,1)</f>
        <v>24.6</v>
      </c>
      <c r="X35" s="11">
        <f>INDEX('[4]input data'!$F$1:$F$1108,X84,1)</f>
        <v>24.8</v>
      </c>
      <c r="Y35" s="11">
        <f>INDEX('[4]input data'!$F$1:$F$1108,Y84,1)</f>
        <v>25</v>
      </c>
      <c r="Z35" s="11">
        <f>INDEX('[4]input data'!$F$1:$F$1108,Z84,1)</f>
        <v>25</v>
      </c>
      <c r="AA35" s="11">
        <f>INDEX('[4]input data'!$F$1:$F$1108,AA84,1)</f>
        <v>24.8</v>
      </c>
      <c r="AB35" s="11">
        <f>INDEX('[4]input data'!$F$1:$F$1108,AB84,1)</f>
        <v>24.8</v>
      </c>
      <c r="AC35" s="11">
        <f>INDEX('[4]input data'!$F$1:$F$1108,AC84,1)</f>
        <v>24.8</v>
      </c>
      <c r="AD35" s="11">
        <f>INDEX('[4]input data'!$F$1:$F$1108,AD84,1)</f>
        <v>24.9</v>
      </c>
      <c r="AE35" s="11">
        <f>INDEX('[4]input data'!$F$1:$F$1108,AE84,1)</f>
        <v>25</v>
      </c>
      <c r="AF35" s="11">
        <f>INDEX('[4]input data'!$F$1:$F$1108,AF84,1)</f>
        <v>24.8</v>
      </c>
      <c r="AG35" s="11">
        <f>INDEX('[4]input data'!$F$1:$F$1108,AG84,1)</f>
        <v>24.1</v>
      </c>
      <c r="AH35" s="12">
        <f t="shared" si="2"/>
        <v>25</v>
      </c>
      <c r="AI35" s="13">
        <f t="shared" si="3"/>
        <v>23.4</v>
      </c>
      <c r="AJ35" s="16">
        <f t="shared" si="7"/>
        <v>24.58461538461539</v>
      </c>
      <c r="AM35" s="15">
        <v>27</v>
      </c>
      <c r="AN35" s="11">
        <f>INDEX('[4]input data'!$G$1:$G$1108,AO84,1)</f>
        <v>22.45741703757486</v>
      </c>
      <c r="AO35" s="11">
        <f>INDEX('[4]input data'!$G$1:$G$1108,AP84,1)</f>
        <v>22.571617917695416</v>
      </c>
      <c r="AP35" s="11">
        <f>INDEX('[4]input data'!$G$1:$G$1108,AQ84,1)</f>
        <v>23.256970699803183</v>
      </c>
      <c r="AQ35" s="11">
        <f>INDEX('[4]input data'!$G$1:$G$1108,AR84,1)</f>
        <v>23.196283144013933</v>
      </c>
      <c r="AR35" s="11">
        <f>INDEX('[4]input data'!$G$1:$G$1108,AS84,1)</f>
        <v>23.229747355809128</v>
      </c>
      <c r="AS35" s="11">
        <f>INDEX('[4]input data'!$G$1:$G$1108,AT84,1)</f>
        <v>22.858668311959782</v>
      </c>
      <c r="AT35" s="11">
        <f>INDEX('[4]input data'!$G$1:$G$1108,AU84,1)</f>
        <v>22.540866348822316</v>
      </c>
      <c r="AU35" s="11">
        <f>INDEX('[4]input data'!$G$1:$G$1108,AV84,1)</f>
        <v>22.588443387521256</v>
      </c>
      <c r="AV35" s="11">
        <f>INDEX('[4]input data'!$G$1:$G$1108,AW84,1)</f>
        <v>22.635900736480924</v>
      </c>
      <c r="AW35" s="11">
        <f>INDEX('[4]input data'!$G$1:$G$1108,AX84,1)</f>
        <v>23.074312574241922</v>
      </c>
      <c r="AX35" s="11">
        <f>INDEX('[4]input data'!$G$1:$G$1108,AY84,1)</f>
        <v>23.321392650725961</v>
      </c>
      <c r="AY35" s="11">
        <f>INDEX('[4]input data'!$G$1:$G$1108,AZ84,1)</f>
        <v>23.650934676208223</v>
      </c>
      <c r="AZ35" s="11">
        <f>INDEX('[4]input data'!$G$1:$G$1108,BA84,1)</f>
        <v>23.050083090863829</v>
      </c>
      <c r="BA35" s="12">
        <f t="shared" si="4"/>
        <v>23.650934676208223</v>
      </c>
      <c r="BB35" s="13">
        <f t="shared" si="5"/>
        <v>22.45741703757486</v>
      </c>
      <c r="BC35" s="16">
        <f t="shared" si="8"/>
        <v>22.956356763978519</v>
      </c>
    </row>
    <row r="36" spans="1:55" ht="14.25" customHeight="1" x14ac:dyDescent="0.25">
      <c r="A36" s="15">
        <v>28</v>
      </c>
      <c r="B36" s="11">
        <f>'[4]input data'!E978</f>
        <v>25.1</v>
      </c>
      <c r="C36" s="11">
        <f>'[4]input data'!E979</f>
        <v>26.7</v>
      </c>
      <c r="D36" s="11">
        <f>'[4]input data'!E980</f>
        <v>29</v>
      </c>
      <c r="E36" s="11">
        <f>'[4]input data'!E981</f>
        <v>30.4</v>
      </c>
      <c r="F36" s="11">
        <f>'[4]input data'!E982</f>
        <v>31</v>
      </c>
      <c r="G36" s="11">
        <f>'[4]input data'!E983</f>
        <v>31.7</v>
      </c>
      <c r="H36" s="11">
        <f>'[4]input data'!E984</f>
        <v>32.4</v>
      </c>
      <c r="I36" s="11">
        <f>'[4]input data'!E985</f>
        <v>32.200000000000003</v>
      </c>
      <c r="J36" s="11">
        <f>'[4]input data'!E986</f>
        <v>22.4</v>
      </c>
      <c r="K36" s="11">
        <f>'[4]input data'!E987</f>
        <v>22.6</v>
      </c>
      <c r="L36" s="11">
        <f>'[4]input data'!E988</f>
        <v>22.6</v>
      </c>
      <c r="M36" s="11">
        <f>'[4]input data'!E989</f>
        <v>22.6</v>
      </c>
      <c r="N36" s="11">
        <f>'[4]input data'!E990</f>
        <v>22.8</v>
      </c>
      <c r="O36" s="12">
        <f t="shared" si="0"/>
        <v>32.4</v>
      </c>
      <c r="P36" s="13">
        <f t="shared" si="1"/>
        <v>22.4</v>
      </c>
      <c r="Q36" s="16">
        <f t="shared" si="6"/>
        <v>27.038461538461544</v>
      </c>
      <c r="T36" s="15">
        <v>28</v>
      </c>
      <c r="U36" s="11">
        <f>INDEX('[4]input data'!$F$1:$F$1108,U85,1)</f>
        <v>23.3</v>
      </c>
      <c r="V36" s="11">
        <f>INDEX('[4]input data'!$F$1:$F$1108,V85,1)</f>
        <v>24.1</v>
      </c>
      <c r="W36" s="11">
        <f>INDEX('[4]input data'!$F$1:$F$1108,W85,1)</f>
        <v>25.1</v>
      </c>
      <c r="X36" s="11">
        <f>INDEX('[4]input data'!$F$1:$F$1108,X85,1)</f>
        <v>25.8</v>
      </c>
      <c r="Y36" s="11">
        <f>INDEX('[4]input data'!$F$1:$F$1108,Y85,1)</f>
        <v>25.8</v>
      </c>
      <c r="Z36" s="11">
        <f>INDEX('[4]input data'!$F$1:$F$1108,Z85,1)</f>
        <v>26.1</v>
      </c>
      <c r="AA36" s="11">
        <f>INDEX('[4]input data'!$F$1:$F$1108,AA85,1)</f>
        <v>26.7</v>
      </c>
      <c r="AB36" s="11">
        <f>INDEX('[4]input data'!$F$1:$F$1108,AB85,1)</f>
        <v>26.1</v>
      </c>
      <c r="AC36" s="11">
        <f>INDEX('[4]input data'!$F$1:$F$1108,AC85,1)</f>
        <v>22.2</v>
      </c>
      <c r="AD36" s="11">
        <f>INDEX('[4]input data'!$F$1:$F$1108,AD85,1)</f>
        <v>22.4</v>
      </c>
      <c r="AE36" s="11">
        <f>INDEX('[4]input data'!$F$1:$F$1108,AE85,1)</f>
        <v>22.4</v>
      </c>
      <c r="AF36" s="11">
        <f>INDEX('[4]input data'!$F$1:$F$1108,AF85,1)</f>
        <v>22.4</v>
      </c>
      <c r="AG36" s="11">
        <f>INDEX('[4]input data'!$F$1:$F$1108,AG85,1)</f>
        <v>22.6</v>
      </c>
      <c r="AH36" s="12">
        <f t="shared" si="2"/>
        <v>26.7</v>
      </c>
      <c r="AI36" s="13">
        <f t="shared" si="3"/>
        <v>22.2</v>
      </c>
      <c r="AJ36" s="16">
        <f t="shared" si="7"/>
        <v>24.230769230769226</v>
      </c>
      <c r="AM36" s="15">
        <v>28</v>
      </c>
      <c r="AN36" s="11">
        <f>INDEX('[4]input data'!$G$1:$G$1108,AO85,1)</f>
        <v>22.352837022433853</v>
      </c>
      <c r="AO36" s="11">
        <f>INDEX('[4]input data'!$G$1:$G$1108,AP85,1)</f>
        <v>22.816809305961961</v>
      </c>
      <c r="AP36" s="11">
        <f>INDEX('[4]input data'!$G$1:$G$1108,AQ85,1)</f>
        <v>23.293141559911223</v>
      </c>
      <c r="AQ36" s="11">
        <f>INDEX('[4]input data'!$G$1:$G$1108,AR85,1)</f>
        <v>23.746748358606883</v>
      </c>
      <c r="AR36" s="11">
        <f>INDEX('[4]input data'!$G$1:$G$1108,AS85,1)</f>
        <v>23.476621444388034</v>
      </c>
      <c r="AS36" s="11">
        <f>INDEX('[4]input data'!$G$1:$G$1108,AT85,1)</f>
        <v>23.634120468637043</v>
      </c>
      <c r="AT36" s="11">
        <f>INDEX('[4]input data'!$G$1:$G$1108,AU85,1)</f>
        <v>24.267767142689323</v>
      </c>
      <c r="AU36" s="11">
        <f>INDEX('[4]input data'!$G$1:$G$1108,AV85,1)</f>
        <v>23.407933773895131</v>
      </c>
      <c r="AV36" s="11">
        <f>INDEX('[4]input data'!$G$1:$G$1108,AW85,1)</f>
        <v>22.001602394793437</v>
      </c>
      <c r="AW36" s="11">
        <f>INDEX('[4]input data'!$G$1:$G$1108,AX85,1)</f>
        <v>22.202667252878626</v>
      </c>
      <c r="AX36" s="11">
        <f>INDEX('[4]input data'!$G$1:$G$1108,AY85,1)</f>
        <v>22.202667252878626</v>
      </c>
      <c r="AY36" s="11">
        <f>INDEX('[4]input data'!$G$1:$G$1108,AZ85,1)</f>
        <v>22.202667252878626</v>
      </c>
      <c r="AZ36" s="11">
        <f>INDEX('[4]input data'!$G$1:$G$1108,BA85,1)</f>
        <v>22.403719944769762</v>
      </c>
      <c r="BA36" s="12">
        <f t="shared" si="4"/>
        <v>24.267767142689323</v>
      </c>
      <c r="BB36" s="13">
        <f t="shared" si="5"/>
        <v>22.001602394793437</v>
      </c>
      <c r="BC36" s="16">
        <f t="shared" si="8"/>
        <v>22.923792551901734</v>
      </c>
    </row>
    <row r="37" spans="1:55" ht="14.25" customHeight="1" x14ac:dyDescent="0.25">
      <c r="A37" s="15">
        <v>29</v>
      </c>
      <c r="B37" s="11">
        <f>'[4]input data'!E1014</f>
        <v>23</v>
      </c>
      <c r="C37" s="11">
        <f>'[4]input data'!E1015</f>
        <v>24</v>
      </c>
      <c r="D37" s="11">
        <f>'[4]input data'!E1016</f>
        <v>26.1</v>
      </c>
      <c r="E37" s="11">
        <f>'[4]input data'!E1017</f>
        <v>27.8</v>
      </c>
      <c r="F37" s="11">
        <f>'[4]input data'!E1018</f>
        <v>29.6</v>
      </c>
      <c r="G37" s="11">
        <f>'[4]input data'!E1019</f>
        <v>30.9</v>
      </c>
      <c r="H37" s="11">
        <f>'[4]input data'!E1020</f>
        <v>31.2</v>
      </c>
      <c r="I37" s="11">
        <f>'[4]input data'!E1021</f>
        <v>30.7</v>
      </c>
      <c r="J37" s="11">
        <f>'[4]input data'!E1022</f>
        <v>28.6</v>
      </c>
      <c r="K37" s="11">
        <f>'[4]input data'!E1023</f>
        <v>25.4</v>
      </c>
      <c r="L37" s="11">
        <f>'[4]input data'!E1024</f>
        <v>25.2</v>
      </c>
      <c r="M37" s="11">
        <f>'[4]input data'!E1025</f>
        <v>24.8</v>
      </c>
      <c r="N37" s="11">
        <f>'[4]input data'!E1026</f>
        <v>24.2</v>
      </c>
      <c r="O37" s="12">
        <f t="shared" si="0"/>
        <v>31.2</v>
      </c>
      <c r="P37" s="13">
        <f t="shared" si="1"/>
        <v>23</v>
      </c>
      <c r="Q37" s="16">
        <f t="shared" si="6"/>
        <v>27.038461538461533</v>
      </c>
      <c r="T37" s="15">
        <v>29</v>
      </c>
      <c r="U37" s="11">
        <f>INDEX('[4]input data'!$F$1:$F$1108,U86,1)</f>
        <v>22.5</v>
      </c>
      <c r="V37" s="11">
        <f>INDEX('[4]input data'!$F$1:$F$1108,V86,1)</f>
        <v>23.2</v>
      </c>
      <c r="W37" s="11">
        <f>INDEX('[4]input data'!$F$1:$F$1108,W86,1)</f>
        <v>24.7</v>
      </c>
      <c r="X37" s="11">
        <f>INDEX('[4]input data'!$F$1:$F$1108,X86,1)</f>
        <v>24.7</v>
      </c>
      <c r="Y37" s="11">
        <f>INDEX('[4]input data'!$F$1:$F$1108,Y86,1)</f>
        <v>24.5</v>
      </c>
      <c r="Z37" s="11">
        <f>INDEX('[4]input data'!$F$1:$F$1108,Z86,1)</f>
        <v>26</v>
      </c>
      <c r="AA37" s="11">
        <f>INDEX('[4]input data'!$F$1:$F$1108,AA86,1)</f>
        <v>26</v>
      </c>
      <c r="AB37" s="11">
        <f>INDEX('[4]input data'!$F$1:$F$1108,AB86,1)</f>
        <v>26</v>
      </c>
      <c r="AC37" s="11">
        <f>INDEX('[4]input data'!$F$1:$F$1108,AC86,1)</f>
        <v>24.6</v>
      </c>
      <c r="AD37" s="11">
        <f>INDEX('[4]input data'!$F$1:$F$1108,AD86,1)</f>
        <v>23</v>
      </c>
      <c r="AE37" s="11">
        <f>INDEX('[4]input data'!$F$1:$F$1108,AE86,1)</f>
        <v>23</v>
      </c>
      <c r="AF37" s="11">
        <f>INDEX('[4]input data'!$F$1:$F$1108,AF86,1)</f>
        <v>23</v>
      </c>
      <c r="AG37" s="11">
        <f>INDEX('[4]input data'!$F$1:$F$1108,AG86,1)</f>
        <v>22.8</v>
      </c>
      <c r="AH37" s="12">
        <f t="shared" si="2"/>
        <v>26</v>
      </c>
      <c r="AI37" s="13">
        <f t="shared" si="3"/>
        <v>22.5</v>
      </c>
      <c r="AJ37" s="16">
        <f t="shared" si="7"/>
        <v>24.153846153846157</v>
      </c>
      <c r="AM37" s="15">
        <v>29</v>
      </c>
      <c r="AN37" s="11">
        <f>INDEX('[4]input data'!$G$1:$G$1108,AO86,1)</f>
        <v>22.157931057986872</v>
      </c>
      <c r="AO37" s="11">
        <f>INDEX('[4]input data'!$G$1:$G$1108,AP86,1)</f>
        <v>22.725900467116261</v>
      </c>
      <c r="AP37" s="11">
        <f>INDEX('[4]input data'!$G$1:$G$1108,AQ86,1)</f>
        <v>23.991741103549835</v>
      </c>
      <c r="AQ37" s="11">
        <f>INDEX('[4]input data'!$G$1:$G$1108,AR86,1)</f>
        <v>23.226371733954831</v>
      </c>
      <c r="AR37" s="11">
        <f>INDEX('[4]input data'!$G$1:$G$1108,AS86,1)</f>
        <v>22.058377213189214</v>
      </c>
      <c r="AS37" s="11">
        <f>INDEX('[4]input data'!$G$1:$G$1108,AT86,1)</f>
        <v>23.835018908079892</v>
      </c>
      <c r="AT37" s="11">
        <f>INDEX('[4]input data'!$G$1:$G$1108,AU86,1)</f>
        <v>23.701057797301626</v>
      </c>
      <c r="AU37" s="11">
        <f>INDEX('[4]input data'!$G$1:$G$1108,AV86,1)</f>
        <v>23.92380592644448</v>
      </c>
      <c r="AV37" s="11">
        <f>INDEX('[4]input data'!$G$1:$G$1108,AW86,1)</f>
        <v>22.698417218039328</v>
      </c>
      <c r="AW37" s="11">
        <f>INDEX('[4]input data'!$G$1:$G$1108,AX86,1)</f>
        <v>21.743085824045714</v>
      </c>
      <c r="AX37" s="11">
        <f>INDEX('[4]input data'!$G$1:$G$1108,AY86,1)</f>
        <v>21.842217111651138</v>
      </c>
      <c r="AY37" s="11">
        <f>INDEX('[4]input data'!$G$1:$G$1108,AZ86,1)</f>
        <v>22.038921395720571</v>
      </c>
      <c r="AZ37" s="11">
        <f>INDEX('[4]input data'!$G$1:$G$1108,BA86,1)</f>
        <v>22.026330365181977</v>
      </c>
      <c r="BA37" s="12">
        <f t="shared" si="4"/>
        <v>23.991741103549835</v>
      </c>
      <c r="BB37" s="13">
        <f t="shared" si="5"/>
        <v>21.743085824045714</v>
      </c>
      <c r="BC37" s="16">
        <f t="shared" si="8"/>
        <v>22.766859701712445</v>
      </c>
    </row>
    <row r="38" spans="1:55" ht="14.25" customHeight="1" x14ac:dyDescent="0.25">
      <c r="A38" s="15">
        <v>30</v>
      </c>
      <c r="B38" s="11">
        <f>'[4]input data'!E1050</f>
        <v>24.1</v>
      </c>
      <c r="C38" s="11">
        <f>'[4]input data'!E1051</f>
        <v>27</v>
      </c>
      <c r="D38" s="11">
        <f>'[4]input data'!E1052</f>
        <v>28.3</v>
      </c>
      <c r="E38" s="11">
        <f>'[4]input data'!E1053</f>
        <v>29.4</v>
      </c>
      <c r="F38" s="11">
        <f>'[4]input data'!E1054</f>
        <v>30.4</v>
      </c>
      <c r="G38" s="11">
        <f>'[4]input data'!E1055</f>
        <v>31.3</v>
      </c>
      <c r="H38" s="11">
        <f>'[4]input data'!E1056</f>
        <v>31.5</v>
      </c>
      <c r="I38" s="11">
        <f>'[4]input data'!E1057</f>
        <v>31.5</v>
      </c>
      <c r="J38" s="11">
        <f>'[4]input data'!E1058</f>
        <v>29</v>
      </c>
      <c r="K38" s="11">
        <f>'[4]input data'!E1059</f>
        <v>24</v>
      </c>
      <c r="L38" s="11">
        <f>'[4]input data'!E1060</f>
        <v>23.6</v>
      </c>
      <c r="M38" s="11">
        <f>'[4]input data'!E1061</f>
        <v>23.9</v>
      </c>
      <c r="N38" s="11">
        <f>'[4]input data'!E1062</f>
        <v>24.1</v>
      </c>
      <c r="O38" s="12">
        <f t="shared" si="0"/>
        <v>31.5</v>
      </c>
      <c r="P38" s="13">
        <f t="shared" si="1"/>
        <v>23.6</v>
      </c>
      <c r="Q38" s="16">
        <f t="shared" si="6"/>
        <v>27.54615384615385</v>
      </c>
      <c r="T38" s="15">
        <v>30</v>
      </c>
      <c r="U38" s="11">
        <f>INDEX('[4]input data'!$F$1:$F$1108,U87,1)</f>
        <v>22.7</v>
      </c>
      <c r="V38" s="11">
        <f>INDEX('[4]input data'!$F$1:$F$1108,V87,1)</f>
        <v>24.6</v>
      </c>
      <c r="W38" s="11">
        <f>INDEX('[4]input data'!$F$1:$F$1108,W87,1)</f>
        <v>24.8</v>
      </c>
      <c r="X38" s="11">
        <f>INDEX('[4]input data'!$F$1:$F$1108,X87,1)</f>
        <v>25.3</v>
      </c>
      <c r="Y38" s="11">
        <f>INDEX('[4]input data'!$F$1:$F$1108,Y87,1)</f>
        <v>25.7</v>
      </c>
      <c r="Z38" s="11">
        <f>INDEX('[4]input data'!$F$1:$F$1108,Z87,1)</f>
        <v>25.8</v>
      </c>
      <c r="AA38" s="11">
        <f>INDEX('[4]input data'!$F$1:$F$1108,AA87,1)</f>
        <v>25.6</v>
      </c>
      <c r="AB38" s="11">
        <f>INDEX('[4]input data'!$F$1:$F$1108,AB87,1)</f>
        <v>26.7</v>
      </c>
      <c r="AC38" s="11">
        <f>INDEX('[4]input data'!$F$1:$F$1108,AC87,1)</f>
        <v>24.2</v>
      </c>
      <c r="AD38" s="11">
        <f>INDEX('[4]input data'!$F$1:$F$1108,AD87,1)</f>
        <v>22.3</v>
      </c>
      <c r="AE38" s="11">
        <f>INDEX('[4]input data'!$F$1:$F$1108,AE87,1)</f>
        <v>22.4</v>
      </c>
      <c r="AF38" s="11">
        <f>INDEX('[4]input data'!$F$1:$F$1108,AF87,1)</f>
        <v>22.8</v>
      </c>
      <c r="AG38" s="11">
        <f>INDEX('[4]input data'!$F$1:$F$1108,AG87,1)</f>
        <v>23.1</v>
      </c>
      <c r="AH38" s="12">
        <f t="shared" si="2"/>
        <v>26.7</v>
      </c>
      <c r="AI38" s="13">
        <f t="shared" si="3"/>
        <v>22.3</v>
      </c>
      <c r="AJ38" s="16">
        <f t="shared" si="7"/>
        <v>24.307692307692307</v>
      </c>
      <c r="AM38" s="15">
        <v>30</v>
      </c>
      <c r="AN38" s="11">
        <f>INDEX('[4]input data'!$G$1:$G$1108,AO87,1)</f>
        <v>21.922667914032502</v>
      </c>
      <c r="AO38" s="11">
        <f>INDEX('[4]input data'!$G$1:$G$1108,AP87,1)</f>
        <v>23.439555090650348</v>
      </c>
      <c r="AP38" s="11">
        <f>INDEX('[4]input data'!$G$1:$G$1108,AQ87,1)</f>
        <v>23.15021314722178</v>
      </c>
      <c r="AQ38" s="11">
        <f>INDEX('[4]input data'!$G$1:$G$1108,AR87,1)</f>
        <v>23.420993532505424</v>
      </c>
      <c r="AR38" s="11">
        <f>INDEX('[4]input data'!$G$1:$G$1108,AS87,1)</f>
        <v>23.590976740194307</v>
      </c>
      <c r="AS38" s="11">
        <f>INDEX('[4]input data'!$G$1:$G$1108,AT87,1)</f>
        <v>23.340104664535794</v>
      </c>
      <c r="AT38" s="11">
        <f>INDEX('[4]input data'!$G$1:$G$1108,AU87,1)</f>
        <v>22.927927319859357</v>
      </c>
      <c r="AU38" s="11">
        <f>INDEX('[4]input data'!$G$1:$G$1108,AV87,1)</f>
        <v>24.655334127386521</v>
      </c>
      <c r="AV38" s="11">
        <f>INDEX('[4]input data'!$G$1:$G$1108,AW87,1)</f>
        <v>21.867237103039482</v>
      </c>
      <c r="AW38" s="11">
        <f>INDEX('[4]input data'!$G$1:$G$1108,AX87,1)</f>
        <v>21.356201229384059</v>
      </c>
      <c r="AX38" s="11">
        <f>INDEX('[4]input data'!$G$1:$G$1108,AY87,1)</f>
        <v>21.711365529606585</v>
      </c>
      <c r="AY38" s="11">
        <f>INDEX('[4]input data'!$G$1:$G$1108,AZ87,1)</f>
        <v>22.172613729490884</v>
      </c>
      <c r="AZ38" s="11">
        <f>INDEX('[4]input data'!$G$1:$G$1108,BA87,1)</f>
        <v>22.528801205505122</v>
      </c>
      <c r="BA38" s="12">
        <f t="shared" si="4"/>
        <v>24.655334127386521</v>
      </c>
      <c r="BB38" s="13">
        <f t="shared" si="5"/>
        <v>21.356201229384059</v>
      </c>
      <c r="BC38" s="16">
        <f t="shared" si="8"/>
        <v>22.775691641031703</v>
      </c>
    </row>
    <row r="39" spans="1:55" ht="14.25" customHeight="1" thickBot="1" x14ac:dyDescent="0.3">
      <c r="A39" s="15">
        <v>31</v>
      </c>
      <c r="B39" s="11">
        <f>'[4]input data'!E1086</f>
        <v>23.6</v>
      </c>
      <c r="C39" s="11">
        <f>'[4]input data'!E1087</f>
        <v>24</v>
      </c>
      <c r="D39" s="11">
        <f>'[4]input data'!E1088</f>
        <v>27.1</v>
      </c>
      <c r="E39" s="11">
        <f>'[4]input data'!E1089</f>
        <v>28.4</v>
      </c>
      <c r="F39" s="11">
        <f>'[4]input data'!E1090</f>
        <v>29.6</v>
      </c>
      <c r="G39" s="11">
        <f>'[4]input data'!E1091</f>
        <v>30.6</v>
      </c>
      <c r="H39" s="11">
        <f>'[4]input data'!E1092</f>
        <v>31.3</v>
      </c>
      <c r="I39" s="11">
        <f>'[4]input data'!E1093</f>
        <v>31.4</v>
      </c>
      <c r="J39" s="11">
        <f>'[4]input data'!E1094</f>
        <v>30.9</v>
      </c>
      <c r="K39" s="11">
        <f>'[4]input data'!E1095</f>
        <v>30</v>
      </c>
      <c r="L39" s="11">
        <f>'[4]input data'!E1096</f>
        <v>28.6</v>
      </c>
      <c r="M39" s="11">
        <f>'[4]input data'!E1097</f>
        <v>27.6</v>
      </c>
      <c r="N39" s="11">
        <f>'[4]input data'!E1098</f>
        <v>26.5</v>
      </c>
      <c r="O39" s="17">
        <f t="shared" si="0"/>
        <v>31.4</v>
      </c>
      <c r="P39" s="18">
        <f t="shared" si="1"/>
        <v>23.6</v>
      </c>
      <c r="Q39" s="19">
        <f t="shared" si="6"/>
        <v>28.430769230769233</v>
      </c>
      <c r="T39" s="15">
        <v>31</v>
      </c>
      <c r="U39" s="11">
        <f>INDEX('[4]input data'!$F$1:$F$1108,U88,1)</f>
        <v>22</v>
      </c>
      <c r="V39" s="11">
        <f>INDEX('[4]input data'!$F$1:$F$1108,V88,1)</f>
        <v>22.5</v>
      </c>
      <c r="W39" s="11">
        <f>INDEX('[4]input data'!$F$1:$F$1108,W88,1)</f>
        <v>23.6</v>
      </c>
      <c r="X39" s="11">
        <f>INDEX('[4]input data'!$F$1:$F$1108,X88,1)</f>
        <v>24.2</v>
      </c>
      <c r="Y39" s="11">
        <f>INDEX('[4]input data'!$F$1:$F$1108,Y88,1)</f>
        <v>24.6</v>
      </c>
      <c r="Z39" s="11">
        <f>INDEX('[4]input data'!$F$1:$F$1108,Z88,1)</f>
        <v>25</v>
      </c>
      <c r="AA39" s="11">
        <f>INDEX('[4]input data'!$F$1:$F$1108,AA88,1)</f>
        <v>25.8</v>
      </c>
      <c r="AB39" s="11">
        <f>INDEX('[4]input data'!$F$1:$F$1108,AB88,1)</f>
        <v>26.3</v>
      </c>
      <c r="AC39" s="11">
        <f>INDEX('[4]input data'!$F$1:$F$1108,AC88,1)</f>
        <v>26.1</v>
      </c>
      <c r="AD39" s="11">
        <f>INDEX('[4]input data'!$F$1:$F$1108,AD88,1)</f>
        <v>25.8</v>
      </c>
      <c r="AE39" s="11">
        <f>INDEX('[4]input data'!$F$1:$F$1108,AE88,1)</f>
        <v>25.3</v>
      </c>
      <c r="AF39" s="11">
        <f>INDEX('[4]input data'!$F$1:$F$1108,AF88,1)</f>
        <v>25.1</v>
      </c>
      <c r="AG39" s="11">
        <f>INDEX('[4]input data'!$F$1:$F$1108,AG88,1)</f>
        <v>24.2</v>
      </c>
      <c r="AH39" s="12">
        <f t="shared" si="2"/>
        <v>26.3</v>
      </c>
      <c r="AI39" s="20">
        <f t="shared" si="3"/>
        <v>22</v>
      </c>
      <c r="AJ39" s="19">
        <f t="shared" si="7"/>
        <v>24.653846153846157</v>
      </c>
      <c r="AM39" s="15">
        <v>31</v>
      </c>
      <c r="AN39" s="11">
        <f>INDEX('[4]input data'!$G$1:$G$1108,AO88,1)</f>
        <v>21.093753637792133</v>
      </c>
      <c r="AO39" s="11">
        <f>INDEX('[4]input data'!$G$1:$G$1108,AP88,1)</f>
        <v>21.665437896127546</v>
      </c>
      <c r="AP39" s="11">
        <f>INDEX('[4]input data'!$G$1:$G$1108,AQ88,1)</f>
        <v>21.84441308837425</v>
      </c>
      <c r="AQ39" s="11">
        <f>INDEX('[4]input data'!$G$1:$G$1108,AR88,1)</f>
        <v>22.161158941710486</v>
      </c>
      <c r="AR39" s="11">
        <f>INDEX('[4]input data'!$G$1:$G$1108,AS88,1)</f>
        <v>22.219995210731696</v>
      </c>
      <c r="AS39" s="11">
        <f>INDEX('[4]input data'!$G$1:$G$1108,AT88,1)</f>
        <v>22.384333702710158</v>
      </c>
      <c r="AT39" s="11">
        <f>INDEX('[4]input data'!$G$1:$G$1108,AU88,1)</f>
        <v>23.340104664535794</v>
      </c>
      <c r="AU39" s="11">
        <f>INDEX('[4]input data'!$G$1:$G$1108,AV88,1)</f>
        <v>24.081080309401685</v>
      </c>
      <c r="AV39" s="11">
        <f>INDEX('[4]input data'!$G$1:$G$1108,AW88,1)</f>
        <v>23.990519372126936</v>
      </c>
      <c r="AW39" s="11">
        <f>INDEX('[4]input data'!$G$1:$G$1108,AX88,1)</f>
        <v>23.924726871474732</v>
      </c>
      <c r="AX39" s="11">
        <f>INDEX('[4]input data'!$G$1:$G$1108,AY88,1)</f>
        <v>23.781347522481425</v>
      </c>
      <c r="AY39" s="11">
        <f>INDEX('[4]input data'!$G$1:$G$1108,AZ88,1)</f>
        <v>23.92349895424092</v>
      </c>
      <c r="AZ39" s="11">
        <f>INDEX('[4]input data'!$G$1:$G$1108,BA88,1)</f>
        <v>23.062751389564443</v>
      </c>
      <c r="BA39" s="17">
        <f t="shared" si="4"/>
        <v>24.081080309401685</v>
      </c>
      <c r="BB39" s="18">
        <f t="shared" si="5"/>
        <v>21.093753637792133</v>
      </c>
      <c r="BC39" s="19">
        <f t="shared" si="8"/>
        <v>22.882547812405555</v>
      </c>
    </row>
    <row r="40" spans="1:55" ht="14.25" customHeight="1" thickTop="1" x14ac:dyDescent="0.25">
      <c r="A40" s="21" t="s">
        <v>25</v>
      </c>
      <c r="B40" s="22">
        <f t="shared" ref="B40:Q40" si="9">MAX(B9:B39)</f>
        <v>26.2</v>
      </c>
      <c r="C40" s="22">
        <f t="shared" si="9"/>
        <v>27.8</v>
      </c>
      <c r="D40" s="22">
        <f t="shared" si="9"/>
        <v>29</v>
      </c>
      <c r="E40" s="22">
        <f t="shared" si="9"/>
        <v>30.4</v>
      </c>
      <c r="F40" s="22">
        <f t="shared" si="9"/>
        <v>31</v>
      </c>
      <c r="G40" s="22">
        <f t="shared" si="9"/>
        <v>31.7</v>
      </c>
      <c r="H40" s="22">
        <f t="shared" si="9"/>
        <v>32.4</v>
      </c>
      <c r="I40" s="22">
        <f t="shared" si="9"/>
        <v>32.200000000000003</v>
      </c>
      <c r="J40" s="22">
        <f t="shared" si="9"/>
        <v>31.9</v>
      </c>
      <c r="K40" s="22">
        <f t="shared" si="9"/>
        <v>31.2</v>
      </c>
      <c r="L40" s="22">
        <f t="shared" si="9"/>
        <v>30</v>
      </c>
      <c r="M40" s="22">
        <f t="shared" si="9"/>
        <v>28.6</v>
      </c>
      <c r="N40" s="22">
        <f t="shared" si="9"/>
        <v>27.4</v>
      </c>
      <c r="O40" s="12">
        <f t="shared" si="9"/>
        <v>32.4</v>
      </c>
      <c r="P40" s="23">
        <f t="shared" si="9"/>
        <v>25.4</v>
      </c>
      <c r="Q40" s="24">
        <f t="shared" si="9"/>
        <v>29.169230769230769</v>
      </c>
      <c r="T40" s="21" t="s">
        <v>25</v>
      </c>
      <c r="U40" s="22">
        <f t="shared" ref="U40:AJ40" si="10">MAX(U9:U39)</f>
        <v>24.7</v>
      </c>
      <c r="V40" s="22">
        <f t="shared" si="10"/>
        <v>25.4</v>
      </c>
      <c r="W40" s="22">
        <f t="shared" si="10"/>
        <v>25.8</v>
      </c>
      <c r="X40" s="22">
        <f t="shared" si="10"/>
        <v>26.6</v>
      </c>
      <c r="Y40" s="22">
        <f t="shared" si="10"/>
        <v>26.6</v>
      </c>
      <c r="Z40" s="22">
        <f t="shared" si="10"/>
        <v>26.8</v>
      </c>
      <c r="AA40" s="22">
        <f t="shared" si="10"/>
        <v>26.9</v>
      </c>
      <c r="AB40" s="22">
        <f t="shared" si="10"/>
        <v>26.8</v>
      </c>
      <c r="AC40" s="22">
        <f t="shared" si="10"/>
        <v>27.4</v>
      </c>
      <c r="AD40" s="22">
        <f t="shared" si="10"/>
        <v>27.4</v>
      </c>
      <c r="AE40" s="22">
        <f t="shared" si="10"/>
        <v>26.8</v>
      </c>
      <c r="AF40" s="22">
        <f t="shared" si="10"/>
        <v>26.2</v>
      </c>
      <c r="AG40" s="22">
        <f t="shared" si="10"/>
        <v>25.8</v>
      </c>
      <c r="AH40" s="25">
        <f t="shared" si="10"/>
        <v>27.4</v>
      </c>
      <c r="AI40" s="23">
        <f t="shared" si="10"/>
        <v>24.4</v>
      </c>
      <c r="AJ40" s="24">
        <f t="shared" si="10"/>
        <v>25.900000000000002</v>
      </c>
      <c r="AM40" s="21" t="s">
        <v>25</v>
      </c>
      <c r="AN40" s="22">
        <f t="shared" ref="AN40:BC40" si="11">MAX(AN9:AN39)</f>
        <v>23.947561150294405</v>
      </c>
      <c r="AO40" s="22">
        <f t="shared" si="11"/>
        <v>24.798771745606889</v>
      </c>
      <c r="AP40" s="22">
        <f t="shared" si="11"/>
        <v>24.643100813782382</v>
      </c>
      <c r="AQ40" s="22">
        <f t="shared" si="11"/>
        <v>25.465574323631699</v>
      </c>
      <c r="AR40" s="22">
        <f t="shared" si="11"/>
        <v>25.094167733701742</v>
      </c>
      <c r="AS40" s="22">
        <f t="shared" si="11"/>
        <v>25.350320273695747</v>
      </c>
      <c r="AT40" s="22">
        <f t="shared" si="11"/>
        <v>25.726432888475905</v>
      </c>
      <c r="AU40" s="22">
        <f t="shared" si="11"/>
        <v>25.709266684195939</v>
      </c>
      <c r="AV40" s="22">
        <f t="shared" si="11"/>
        <v>25.550262329032996</v>
      </c>
      <c r="AW40" s="22">
        <f t="shared" si="11"/>
        <v>25.833058292922001</v>
      </c>
      <c r="AX40" s="22">
        <f t="shared" si="11"/>
        <v>25.432381669400549</v>
      </c>
      <c r="AY40" s="22">
        <f t="shared" si="11"/>
        <v>25.126693789475187</v>
      </c>
      <c r="AZ40" s="22">
        <f t="shared" si="11"/>
        <v>25.042874125091561</v>
      </c>
      <c r="BA40" s="12">
        <f t="shared" si="11"/>
        <v>25.833058292922001</v>
      </c>
      <c r="BB40" s="23">
        <f t="shared" si="11"/>
        <v>23.520555948119188</v>
      </c>
      <c r="BC40" s="24">
        <f t="shared" si="11"/>
        <v>24.464088040905587</v>
      </c>
    </row>
    <row r="41" spans="1:55" ht="14.25" customHeight="1" x14ac:dyDescent="0.25">
      <c r="A41" s="15" t="s">
        <v>26</v>
      </c>
      <c r="B41" s="26">
        <f t="shared" ref="B41:Q41" si="12">MIN(B9:B39)</f>
        <v>23</v>
      </c>
      <c r="C41" s="26">
        <f t="shared" si="12"/>
        <v>24</v>
      </c>
      <c r="D41" s="26">
        <f t="shared" si="12"/>
        <v>24.4</v>
      </c>
      <c r="E41" s="26">
        <f t="shared" si="12"/>
        <v>23.8</v>
      </c>
      <c r="F41" s="26">
        <f t="shared" si="12"/>
        <v>24.8</v>
      </c>
      <c r="G41" s="26">
        <f t="shared" si="12"/>
        <v>26.4</v>
      </c>
      <c r="H41" s="26">
        <f t="shared" si="12"/>
        <v>26.6</v>
      </c>
      <c r="I41" s="26">
        <f t="shared" si="12"/>
        <v>25.6</v>
      </c>
      <c r="J41" s="26">
        <f t="shared" si="12"/>
        <v>22.4</v>
      </c>
      <c r="K41" s="26">
        <f t="shared" si="12"/>
        <v>22.6</v>
      </c>
      <c r="L41" s="26">
        <f t="shared" si="12"/>
        <v>22.6</v>
      </c>
      <c r="M41" s="26">
        <f t="shared" si="12"/>
        <v>22.6</v>
      </c>
      <c r="N41" s="26">
        <f t="shared" si="12"/>
        <v>22.8</v>
      </c>
      <c r="O41" s="27">
        <f t="shared" si="12"/>
        <v>26.9</v>
      </c>
      <c r="P41" s="26">
        <f t="shared" si="12"/>
        <v>22.4</v>
      </c>
      <c r="Q41" s="28">
        <f t="shared" si="12"/>
        <v>25.515384615384615</v>
      </c>
      <c r="T41" s="15" t="s">
        <v>26</v>
      </c>
      <c r="U41" s="26">
        <f t="shared" ref="U41:AJ41" si="13">MIN(U9:U39)</f>
        <v>22</v>
      </c>
      <c r="V41" s="26">
        <f t="shared" si="13"/>
        <v>22.5</v>
      </c>
      <c r="W41" s="26">
        <f t="shared" si="13"/>
        <v>23.6</v>
      </c>
      <c r="X41" s="26">
        <f t="shared" si="13"/>
        <v>23.6</v>
      </c>
      <c r="Y41" s="26">
        <f t="shared" si="13"/>
        <v>23.9</v>
      </c>
      <c r="Z41" s="26">
        <f t="shared" si="13"/>
        <v>24</v>
      </c>
      <c r="AA41" s="26">
        <f t="shared" si="13"/>
        <v>24</v>
      </c>
      <c r="AB41" s="26">
        <f t="shared" si="13"/>
        <v>23.7</v>
      </c>
      <c r="AC41" s="26">
        <f t="shared" si="13"/>
        <v>22.2</v>
      </c>
      <c r="AD41" s="26">
        <f t="shared" si="13"/>
        <v>22.3</v>
      </c>
      <c r="AE41" s="26">
        <f t="shared" si="13"/>
        <v>22.4</v>
      </c>
      <c r="AF41" s="26">
        <f t="shared" si="13"/>
        <v>22.4</v>
      </c>
      <c r="AG41" s="26">
        <f t="shared" si="13"/>
        <v>22.6</v>
      </c>
      <c r="AH41" s="27">
        <f t="shared" si="13"/>
        <v>24.6</v>
      </c>
      <c r="AI41" s="26">
        <f t="shared" si="13"/>
        <v>22</v>
      </c>
      <c r="AJ41" s="28">
        <f t="shared" si="13"/>
        <v>23.969230769230769</v>
      </c>
      <c r="AM41" s="15" t="s">
        <v>26</v>
      </c>
      <c r="AN41" s="26">
        <f t="shared" ref="AN41:BC41" si="14">MIN(AN9:AN39)</f>
        <v>21.093753637792133</v>
      </c>
      <c r="AO41" s="26">
        <f t="shared" si="14"/>
        <v>21.457765521889179</v>
      </c>
      <c r="AP41" s="26">
        <f t="shared" si="14"/>
        <v>21.343462834053522</v>
      </c>
      <c r="AQ41" s="26">
        <f t="shared" si="14"/>
        <v>21.431936245680912</v>
      </c>
      <c r="AR41" s="26">
        <f t="shared" si="14"/>
        <v>21.12624143647675</v>
      </c>
      <c r="AS41" s="26">
        <f t="shared" si="14"/>
        <v>21.812391472228335</v>
      </c>
      <c r="AT41" s="26">
        <f t="shared" si="14"/>
        <v>22.540866348822316</v>
      </c>
      <c r="AU41" s="26">
        <f t="shared" si="14"/>
        <v>21.926992488235253</v>
      </c>
      <c r="AV41" s="26">
        <f t="shared" si="14"/>
        <v>21.867237103039482</v>
      </c>
      <c r="AW41" s="26">
        <f t="shared" si="14"/>
        <v>21.356201229384059</v>
      </c>
      <c r="AX41" s="26">
        <f t="shared" si="14"/>
        <v>21.711365529606585</v>
      </c>
      <c r="AY41" s="26">
        <f t="shared" si="14"/>
        <v>22.038921395720571</v>
      </c>
      <c r="AZ41" s="26">
        <f t="shared" si="14"/>
        <v>22.026330365181977</v>
      </c>
      <c r="BA41" s="27">
        <f t="shared" si="14"/>
        <v>23.303296611588866</v>
      </c>
      <c r="BB41" s="26">
        <f t="shared" si="14"/>
        <v>21.093753637792133</v>
      </c>
      <c r="BC41" s="28">
        <f t="shared" si="14"/>
        <v>22.27322324261775</v>
      </c>
    </row>
    <row r="42" spans="1:55" ht="14.25" customHeight="1" thickBot="1" x14ac:dyDescent="0.3">
      <c r="A42" s="29" t="s">
        <v>27</v>
      </c>
      <c r="B42" s="18">
        <f t="shared" ref="B42:Q42" si="15">AVERAGE(B9:B39)</f>
        <v>24.554838709677419</v>
      </c>
      <c r="C42" s="18">
        <f t="shared" si="15"/>
        <v>25.922580645161293</v>
      </c>
      <c r="D42" s="18">
        <f t="shared" si="15"/>
        <v>27.519354838709678</v>
      </c>
      <c r="E42" s="18">
        <f t="shared" si="15"/>
        <v>28.612903225806448</v>
      </c>
      <c r="F42" s="18">
        <f t="shared" si="15"/>
        <v>29.4258064516129</v>
      </c>
      <c r="G42" s="18">
        <f t="shared" si="15"/>
        <v>29.861290322580647</v>
      </c>
      <c r="H42" s="18">
        <f t="shared" si="15"/>
        <v>30.019354838709678</v>
      </c>
      <c r="I42" s="18">
        <f t="shared" si="15"/>
        <v>29.870967741935491</v>
      </c>
      <c r="J42" s="18">
        <f t="shared" si="15"/>
        <v>28.609677419354835</v>
      </c>
      <c r="K42" s="18">
        <f t="shared" si="15"/>
        <v>27.116129032258058</v>
      </c>
      <c r="L42" s="18">
        <f t="shared" si="15"/>
        <v>26.432258064516127</v>
      </c>
      <c r="M42" s="18">
        <f t="shared" si="15"/>
        <v>25.832258064516129</v>
      </c>
      <c r="N42" s="18">
        <f t="shared" si="15"/>
        <v>25.316129032258068</v>
      </c>
      <c r="O42" s="17">
        <f t="shared" si="15"/>
        <v>30.467741935483875</v>
      </c>
      <c r="P42" s="18">
        <f t="shared" si="15"/>
        <v>24.21290322580645</v>
      </c>
      <c r="Q42" s="19">
        <f t="shared" si="15"/>
        <v>27.622580645161289</v>
      </c>
      <c r="T42" s="29" t="s">
        <v>27</v>
      </c>
      <c r="U42" s="18">
        <f t="shared" ref="U42:AJ42" si="16">AVERAGE(U9:U39)</f>
        <v>23.399999999999995</v>
      </c>
      <c r="V42" s="18">
        <f t="shared" si="16"/>
        <v>24.083870967741941</v>
      </c>
      <c r="W42" s="18">
        <f t="shared" si="16"/>
        <v>24.722580645161294</v>
      </c>
      <c r="X42" s="18">
        <f t="shared" si="16"/>
        <v>25.025806451612905</v>
      </c>
      <c r="Y42" s="18">
        <f t="shared" si="16"/>
        <v>25.225806451612904</v>
      </c>
      <c r="Z42" s="18">
        <f t="shared" si="16"/>
        <v>25.545161290322579</v>
      </c>
      <c r="AA42" s="18">
        <f t="shared" si="16"/>
        <v>25.63225806451613</v>
      </c>
      <c r="AB42" s="18">
        <f t="shared" si="16"/>
        <v>25.609677419354842</v>
      </c>
      <c r="AC42" s="18">
        <f t="shared" si="16"/>
        <v>25.032258064516132</v>
      </c>
      <c r="AD42" s="18">
        <f t="shared" si="16"/>
        <v>24.454838709677414</v>
      </c>
      <c r="AE42" s="18">
        <f t="shared" si="16"/>
        <v>24.303225806451611</v>
      </c>
      <c r="AF42" s="18">
        <f t="shared" si="16"/>
        <v>24.245161290322574</v>
      </c>
      <c r="AG42" s="18">
        <f t="shared" si="16"/>
        <v>24.038709677419359</v>
      </c>
      <c r="AH42" s="17">
        <f t="shared" si="16"/>
        <v>25.945161290322584</v>
      </c>
      <c r="AI42" s="18">
        <f t="shared" si="16"/>
        <v>23.232258064516124</v>
      </c>
      <c r="AJ42" s="19">
        <f t="shared" si="16"/>
        <v>24.716873449131516</v>
      </c>
      <c r="AM42" s="29" t="s">
        <v>27</v>
      </c>
      <c r="AN42" s="18">
        <f t="shared" ref="AN42:BC42" si="17">AVERAGE(AN9:AN39)</f>
        <v>22.758678244109735</v>
      </c>
      <c r="AO42" s="18">
        <f t="shared" si="17"/>
        <v>23.149811375055179</v>
      </c>
      <c r="AP42" s="18">
        <f t="shared" si="17"/>
        <v>23.38039196559556</v>
      </c>
      <c r="AQ42" s="18">
        <f t="shared" si="17"/>
        <v>23.350157486865154</v>
      </c>
      <c r="AR42" s="18">
        <f t="shared" si="17"/>
        <v>23.288829737648811</v>
      </c>
      <c r="AS42" s="18">
        <f t="shared" si="17"/>
        <v>23.586937714044225</v>
      </c>
      <c r="AT42" s="18">
        <f t="shared" si="17"/>
        <v>23.653212787497118</v>
      </c>
      <c r="AU42" s="18">
        <f t="shared" si="17"/>
        <v>23.68652930002046</v>
      </c>
      <c r="AV42" s="18">
        <f t="shared" si="17"/>
        <v>23.374054871337655</v>
      </c>
      <c r="AW42" s="18">
        <f t="shared" si="17"/>
        <v>23.173233591578477</v>
      </c>
      <c r="AX42" s="18">
        <f t="shared" si="17"/>
        <v>23.257042798075442</v>
      </c>
      <c r="AY42" s="18">
        <f t="shared" si="17"/>
        <v>23.441310218324809</v>
      </c>
      <c r="AZ42" s="18">
        <f t="shared" si="17"/>
        <v>23.3662349455273</v>
      </c>
      <c r="BA42" s="17">
        <f t="shared" si="17"/>
        <v>24.322772362519665</v>
      </c>
      <c r="BB42" s="18">
        <f t="shared" si="17"/>
        <v>22.367878679512398</v>
      </c>
      <c r="BC42" s="19">
        <f t="shared" si="17"/>
        <v>23.343571156590759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[4]QFF!C42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[4]QFF!C43</f>
        <v>Kepala Stasiun Klimatologi Kelas IV</v>
      </c>
      <c r="N45" s="1" t="str">
        <f>[4]QFF!N43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tr">
        <f>[4]QFF!C44</f>
        <v>Sleman Yogyakarta</v>
      </c>
      <c r="N46" s="1"/>
      <c r="T46" s="1"/>
      <c r="V46" s="1" t="str">
        <f>C46</f>
        <v>Sleman Yogyakarta</v>
      </c>
      <c r="AG46" s="1"/>
      <c r="AM46" s="1"/>
      <c r="AO46" s="1" t="str">
        <f>V46</f>
        <v>Sleman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[4]QFF!C49</f>
        <v>RENI KRANINGTYAS, SP, M.Si</v>
      </c>
      <c r="N51" s="30" t="str">
        <f>[4]QFF!N49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[4]QFF!C50</f>
        <v>NIP.  19740203 199703 2 001</v>
      </c>
      <c r="N52" s="1" t="str">
        <f>[4]QFF!N50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60"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F1:L1"/>
    <mergeCell ref="Y1:AE1"/>
    <mergeCell ref="AR1:AX1"/>
    <mergeCell ref="G4:K4"/>
    <mergeCell ref="O4:Q4"/>
    <mergeCell ref="Z4:AD4"/>
    <mergeCell ref="AH4:AJ4"/>
    <mergeCell ref="AS4:AW4"/>
  </mergeCells>
  <pageMargins left="1.26" right="0.7" top="0.54" bottom="0.36" header="0.3" footer="0.3"/>
  <pageSetup paperSize="9" scale="75" orientation="landscape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BE90"/>
  <sheetViews>
    <sheetView topLeftCell="A4"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93" t="str">
        <f>'[5]input data'!C1136</f>
        <v>STASIUN KLIMATOLOGI KL. IV SLEMAN</v>
      </c>
      <c r="G1" s="93"/>
      <c r="H1" s="93"/>
      <c r="I1" s="93"/>
      <c r="J1" s="93"/>
      <c r="K1" s="93"/>
      <c r="L1" s="93"/>
      <c r="T1" s="1"/>
      <c r="Y1" s="93" t="str">
        <f>F1</f>
        <v>STASIUN KLIMATOLOGI KL. IV SLEMAN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KL. IV SLEMAN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4.25" customHeight="1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4.25" customHeight="1" x14ac:dyDescent="0.25">
      <c r="A4" s="2" t="s">
        <v>4</v>
      </c>
      <c r="C4" s="7"/>
      <c r="D4" s="4" t="str">
        <f>UPPER([5]QFE!C3)</f>
        <v>APRIL 2022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APRIL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APRIL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4.25" customHeight="1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4.25" customHeight="1" thickBot="1" x14ac:dyDescent="0.3">
      <c r="K6" s="2" t="s">
        <v>7</v>
      </c>
      <c r="M6" s="8" t="str">
        <f>'[5]input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4.25" customHeight="1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4.25" customHeight="1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4.25" customHeight="1" thickTop="1" x14ac:dyDescent="0.25">
      <c r="A9" s="10">
        <v>1</v>
      </c>
      <c r="B9" s="11">
        <f>'[5]input data'!E6</f>
        <v>24.4</v>
      </c>
      <c r="C9" s="11">
        <f>'[5]input data'!E7</f>
        <v>26.2</v>
      </c>
      <c r="D9" s="11">
        <f>'[5]input data'!E8</f>
        <v>27.8</v>
      </c>
      <c r="E9" s="11">
        <f>'[5]input data'!E9</f>
        <v>29.6</v>
      </c>
      <c r="F9" s="11">
        <f>'[5]input data'!E10</f>
        <v>30.2</v>
      </c>
      <c r="G9" s="11">
        <f>'[5]input data'!E11</f>
        <v>31.2</v>
      </c>
      <c r="H9" s="11">
        <f>'[5]input data'!E12</f>
        <v>30.2</v>
      </c>
      <c r="I9" s="11">
        <f>'[5]input data'!E13</f>
        <v>30</v>
      </c>
      <c r="J9" s="11">
        <f>'[5]input data'!E14</f>
        <v>31</v>
      </c>
      <c r="K9" s="11">
        <f>'[5]input data'!E15</f>
        <v>28</v>
      </c>
      <c r="L9" s="11">
        <f>'[5]input data'!E16</f>
        <v>23.6</v>
      </c>
      <c r="M9" s="11">
        <f>'[5]input data'!E17</f>
        <v>23.3</v>
      </c>
      <c r="N9" s="11">
        <f>'[5]input data'!E18</f>
        <v>23.4</v>
      </c>
      <c r="O9" s="12">
        <f t="shared" ref="O9:O38" si="0">MAX(B9:N9)</f>
        <v>31.2</v>
      </c>
      <c r="P9" s="13">
        <f t="shared" ref="P9:P38" si="1">MIN(B9:N9)</f>
        <v>23.3</v>
      </c>
      <c r="Q9" s="14">
        <f>AVERAGE(B9:N9)</f>
        <v>27.607692307692307</v>
      </c>
      <c r="T9" s="10">
        <v>1</v>
      </c>
      <c r="U9" s="11">
        <f>INDEX('[5]input data'!$F$1:$F$1108,U58,1)</f>
        <v>23</v>
      </c>
      <c r="V9" s="11">
        <f>INDEX('[5]input data'!$F$1:$F$1108,V58,1)</f>
        <v>24</v>
      </c>
      <c r="W9" s="11">
        <f>INDEX('[5]input data'!$F$1:$F$1108,W58,1)</f>
        <v>23.6</v>
      </c>
      <c r="X9" s="11">
        <f>INDEX('[5]input data'!$F$1:$F$1108,X58,1)</f>
        <v>24.8</v>
      </c>
      <c r="Y9" s="11">
        <f>INDEX('[5]input data'!$F$1:$F$1108,Y58,1)</f>
        <v>25.6</v>
      </c>
      <c r="Z9" s="11">
        <f>INDEX('[5]input data'!$F$1:$F$1108,Z58,1)</f>
        <v>25.2</v>
      </c>
      <c r="AA9" s="11">
        <f>INDEX('[5]input data'!$F$1:$F$1108,AA58,1)</f>
        <v>24.6</v>
      </c>
      <c r="AB9" s="11">
        <f>INDEX('[5]input data'!$F$1:$F$1108,AB58,1)</f>
        <v>24</v>
      </c>
      <c r="AC9" s="11">
        <f>INDEX('[5]input data'!$F$1:$F$1108,AC58,1)</f>
        <v>24.7</v>
      </c>
      <c r="AD9" s="11">
        <f>INDEX('[5]input data'!$F$1:$F$1108,AD58,1)</f>
        <v>25.2</v>
      </c>
      <c r="AE9" s="11">
        <f>INDEX('[5]input data'!$F$1:$F$1108,AE58,1)</f>
        <v>23.4</v>
      </c>
      <c r="AF9" s="11">
        <f>INDEX('[5]input data'!$F$1:$F$1108,AF58,1)</f>
        <v>23.1</v>
      </c>
      <c r="AG9" s="11">
        <f>INDEX('[5]input data'!$F$1:$F$1108,AG58,1)</f>
        <v>23.2</v>
      </c>
      <c r="AH9" s="12">
        <f t="shared" ref="AH9:AH38" si="2">MAX(U9:AG9)</f>
        <v>25.6</v>
      </c>
      <c r="AI9" s="13">
        <f t="shared" ref="AI9:AI38" si="3">MIN(U9:AG9)</f>
        <v>23</v>
      </c>
      <c r="AJ9" s="14">
        <f>AVERAGE(U9:AG9)</f>
        <v>24.184615384615384</v>
      </c>
      <c r="AM9" s="10">
        <v>1</v>
      </c>
      <c r="AN9" s="11">
        <f>INDEX('[5]input data'!$G$1:$G$1108,AO58,1)</f>
        <v>22.233586565753708</v>
      </c>
      <c r="AO9" s="11">
        <f>INDEX('[5]input data'!$G$1:$G$1108,AP58,1)</f>
        <v>22.898249002326494</v>
      </c>
      <c r="AP9" s="11">
        <f>INDEX('[5]input data'!$G$1:$G$1108,AQ58,1)</f>
        <v>21.495161498275294</v>
      </c>
      <c r="AQ9" s="11">
        <f>INDEX('[5]input data'!$G$1:$G$1108,AR58,1)</f>
        <v>22.540866348822316</v>
      </c>
      <c r="AR9" s="11">
        <f>INDEX('[5]input data'!$G$1:$G$1108,AS58,1)</f>
        <v>23.525167159390978</v>
      </c>
      <c r="AS9" s="11">
        <f>INDEX('[5]input data'!$G$1:$G$1108,AT58,1)</f>
        <v>22.421621048731168</v>
      </c>
      <c r="AT9" s="11">
        <f>INDEX('[5]input data'!$G$1:$G$1108,AU58,1)</f>
        <v>21.926992488235253</v>
      </c>
      <c r="AU9" s="11">
        <f>INDEX('[5]input data'!$G$1:$G$1108,AV58,1)</f>
        <v>21.032557586466847</v>
      </c>
      <c r="AV9" s="11">
        <f>INDEX('[5]input data'!$G$1:$G$1108,AW58,1)</f>
        <v>21.695889406423795</v>
      </c>
      <c r="AW9" s="11">
        <f>INDEX('[5]input data'!$G$1:$G$1108,AX58,1)</f>
        <v>23.896682202951688</v>
      </c>
      <c r="AX9" s="11">
        <f>INDEX('[5]input data'!$G$1:$G$1108,AY58,1)</f>
        <v>23.207812519635773</v>
      </c>
      <c r="AY9" s="11">
        <f>INDEX('[5]input data'!$G$1:$G$1108,AZ58,1)</f>
        <v>22.906299592291269</v>
      </c>
      <c r="AZ9" s="11">
        <f>INDEX('[5]input data'!$G$1:$G$1108,BA58,1)</f>
        <v>23.006806764540162</v>
      </c>
      <c r="BA9" s="12">
        <f t="shared" ref="BA9:BA38" si="4">MAX(AN9:AZ9)</f>
        <v>23.896682202951688</v>
      </c>
      <c r="BB9" s="13">
        <f t="shared" ref="BB9:BB38" si="5">MIN(AN9:AZ9)</f>
        <v>21.032557586466847</v>
      </c>
      <c r="BC9" s="14">
        <f>AVERAGE(AN9:AZ9)</f>
        <v>22.522130167988056</v>
      </c>
    </row>
    <row r="10" spans="1:57" ht="14.25" customHeight="1" x14ac:dyDescent="0.25">
      <c r="A10" s="15">
        <v>2</v>
      </c>
      <c r="B10" s="11">
        <f>'[5]input data'!E42</f>
        <v>23.2</v>
      </c>
      <c r="C10" s="11">
        <f>'[5]input data'!E43</f>
        <v>26.4</v>
      </c>
      <c r="D10" s="11">
        <f>'[5]input data'!E44</f>
        <v>28.4</v>
      </c>
      <c r="E10" s="11">
        <f>'[5]input data'!E45</f>
        <v>28.6</v>
      </c>
      <c r="F10" s="11">
        <f>'[5]input data'!E46</f>
        <v>29.8</v>
      </c>
      <c r="G10" s="11">
        <f>'[5]input data'!E47</f>
        <v>31</v>
      </c>
      <c r="H10" s="11">
        <f>'[5]input data'!E48</f>
        <v>31.6</v>
      </c>
      <c r="I10" s="11">
        <f>'[5]input data'!E49</f>
        <v>31.7</v>
      </c>
      <c r="J10" s="11">
        <f>'[5]input data'!E50</f>
        <v>29</v>
      </c>
      <c r="K10" s="11">
        <f>'[5]input data'!E51</f>
        <v>25.7</v>
      </c>
      <c r="L10" s="11">
        <f>'[5]input data'!E52</f>
        <v>22.5</v>
      </c>
      <c r="M10" s="11">
        <f>'[5]input data'!E53</f>
        <v>23</v>
      </c>
      <c r="N10" s="11">
        <f>'[5]input data'!E54</f>
        <v>23.3</v>
      </c>
      <c r="O10" s="12">
        <f t="shared" si="0"/>
        <v>31.7</v>
      </c>
      <c r="P10" s="13">
        <f t="shared" si="1"/>
        <v>22.5</v>
      </c>
      <c r="Q10" s="16">
        <f t="shared" ref="Q10:Q38" si="6">AVERAGE(B10:N10)</f>
        <v>27.246153846153845</v>
      </c>
      <c r="T10" s="15">
        <v>2</v>
      </c>
      <c r="U10" s="11">
        <f>INDEX('[5]input data'!$F$1:$F$1108,U59,1)</f>
        <v>21.8</v>
      </c>
      <c r="V10" s="11">
        <f>INDEX('[5]input data'!$F$1:$F$1108,V59,1)</f>
        <v>23.7</v>
      </c>
      <c r="W10" s="11">
        <f>INDEX('[5]input data'!$F$1:$F$1108,W59,1)</f>
        <v>24.4</v>
      </c>
      <c r="X10" s="11">
        <f>INDEX('[5]input data'!$F$1:$F$1108,X59,1)</f>
        <v>24.4</v>
      </c>
      <c r="Y10" s="11">
        <f>INDEX('[5]input data'!$F$1:$F$1108,Y59,1)</f>
        <v>25.1</v>
      </c>
      <c r="Z10" s="11">
        <f>INDEX('[5]input data'!$F$1:$F$1108,Z59,1)</f>
        <v>25.6</v>
      </c>
      <c r="AA10" s="11">
        <f>INDEX('[5]input data'!$F$1:$F$1108,AA59,1)</f>
        <v>25.6</v>
      </c>
      <c r="AB10" s="11">
        <f>INDEX('[5]input data'!$F$1:$F$1108,AB59,1)</f>
        <v>25.4</v>
      </c>
      <c r="AC10" s="11">
        <f>INDEX('[5]input data'!$F$1:$F$1108,AC59,1)</f>
        <v>25.2</v>
      </c>
      <c r="AD10" s="11">
        <f>INDEX('[5]input data'!$F$1:$F$1108,AD59,1)</f>
        <v>23.3</v>
      </c>
      <c r="AE10" s="11">
        <f>INDEX('[5]input data'!$F$1:$F$1108,AE59,1)</f>
        <v>22.2</v>
      </c>
      <c r="AF10" s="11">
        <f>INDEX('[5]input data'!$F$1:$F$1108,AF59,1)</f>
        <v>22.3</v>
      </c>
      <c r="AG10" s="11">
        <f>INDEX('[5]input data'!$F$1:$F$1108,AG59,1)</f>
        <v>22.7</v>
      </c>
      <c r="AH10" s="12">
        <f t="shared" si="2"/>
        <v>25.6</v>
      </c>
      <c r="AI10" s="13">
        <f t="shared" si="3"/>
        <v>21.8</v>
      </c>
      <c r="AJ10" s="16">
        <f t="shared" ref="AJ10:AJ38" si="7">AVERAGE(U10:AG10)</f>
        <v>23.976923076923075</v>
      </c>
      <c r="AM10" s="15">
        <v>2</v>
      </c>
      <c r="AN10" s="11">
        <f>INDEX('[5]input data'!$G$1:$G$1108,AO59,1)</f>
        <v>20.988644180187649</v>
      </c>
      <c r="AO10" s="11">
        <f>INDEX('[5]input data'!$G$1:$G$1108,AP59,1)</f>
        <v>22.342651306421143</v>
      </c>
      <c r="AP10" s="11">
        <f>INDEX('[5]input data'!$G$1:$G$1108,AQ59,1)</f>
        <v>22.478402908283279</v>
      </c>
      <c r="AQ10" s="11">
        <f>INDEX('[5]input data'!$G$1:$G$1108,AR59,1)</f>
        <v>22.382571693636379</v>
      </c>
      <c r="AR10" s="11">
        <f>INDEX('[5]input data'!$G$1:$G$1108,AS59,1)</f>
        <v>22.923312230764488</v>
      </c>
      <c r="AS10" s="11">
        <f>INDEX('[5]input data'!$G$1:$G$1108,AT59,1)</f>
        <v>23.159866723625395</v>
      </c>
      <c r="AT10" s="11">
        <f>INDEX('[5]input data'!$G$1:$G$1108,AU59,1)</f>
        <v>22.881196397786919</v>
      </c>
      <c r="AU10" s="11">
        <f>INDEX('[5]input data'!$G$1:$G$1108,AV59,1)</f>
        <v>22.508997335418172</v>
      </c>
      <c r="AV10" s="11">
        <f>INDEX('[5]input data'!$G$1:$G$1108,AW59,1)</f>
        <v>23.447926951785295</v>
      </c>
      <c r="AW10" s="11">
        <f>INDEX('[5]input data'!$G$1:$G$1108,AX59,1)</f>
        <v>22.061937957629123</v>
      </c>
      <c r="AX10" s="11">
        <f>INDEX('[5]input data'!$G$1:$G$1108,AY59,1)</f>
        <v>21.952524101151301</v>
      </c>
      <c r="AY10" s="11">
        <f>INDEX('[5]input data'!$G$1:$G$1108,AZ59,1)</f>
        <v>21.85677608780551</v>
      </c>
      <c r="AZ10" s="11">
        <f>INDEX('[5]input data'!$G$1:$G$1108,BA59,1)</f>
        <v>22.312374826947206</v>
      </c>
      <c r="BA10" s="12">
        <f t="shared" si="4"/>
        <v>23.447926951785295</v>
      </c>
      <c r="BB10" s="13">
        <f t="shared" si="5"/>
        <v>20.988644180187649</v>
      </c>
      <c r="BC10" s="16">
        <f t="shared" ref="BC10:BC38" si="8">AVERAGE(AN10:AZ10)</f>
        <v>22.407475592418599</v>
      </c>
    </row>
    <row r="11" spans="1:57" ht="14.25" customHeight="1" x14ac:dyDescent="0.25">
      <c r="A11" s="15">
        <v>3</v>
      </c>
      <c r="B11" s="11">
        <f>'[5]input data'!E78</f>
        <v>23.9</v>
      </c>
      <c r="C11" s="11">
        <f>'[5]input data'!E79</f>
        <v>25.1</v>
      </c>
      <c r="D11" s="11">
        <f>'[5]input data'!E80</f>
        <v>27.3</v>
      </c>
      <c r="E11" s="11">
        <f>'[5]input data'!E81</f>
        <v>28.6</v>
      </c>
      <c r="F11" s="11">
        <f>'[5]input data'!E82</f>
        <v>29.6</v>
      </c>
      <c r="G11" s="11">
        <f>'[5]input data'!E83</f>
        <v>30.3</v>
      </c>
      <c r="H11" s="11">
        <f>'[5]input data'!E84</f>
        <v>29.4</v>
      </c>
      <c r="I11" s="11">
        <f>'[5]input data'!E85</f>
        <v>29.4</v>
      </c>
      <c r="J11" s="11">
        <f>'[5]input data'!E86</f>
        <v>28</v>
      </c>
      <c r="K11" s="11">
        <f>'[5]input data'!E87</f>
        <v>24</v>
      </c>
      <c r="L11" s="11">
        <f>'[5]input data'!E88</f>
        <v>23</v>
      </c>
      <c r="M11" s="11">
        <f>'[5]input data'!E89</f>
        <v>23</v>
      </c>
      <c r="N11" s="11">
        <f>'[5]input data'!E90</f>
        <v>23</v>
      </c>
      <c r="O11" s="12">
        <f t="shared" si="0"/>
        <v>30.3</v>
      </c>
      <c r="P11" s="13">
        <f t="shared" si="1"/>
        <v>23</v>
      </c>
      <c r="Q11" s="16">
        <f t="shared" si="6"/>
        <v>26.507692307692309</v>
      </c>
      <c r="T11" s="15">
        <v>3</v>
      </c>
      <c r="U11" s="11">
        <f>INDEX('[5]input data'!$F$1:$F$1108,U60,1)</f>
        <v>23.4</v>
      </c>
      <c r="V11" s="11">
        <f>INDEX('[5]input data'!$F$1:$F$1108,V60,1)</f>
        <v>24.1</v>
      </c>
      <c r="W11" s="11">
        <f>INDEX('[5]input data'!$F$1:$F$1108,W60,1)</f>
        <v>24.5</v>
      </c>
      <c r="X11" s="11">
        <f>INDEX('[5]input data'!$F$1:$F$1108,X60,1)</f>
        <v>25.2</v>
      </c>
      <c r="Y11" s="11">
        <f>INDEX('[5]input data'!$F$1:$F$1108,Y60,1)</f>
        <v>25</v>
      </c>
      <c r="Z11" s="11">
        <f>INDEX('[5]input data'!$F$1:$F$1108,Z60,1)</f>
        <v>25.6</v>
      </c>
      <c r="AA11" s="11">
        <f>INDEX('[5]input data'!$F$1:$F$1108,AA60,1)</f>
        <v>25</v>
      </c>
      <c r="AB11" s="11">
        <f>INDEX('[5]input data'!$F$1:$F$1108,AB60,1)</f>
        <v>25</v>
      </c>
      <c r="AC11" s="11">
        <f>INDEX('[5]input data'!$F$1:$F$1108,AC60,1)</f>
        <v>24.6</v>
      </c>
      <c r="AD11" s="11">
        <f>INDEX('[5]input data'!$F$1:$F$1108,AD60,1)</f>
        <v>23.6</v>
      </c>
      <c r="AE11" s="11">
        <f>INDEX('[5]input data'!$F$1:$F$1108,AE60,1)</f>
        <v>22.8</v>
      </c>
      <c r="AF11" s="11">
        <f>INDEX('[5]input data'!$F$1:$F$1108,AF60,1)</f>
        <v>22.8</v>
      </c>
      <c r="AG11" s="11">
        <f>INDEX('[5]input data'!$F$1:$F$1108,AG60,1)</f>
        <v>22.8</v>
      </c>
      <c r="AH11" s="12">
        <f t="shared" si="2"/>
        <v>25.6</v>
      </c>
      <c r="AI11" s="13">
        <f t="shared" si="3"/>
        <v>22.8</v>
      </c>
      <c r="AJ11" s="16">
        <f t="shared" si="7"/>
        <v>24.184615384615388</v>
      </c>
      <c r="AM11" s="15">
        <v>3</v>
      </c>
      <c r="AN11" s="11">
        <f>INDEX('[5]input data'!$G$1:$G$1108,AO60,1)</f>
        <v>23.069362589016496</v>
      </c>
      <c r="AO11" s="11">
        <f>INDEX('[5]input data'!$G$1:$G$1108,AP60,1)</f>
        <v>23.553394953907592</v>
      </c>
      <c r="AP11" s="11">
        <f>INDEX('[5]input data'!$G$1:$G$1108,AQ60,1)</f>
        <v>23.150202224975626</v>
      </c>
      <c r="AQ11" s="11">
        <f>INDEX('[5]input data'!$G$1:$G$1108,AR60,1)</f>
        <v>23.628701010435609</v>
      </c>
      <c r="AR11" s="11">
        <f>INDEX('[5]input data'!$G$1:$G$1108,AS60,1)</f>
        <v>22.858668311959782</v>
      </c>
      <c r="AS11" s="11">
        <f>INDEX('[5]input data'!$G$1:$G$1108,AT60,1)</f>
        <v>23.479887102847229</v>
      </c>
      <c r="AT11" s="11">
        <f>INDEX('[5]input data'!$G$1:$G$1108,AU60,1)</f>
        <v>22.952122264170168</v>
      </c>
      <c r="AU11" s="11">
        <f>INDEX('[5]input data'!$G$1:$G$1108,AV60,1)</f>
        <v>22.952122264170168</v>
      </c>
      <c r="AV11" s="11">
        <f>INDEX('[5]input data'!$G$1:$G$1108,AW60,1)</f>
        <v>22.979754663101517</v>
      </c>
      <c r="AW11" s="11">
        <f>INDEX('[5]input data'!$G$1:$G$1108,AX60,1)</f>
        <v>23.317592460646107</v>
      </c>
      <c r="AX11" s="11">
        <f>INDEX('[5]input data'!$G$1:$G$1108,AY60,1)</f>
        <v>22.604760645934597</v>
      </c>
      <c r="AY11" s="11">
        <f>INDEX('[5]input data'!$G$1:$G$1108,AZ60,1)</f>
        <v>22.604760645934597</v>
      </c>
      <c r="AZ11" s="11">
        <f>INDEX('[5]input data'!$G$1:$G$1108,BA60,1)</f>
        <v>22.604760645934597</v>
      </c>
      <c r="BA11" s="12">
        <f t="shared" si="4"/>
        <v>23.628701010435609</v>
      </c>
      <c r="BB11" s="13">
        <f t="shared" si="5"/>
        <v>22.604760645934597</v>
      </c>
      <c r="BC11" s="16">
        <f t="shared" si="8"/>
        <v>23.058160752541081</v>
      </c>
    </row>
    <row r="12" spans="1:57" ht="14.25" customHeight="1" x14ac:dyDescent="0.25">
      <c r="A12" s="15">
        <v>4</v>
      </c>
      <c r="B12" s="11">
        <f>'[5]input data'!E114</f>
        <v>24.5</v>
      </c>
      <c r="C12" s="11">
        <f>'[5]input data'!E115</f>
        <v>26</v>
      </c>
      <c r="D12" s="11">
        <f>'[5]input data'!E116</f>
        <v>27.4</v>
      </c>
      <c r="E12" s="11">
        <f>'[5]input data'!E117</f>
        <v>28.6</v>
      </c>
      <c r="F12" s="11">
        <f>'[5]input data'!E118</f>
        <v>29.2</v>
      </c>
      <c r="G12" s="11">
        <f>'[5]input data'!E119</f>
        <v>30.2</v>
      </c>
      <c r="H12" s="11">
        <f>'[5]input data'!E120</f>
        <v>30.3</v>
      </c>
      <c r="I12" s="11">
        <f>'[5]input data'!E121</f>
        <v>29.6</v>
      </c>
      <c r="J12" s="11">
        <f>'[5]input data'!E122</f>
        <v>29.6</v>
      </c>
      <c r="K12" s="11">
        <f>'[5]input data'!E123</f>
        <v>29.4</v>
      </c>
      <c r="L12" s="11">
        <f>'[5]input data'!E124</f>
        <v>27.6</v>
      </c>
      <c r="M12" s="11">
        <f>'[5]input data'!E125</f>
        <v>27.4</v>
      </c>
      <c r="N12" s="11">
        <f>'[5]input data'!E126</f>
        <v>26.4</v>
      </c>
      <c r="O12" s="12">
        <f t="shared" si="0"/>
        <v>30.3</v>
      </c>
      <c r="P12" s="13">
        <f t="shared" si="1"/>
        <v>24.5</v>
      </c>
      <c r="Q12" s="16">
        <f t="shared" si="6"/>
        <v>28.169230769230765</v>
      </c>
      <c r="T12" s="15">
        <v>4</v>
      </c>
      <c r="U12" s="11">
        <f>INDEX('[5]input data'!$F$1:$F$1108,U61,1)</f>
        <v>23.2</v>
      </c>
      <c r="V12" s="11">
        <f>INDEX('[5]input data'!$F$1:$F$1108,V61,1)</f>
        <v>23</v>
      </c>
      <c r="W12" s="11">
        <f>INDEX('[5]input data'!$F$1:$F$1108,W61,1)</f>
        <v>24</v>
      </c>
      <c r="X12" s="11">
        <f>INDEX('[5]input data'!$F$1:$F$1108,X61,1)</f>
        <v>24.8</v>
      </c>
      <c r="Y12" s="11">
        <f>INDEX('[5]input data'!$F$1:$F$1108,Y61,1)</f>
        <v>25</v>
      </c>
      <c r="Z12" s="11">
        <f>INDEX('[5]input data'!$F$1:$F$1108,Z61,1)</f>
        <v>25.6</v>
      </c>
      <c r="AA12" s="11">
        <f>INDEX('[5]input data'!$F$1:$F$1108,AA61,1)</f>
        <v>25.6</v>
      </c>
      <c r="AB12" s="11">
        <f>INDEX('[5]input data'!$F$1:$F$1108,AB61,1)</f>
        <v>25.4</v>
      </c>
      <c r="AC12" s="11">
        <f>INDEX('[5]input data'!$F$1:$F$1108,AC61,1)</f>
        <v>25.2</v>
      </c>
      <c r="AD12" s="11">
        <f>INDEX('[5]input data'!$F$1:$F$1108,AD61,1)</f>
        <v>25</v>
      </c>
      <c r="AE12" s="11">
        <f>INDEX('[5]input data'!$F$1:$F$1108,AE61,1)</f>
        <v>25</v>
      </c>
      <c r="AF12" s="11">
        <f>INDEX('[5]input data'!$F$1:$F$1108,AF61,1)</f>
        <v>25</v>
      </c>
      <c r="AG12" s="11">
        <f>INDEX('[5]input data'!$F$1:$F$1108,AG61,1)</f>
        <v>24.6</v>
      </c>
      <c r="AH12" s="12">
        <f t="shared" si="2"/>
        <v>25.6</v>
      </c>
      <c r="AI12" s="13">
        <f t="shared" si="3"/>
        <v>23</v>
      </c>
      <c r="AJ12" s="16">
        <f t="shared" si="7"/>
        <v>24.723076923076921</v>
      </c>
      <c r="AM12" s="15">
        <v>4</v>
      </c>
      <c r="AN12" s="11">
        <f>INDEX('[5]input data'!$G$1:$G$1108,AO61,1)</f>
        <v>22.488577424234201</v>
      </c>
      <c r="AO12" s="11">
        <f>INDEX('[5]input data'!$G$1:$G$1108,AP61,1)</f>
        <v>21.442503423907144</v>
      </c>
      <c r="AP12" s="11">
        <f>INDEX('[5]input data'!$G$1:$G$1108,AQ61,1)</f>
        <v>22.328850061942795</v>
      </c>
      <c r="AQ12" s="11">
        <f>INDEX('[5]input data'!$G$1:$G$1108,AR61,1)</f>
        <v>23.011327145203094</v>
      </c>
      <c r="AR12" s="11">
        <f>INDEX('[5]input data'!$G$1:$G$1108,AS61,1)</f>
        <v>23.045116879889999</v>
      </c>
      <c r="AS12" s="11">
        <f>INDEX('[5]input data'!$G$1:$G$1108,AT61,1)</f>
        <v>23.525167159390978</v>
      </c>
      <c r="AT12" s="11">
        <f>INDEX('[5]input data'!$G$1:$G$1108,AU61,1)</f>
        <v>23.479887102847229</v>
      </c>
      <c r="AU12" s="11">
        <f>INDEX('[5]input data'!$G$1:$G$1108,AV61,1)</f>
        <v>23.485447924589423</v>
      </c>
      <c r="AV12" s="11">
        <f>INDEX('[5]input data'!$G$1:$G$1108,AW61,1)</f>
        <v>23.173497959213115</v>
      </c>
      <c r="AW12" s="11">
        <f>INDEX('[5]input data'!$G$1:$G$1108,AX61,1)</f>
        <v>22.952122264170168</v>
      </c>
      <c r="AX12" s="11">
        <f>INDEX('[5]input data'!$G$1:$G$1108,AY61,1)</f>
        <v>23.773101758937997</v>
      </c>
      <c r="AY12" s="11">
        <f>INDEX('[5]input data'!$G$1:$G$1108,AZ61,1)</f>
        <v>23.862170856686003</v>
      </c>
      <c r="AZ12" s="11">
        <f>INDEX('[5]input data'!$G$1:$G$1108,BA61,1)</f>
        <v>23.710183186275557</v>
      </c>
      <c r="BA12" s="12">
        <f t="shared" si="4"/>
        <v>23.862170856686003</v>
      </c>
      <c r="BB12" s="13">
        <f t="shared" si="5"/>
        <v>21.442503423907144</v>
      </c>
      <c r="BC12" s="16">
        <f t="shared" si="8"/>
        <v>23.098304088252902</v>
      </c>
    </row>
    <row r="13" spans="1:57" ht="14.25" customHeight="1" x14ac:dyDescent="0.25">
      <c r="A13" s="15">
        <v>5</v>
      </c>
      <c r="B13" s="11">
        <f>'[5]input data'!E150</f>
        <v>25</v>
      </c>
      <c r="C13" s="11">
        <f>'[5]input data'!E151</f>
        <v>26.4</v>
      </c>
      <c r="D13" s="11">
        <f>'[5]input data'!E152</f>
        <v>27.2</v>
      </c>
      <c r="E13" s="11">
        <f>'[5]input data'!E153</f>
        <v>28.8</v>
      </c>
      <c r="F13" s="11">
        <f>'[5]input data'!E154</f>
        <v>29</v>
      </c>
      <c r="G13" s="11">
        <f>'[5]input data'!E155</f>
        <v>29.2</v>
      </c>
      <c r="H13" s="11">
        <f>'[5]input data'!E156</f>
        <v>29.5</v>
      </c>
      <c r="I13" s="11">
        <f>'[5]input data'!E157</f>
        <v>29.7</v>
      </c>
      <c r="J13" s="11">
        <f>'[5]input data'!E158</f>
        <v>28.8</v>
      </c>
      <c r="K13" s="11">
        <f>'[5]input data'!E159</f>
        <v>28.8</v>
      </c>
      <c r="L13" s="11">
        <f>'[5]input data'!E160</f>
        <v>27.4</v>
      </c>
      <c r="M13" s="11">
        <f>'[5]input data'!E161</f>
        <v>26.6</v>
      </c>
      <c r="N13" s="11">
        <f>'[5]input data'!E162</f>
        <v>26</v>
      </c>
      <c r="O13" s="12">
        <f t="shared" si="0"/>
        <v>29.7</v>
      </c>
      <c r="P13" s="13">
        <f t="shared" si="1"/>
        <v>25</v>
      </c>
      <c r="Q13" s="16">
        <f t="shared" si="6"/>
        <v>27.876923076923074</v>
      </c>
      <c r="T13" s="15">
        <v>5</v>
      </c>
      <c r="U13" s="11">
        <f>INDEX('[5]input data'!$F$1:$F$1108,U62,1)</f>
        <v>24.2</v>
      </c>
      <c r="V13" s="11">
        <f>INDEX('[5]input data'!$F$1:$F$1108,V62,1)</f>
        <v>24.2</v>
      </c>
      <c r="W13" s="11">
        <f>INDEX('[5]input data'!$F$1:$F$1108,W62,1)</f>
        <v>24.5</v>
      </c>
      <c r="X13" s="11">
        <f>INDEX('[5]input data'!$F$1:$F$1108,X62,1)</f>
        <v>24.8</v>
      </c>
      <c r="Y13" s="11">
        <f>INDEX('[5]input data'!$F$1:$F$1108,Y62,1)</f>
        <v>25</v>
      </c>
      <c r="Z13" s="11">
        <f>INDEX('[5]input data'!$F$1:$F$1108,Z62,1)</f>
        <v>25.8</v>
      </c>
      <c r="AA13" s="11">
        <f>INDEX('[5]input data'!$F$1:$F$1108,AA62,1)</f>
        <v>25.8</v>
      </c>
      <c r="AB13" s="11">
        <f>INDEX('[5]input data'!$F$1:$F$1108,AB62,1)</f>
        <v>26</v>
      </c>
      <c r="AC13" s="11">
        <f>INDEX('[5]input data'!$F$1:$F$1108,AC62,1)</f>
        <v>25</v>
      </c>
      <c r="AD13" s="11">
        <f>INDEX('[5]input data'!$F$1:$F$1108,AD62,1)</f>
        <v>25.4</v>
      </c>
      <c r="AE13" s="11">
        <f>INDEX('[5]input data'!$F$1:$F$1108,AE62,1)</f>
        <v>24.8</v>
      </c>
      <c r="AF13" s="11">
        <f>INDEX('[5]input data'!$F$1:$F$1108,AF62,1)</f>
        <v>24.5</v>
      </c>
      <c r="AG13" s="11">
        <f>INDEX('[5]input data'!$F$1:$F$1108,AG62,1)</f>
        <v>24.4</v>
      </c>
      <c r="AH13" s="12">
        <f t="shared" si="2"/>
        <v>26</v>
      </c>
      <c r="AI13" s="13">
        <f t="shared" si="3"/>
        <v>24.2</v>
      </c>
      <c r="AJ13" s="16">
        <f t="shared" si="7"/>
        <v>24.95384615384615</v>
      </c>
      <c r="AM13" s="15">
        <v>5</v>
      </c>
      <c r="AN13" s="11">
        <f>INDEX('[5]input data'!$G$1:$G$1108,AO62,1)</f>
        <v>23.745385843105907</v>
      </c>
      <c r="AO13" s="11">
        <f>INDEX('[5]input data'!$G$1:$G$1108,AP62,1)</f>
        <v>23.109032442757304</v>
      </c>
      <c r="AP13" s="11">
        <f>INDEX('[5]input data'!$G$1:$G$1108,AQ62,1)</f>
        <v>23.196271327670441</v>
      </c>
      <c r="AQ13" s="11">
        <f>INDEX('[5]input data'!$G$1:$G$1108,AR62,1)</f>
        <v>22.918167167153779</v>
      </c>
      <c r="AR13" s="11">
        <f>INDEX('[5]input data'!$G$1:$G$1108,AS62,1)</f>
        <v>23.13765699199967</v>
      </c>
      <c r="AS13" s="11">
        <f>INDEX('[5]input data'!$G$1:$G$1108,AT62,1)</f>
        <v>24.275779153816018</v>
      </c>
      <c r="AT13" s="11">
        <f>INDEX('[5]input data'!$G$1:$G$1108,AU62,1)</f>
        <v>24.144889537823108</v>
      </c>
      <c r="AU13" s="11">
        <f>INDEX('[5]input data'!$G$1:$G$1108,AV62,1)</f>
        <v>24.361649825750867</v>
      </c>
      <c r="AV13" s="11">
        <f>INDEX('[5]input data'!$G$1:$G$1108,AW62,1)</f>
        <v>23.229747355809128</v>
      </c>
      <c r="AW13" s="11">
        <f>INDEX('[5]input data'!$G$1:$G$1108,AX62,1)</f>
        <v>23.844597001278153</v>
      </c>
      <c r="AX13" s="11">
        <f>INDEX('[5]input data'!$G$1:$G$1108,AY62,1)</f>
        <v>23.560870599375164</v>
      </c>
      <c r="AY13" s="11">
        <f>INDEX('[5]input data'!$G$1:$G$1108,AZ62,1)</f>
        <v>23.470360724914261</v>
      </c>
      <c r="AZ13" s="11">
        <f>INDEX('[5]input data'!$G$1:$G$1108,BA62,1)</f>
        <v>23.592004375769026</v>
      </c>
      <c r="BA13" s="12">
        <f t="shared" si="4"/>
        <v>24.361649825750867</v>
      </c>
      <c r="BB13" s="13">
        <f t="shared" si="5"/>
        <v>22.918167167153779</v>
      </c>
      <c r="BC13" s="16">
        <f t="shared" si="8"/>
        <v>23.583570180555604</v>
      </c>
    </row>
    <row r="14" spans="1:57" ht="14.25" customHeight="1" x14ac:dyDescent="0.25">
      <c r="A14" s="15">
        <v>6</v>
      </c>
      <c r="B14" s="11">
        <f>'[5]input data'!E186</f>
        <v>24.4</v>
      </c>
      <c r="C14" s="11">
        <f>'[5]input data'!E187</f>
        <v>25.9</v>
      </c>
      <c r="D14" s="11">
        <f>'[5]input data'!E188</f>
        <v>28.4</v>
      </c>
      <c r="E14" s="11">
        <f>'[5]input data'!E189</f>
        <v>28.8</v>
      </c>
      <c r="F14" s="11">
        <f>'[5]input data'!E190</f>
        <v>29.8</v>
      </c>
      <c r="G14" s="11">
        <f>'[5]input data'!E191</f>
        <v>29.8</v>
      </c>
      <c r="H14" s="11">
        <f>'[5]input data'!E192</f>
        <v>30.6</v>
      </c>
      <c r="I14" s="11">
        <f>'[5]input data'!E193</f>
        <v>30.2</v>
      </c>
      <c r="J14" s="11">
        <f>'[5]input data'!E194</f>
        <v>29.9</v>
      </c>
      <c r="K14" s="11">
        <f>'[5]input data'!E195</f>
        <v>29.3</v>
      </c>
      <c r="L14" s="11">
        <f>'[5]input data'!E196</f>
        <v>28.3</v>
      </c>
      <c r="M14" s="11">
        <f>'[5]input data'!E197</f>
        <v>27.4</v>
      </c>
      <c r="N14" s="11">
        <f>'[5]input data'!E198</f>
        <v>26.7</v>
      </c>
      <c r="O14" s="12">
        <f t="shared" si="0"/>
        <v>30.6</v>
      </c>
      <c r="P14" s="13">
        <f t="shared" si="1"/>
        <v>24.4</v>
      </c>
      <c r="Q14" s="16">
        <f t="shared" si="6"/>
        <v>28.42307692307692</v>
      </c>
      <c r="T14" s="15">
        <v>6</v>
      </c>
      <c r="U14" s="11">
        <f>INDEX('[5]input data'!$F$1:$F$1108,U63,1)</f>
        <v>23.7</v>
      </c>
      <c r="V14" s="11">
        <f>INDEX('[5]input data'!$F$1:$F$1108,V63,1)</f>
        <v>24.4</v>
      </c>
      <c r="W14" s="11">
        <f>INDEX('[5]input data'!$F$1:$F$1108,W63,1)</f>
        <v>24.8</v>
      </c>
      <c r="X14" s="11">
        <f>INDEX('[5]input data'!$F$1:$F$1108,X63,1)</f>
        <v>25</v>
      </c>
      <c r="Y14" s="11">
        <f>INDEX('[5]input data'!$F$1:$F$1108,Y63,1)</f>
        <v>24.7</v>
      </c>
      <c r="Z14" s="11">
        <f>INDEX('[5]input data'!$F$1:$F$1108,Z63,1)</f>
        <v>24.7</v>
      </c>
      <c r="AA14" s="11">
        <f>INDEX('[5]input data'!$F$1:$F$1108,AA63,1)</f>
        <v>25.4</v>
      </c>
      <c r="AB14" s="11">
        <f>INDEX('[5]input data'!$F$1:$F$1108,AB63,1)</f>
        <v>24.8</v>
      </c>
      <c r="AC14" s="11">
        <f>INDEX('[5]input data'!$F$1:$F$1108,AC63,1)</f>
        <v>25.4</v>
      </c>
      <c r="AD14" s="11">
        <f>INDEX('[5]input data'!$F$1:$F$1108,AD63,1)</f>
        <v>25.1</v>
      </c>
      <c r="AE14" s="11">
        <f>INDEX('[5]input data'!$F$1:$F$1108,AE63,1)</f>
        <v>25</v>
      </c>
      <c r="AF14" s="11">
        <f>INDEX('[5]input data'!$F$1:$F$1108,AF63,1)</f>
        <v>24.8</v>
      </c>
      <c r="AG14" s="11">
        <f>INDEX('[5]input data'!$F$1:$F$1108,AG63,1)</f>
        <v>24.8</v>
      </c>
      <c r="AH14" s="12">
        <f t="shared" si="2"/>
        <v>25.4</v>
      </c>
      <c r="AI14" s="13">
        <f t="shared" si="3"/>
        <v>23.7</v>
      </c>
      <c r="AJ14" s="16">
        <f t="shared" si="7"/>
        <v>24.815384615384616</v>
      </c>
      <c r="AM14" s="15">
        <v>6</v>
      </c>
      <c r="AN14" s="11">
        <f>INDEX('[5]input data'!$G$1:$G$1108,AO63,1)</f>
        <v>23.281650558659795</v>
      </c>
      <c r="AO14" s="11">
        <f>INDEX('[5]input data'!$G$1:$G$1108,AP63,1)</f>
        <v>23.637014841394823</v>
      </c>
      <c r="AP14" s="11">
        <f>INDEX('[5]input data'!$G$1:$G$1108,AQ63,1)</f>
        <v>23.104030876414406</v>
      </c>
      <c r="AQ14" s="11">
        <f>INDEX('[5]input data'!$G$1:$G$1108,AR63,1)</f>
        <v>23.229747355809128</v>
      </c>
      <c r="AR14" s="11">
        <f>INDEX('[5]input data'!$G$1:$G$1108,AS63,1)</f>
        <v>22.284488461817968</v>
      </c>
      <c r="AS14" s="11">
        <f>INDEX('[5]input data'!$G$1:$G$1108,AT63,1)</f>
        <v>22.284488461817968</v>
      </c>
      <c r="AT14" s="11">
        <f>INDEX('[5]input data'!$G$1:$G$1108,AU63,1)</f>
        <v>23.026747545268133</v>
      </c>
      <c r="AU14" s="11">
        <f>INDEX('[5]input data'!$G$1:$G$1108,AV63,1)</f>
        <v>22.252853752447525</v>
      </c>
      <c r="AV14" s="11">
        <f>INDEX('[5]input data'!$G$1:$G$1108,AW63,1)</f>
        <v>23.348998535378588</v>
      </c>
      <c r="AW14" s="11">
        <f>INDEX('[5]input data'!$G$1:$G$1108,AX63,1)</f>
        <v>23.15530014080689</v>
      </c>
      <c r="AX14" s="11">
        <f>INDEX('[5]input data'!$G$1:$G$1108,AY63,1)</f>
        <v>23.458036142724641</v>
      </c>
      <c r="AY14" s="11">
        <f>INDEX('[5]input data'!$G$1:$G$1108,AZ63,1)</f>
        <v>23.560870599375164</v>
      </c>
      <c r="AZ14" s="11">
        <f>INDEX('[5]input data'!$G$1:$G$1108,BA63,1)</f>
        <v>23.874247836349671</v>
      </c>
      <c r="BA14" s="12">
        <f t="shared" si="4"/>
        <v>23.874247836349671</v>
      </c>
      <c r="BB14" s="13">
        <f t="shared" si="5"/>
        <v>22.252853752447525</v>
      </c>
      <c r="BC14" s="16">
        <f t="shared" si="8"/>
        <v>23.115267316020365</v>
      </c>
    </row>
    <row r="15" spans="1:57" ht="14.25" customHeight="1" x14ac:dyDescent="0.25">
      <c r="A15" s="15">
        <v>7</v>
      </c>
      <c r="B15" s="11">
        <f>'[5]input data'!E222</f>
        <v>24.8</v>
      </c>
      <c r="C15" s="11">
        <f>'[5]input data'!E223</f>
        <v>26.2</v>
      </c>
      <c r="D15" s="11">
        <f>'[5]input data'!E224</f>
        <v>27.4</v>
      </c>
      <c r="E15" s="11">
        <f>'[5]input data'!E225</f>
        <v>28</v>
      </c>
      <c r="F15" s="11">
        <f>'[5]input data'!E226</f>
        <v>27.4</v>
      </c>
      <c r="G15" s="11">
        <f>'[5]input data'!E227</f>
        <v>27.8</v>
      </c>
      <c r="H15" s="11">
        <f>'[5]input data'!E228</f>
        <v>28.8</v>
      </c>
      <c r="I15" s="11">
        <f>'[5]input data'!E229</f>
        <v>28.5</v>
      </c>
      <c r="J15" s="11">
        <f>'[5]input data'!E230</f>
        <v>29.2</v>
      </c>
      <c r="K15" s="11">
        <f>'[5]input data'!E231</f>
        <v>27.9</v>
      </c>
      <c r="L15" s="11">
        <f>'[5]input data'!E232</f>
        <v>26.8</v>
      </c>
      <c r="M15" s="11">
        <f>'[5]input data'!E233</f>
        <v>25.6</v>
      </c>
      <c r="N15" s="11">
        <f>'[5]input data'!E234</f>
        <v>24.7</v>
      </c>
      <c r="O15" s="12">
        <f t="shared" si="0"/>
        <v>29.2</v>
      </c>
      <c r="P15" s="13">
        <f t="shared" si="1"/>
        <v>24.7</v>
      </c>
      <c r="Q15" s="16">
        <f t="shared" si="6"/>
        <v>27.161538461538463</v>
      </c>
      <c r="T15" s="15">
        <v>7</v>
      </c>
      <c r="U15" s="11">
        <f>INDEX('[5]input data'!$F$1:$F$1108,U64,1)</f>
        <v>22.8</v>
      </c>
      <c r="V15" s="11">
        <f>INDEX('[5]input data'!$F$1:$F$1108,V64,1)</f>
        <v>23.6</v>
      </c>
      <c r="W15" s="11">
        <f>INDEX('[5]input data'!$F$1:$F$1108,W64,1)</f>
        <v>24.2</v>
      </c>
      <c r="X15" s="11">
        <f>INDEX('[5]input data'!$F$1:$F$1108,X64,1)</f>
        <v>24.4</v>
      </c>
      <c r="Y15" s="11">
        <f>INDEX('[5]input data'!$F$1:$F$1108,Y64,1)</f>
        <v>25</v>
      </c>
      <c r="Z15" s="11">
        <f>INDEX('[5]input data'!$F$1:$F$1108,Z64,1)</f>
        <v>25.4</v>
      </c>
      <c r="AA15" s="11">
        <f>INDEX('[5]input data'!$F$1:$F$1108,AA64,1)</f>
        <v>25.4</v>
      </c>
      <c r="AB15" s="11">
        <f>INDEX('[5]input data'!$F$1:$F$1108,AB64,1)</f>
        <v>24.8</v>
      </c>
      <c r="AC15" s="11">
        <f>INDEX('[5]input data'!$F$1:$F$1108,AC64,1)</f>
        <v>25.2</v>
      </c>
      <c r="AD15" s="11">
        <f>INDEX('[5]input data'!$F$1:$F$1108,AD64,1)</f>
        <v>24.2</v>
      </c>
      <c r="AE15" s="11">
        <f>INDEX('[5]input data'!$F$1:$F$1108,AE64,1)</f>
        <v>24.4</v>
      </c>
      <c r="AF15" s="11">
        <f>INDEX('[5]input data'!$F$1:$F$1108,AF64,1)</f>
        <v>23.9</v>
      </c>
      <c r="AG15" s="11">
        <f>INDEX('[5]input data'!$F$1:$F$1108,AG64,1)</f>
        <v>23.6</v>
      </c>
      <c r="AH15" s="12">
        <f t="shared" si="2"/>
        <v>25.4</v>
      </c>
      <c r="AI15" s="13">
        <f t="shared" si="3"/>
        <v>22.8</v>
      </c>
      <c r="AJ15" s="16">
        <f t="shared" si="7"/>
        <v>24.376923076923074</v>
      </c>
      <c r="AM15" s="15">
        <v>7</v>
      </c>
      <c r="AN15" s="11">
        <f>INDEX('[5]input data'!$G$1:$G$1108,AO64,1)</f>
        <v>21.730298217970802</v>
      </c>
      <c r="AO15" s="11">
        <f>INDEX('[5]input data'!$G$1:$G$1108,AP64,1)</f>
        <v>22.284100970206715</v>
      </c>
      <c r="AP15" s="11">
        <f>INDEX('[5]input data'!$G$1:$G$1108,AQ64,1)</f>
        <v>22.64104632271264</v>
      </c>
      <c r="AQ15" s="11">
        <f>INDEX('[5]input data'!$G$1:$G$1108,AR64,1)</f>
        <v>22.668616177039841</v>
      </c>
      <c r="AR15" s="11">
        <f>INDEX('[5]input data'!$G$1:$G$1108,AS64,1)</f>
        <v>23.862170856686003</v>
      </c>
      <c r="AS15" s="11">
        <f>INDEX('[5]input data'!$G$1:$G$1108,AT64,1)</f>
        <v>24.284221531671822</v>
      </c>
      <c r="AT15" s="11">
        <f>INDEX('[5]input data'!$G$1:$G$1108,AU64,1)</f>
        <v>23.844597001278153</v>
      </c>
      <c r="AU15" s="11">
        <f>INDEX('[5]input data'!$G$1:$G$1108,AV64,1)</f>
        <v>23.057735740899332</v>
      </c>
      <c r="AV15" s="11">
        <f>INDEX('[5]input data'!$G$1:$G$1108,AW64,1)</f>
        <v>23.356890846549941</v>
      </c>
      <c r="AW15" s="11">
        <f>INDEX('[5]input data'!$G$1:$G$1108,AX64,1)</f>
        <v>22.402630915606249</v>
      </c>
      <c r="AX15" s="11">
        <f>INDEX('[5]input data'!$G$1:$G$1108,AY64,1)</f>
        <v>23.228029920116789</v>
      </c>
      <c r="AY15" s="11">
        <f>INDEX('[5]input data'!$G$1:$G$1108,AZ64,1)</f>
        <v>23.026370764979553</v>
      </c>
      <c r="AZ15" s="11">
        <f>INDEX('[5]input data'!$G$1:$G$1108,BA64,1)</f>
        <v>22.994841492230826</v>
      </c>
      <c r="BA15" s="12">
        <f t="shared" si="4"/>
        <v>24.284221531671822</v>
      </c>
      <c r="BB15" s="13">
        <f t="shared" si="5"/>
        <v>21.730298217970802</v>
      </c>
      <c r="BC15" s="16">
        <f t="shared" si="8"/>
        <v>23.029350058303745</v>
      </c>
    </row>
    <row r="16" spans="1:57" ht="14.25" customHeight="1" x14ac:dyDescent="0.25">
      <c r="A16" s="15">
        <v>8</v>
      </c>
      <c r="B16" s="11">
        <f>'[5]input data'!E258</f>
        <v>24.5</v>
      </c>
      <c r="C16" s="11">
        <f>'[5]input data'!E259</f>
        <v>25.4</v>
      </c>
      <c r="D16" s="11">
        <f>'[5]input data'!E260</f>
        <v>26.6</v>
      </c>
      <c r="E16" s="11">
        <f>'[5]input data'!E261</f>
        <v>27.2</v>
      </c>
      <c r="F16" s="11">
        <f>'[5]input data'!E262</f>
        <v>28</v>
      </c>
      <c r="G16" s="11">
        <f>'[5]input data'!E263</f>
        <v>28.2</v>
      </c>
      <c r="H16" s="11">
        <f>'[5]input data'!E264</f>
        <v>28.9</v>
      </c>
      <c r="I16" s="11">
        <f>'[5]input data'!E265</f>
        <v>29.2</v>
      </c>
      <c r="J16" s="11">
        <f>'[5]input data'!E266</f>
        <v>28.8</v>
      </c>
      <c r="K16" s="11">
        <f>'[5]input data'!E267</f>
        <v>28.4</v>
      </c>
      <c r="L16" s="11">
        <f>'[5]input data'!E268</f>
        <v>27.4</v>
      </c>
      <c r="M16" s="11">
        <f>'[5]input data'!E269</f>
        <v>26.8</v>
      </c>
      <c r="N16" s="11">
        <f>'[5]input data'!E270</f>
        <v>25.8</v>
      </c>
      <c r="O16" s="12">
        <f t="shared" si="0"/>
        <v>29.2</v>
      </c>
      <c r="P16" s="13">
        <f t="shared" si="1"/>
        <v>24.5</v>
      </c>
      <c r="Q16" s="16">
        <f t="shared" si="6"/>
        <v>27.323076923076922</v>
      </c>
      <c r="T16" s="15">
        <v>8</v>
      </c>
      <c r="U16" s="11">
        <f>INDEX('[5]input data'!$F$1:$F$1108,U65,1)</f>
        <v>23.4</v>
      </c>
      <c r="V16" s="11">
        <f>INDEX('[5]input data'!$F$1:$F$1108,V65,1)</f>
        <v>23.8</v>
      </c>
      <c r="W16" s="11">
        <f>INDEX('[5]input data'!$F$1:$F$1108,W65,1)</f>
        <v>24.2</v>
      </c>
      <c r="X16" s="11">
        <f>INDEX('[5]input data'!$F$1:$F$1108,X65,1)</f>
        <v>23.8</v>
      </c>
      <c r="Y16" s="11">
        <f>INDEX('[5]input data'!$F$1:$F$1108,Y65,1)</f>
        <v>24.8</v>
      </c>
      <c r="Z16" s="11">
        <f>INDEX('[5]input data'!$F$1:$F$1108,Z65,1)</f>
        <v>24.8</v>
      </c>
      <c r="AA16" s="11">
        <f>INDEX('[5]input data'!$F$1:$F$1108,AA65,1)</f>
        <v>25.2</v>
      </c>
      <c r="AB16" s="11">
        <f>INDEX('[5]input data'!$F$1:$F$1108,AB65,1)</f>
        <v>25.2</v>
      </c>
      <c r="AC16" s="11">
        <f>INDEX('[5]input data'!$F$1:$F$1108,AC65,1)</f>
        <v>25.2</v>
      </c>
      <c r="AD16" s="11">
        <f>INDEX('[5]input data'!$F$1:$F$1108,AD65,1)</f>
        <v>24.6</v>
      </c>
      <c r="AE16" s="11">
        <f>INDEX('[5]input data'!$F$1:$F$1108,AE65,1)</f>
        <v>24.6</v>
      </c>
      <c r="AF16" s="11">
        <f>INDEX('[5]input data'!$F$1:$F$1108,AF65,1)</f>
        <v>24.4</v>
      </c>
      <c r="AG16" s="11">
        <f>INDEX('[5]input data'!$F$1:$F$1108,AG65,1)</f>
        <v>24</v>
      </c>
      <c r="AH16" s="12">
        <f t="shared" si="2"/>
        <v>25.2</v>
      </c>
      <c r="AI16" s="13">
        <f t="shared" si="3"/>
        <v>23.4</v>
      </c>
      <c r="AJ16" s="16">
        <f t="shared" si="7"/>
        <v>24.461538461538456</v>
      </c>
      <c r="AM16" s="15">
        <v>8</v>
      </c>
      <c r="AN16" s="11">
        <f>INDEX('[5]input data'!$G$1:$G$1108,AO65,1)</f>
        <v>22.789387257958612</v>
      </c>
      <c r="AO16" s="11">
        <f>INDEX('[5]input data'!$G$1:$G$1108,AP65,1)</f>
        <v>22.968814165589823</v>
      </c>
      <c r="AP16" s="11">
        <f>INDEX('[5]input data'!$G$1:$G$1108,AQ65,1)</f>
        <v>23.016356945678069</v>
      </c>
      <c r="AQ16" s="11">
        <f>INDEX('[5]input data'!$G$1:$G$1108,AR65,1)</f>
        <v>22.111430377236314</v>
      </c>
      <c r="AR16" s="11">
        <f>INDEX('[5]input data'!$G$1:$G$1108,AS65,1)</f>
        <v>23.28808865472617</v>
      </c>
      <c r="AS16" s="11">
        <f>INDEX('[5]input data'!$G$1:$G$1108,AT65,1)</f>
        <v>23.196283144013933</v>
      </c>
      <c r="AT16" s="11">
        <f>INDEX('[5]input data'!$G$1:$G$1108,AU65,1)</f>
        <v>23.493281902389949</v>
      </c>
      <c r="AU16" s="11">
        <f>INDEX('[5]input data'!$G$1:$G$1108,AV65,1)</f>
        <v>23.356890846549941</v>
      </c>
      <c r="AV16" s="11">
        <f>INDEX('[5]input data'!$G$1:$G$1108,AW65,1)</f>
        <v>23.538528861704741</v>
      </c>
      <c r="AW16" s="11">
        <f>INDEX('[5]input data'!$G$1:$G$1108,AX65,1)</f>
        <v>22.792662448856582</v>
      </c>
      <c r="AX16" s="11">
        <f>INDEX('[5]input data'!$G$1:$G$1108,AY65,1)</f>
        <v>23.256970699803183</v>
      </c>
      <c r="AY16" s="11">
        <f>INDEX('[5]input data'!$G$1:$G$1108,AZ65,1)</f>
        <v>23.228029920116789</v>
      </c>
      <c r="AZ16" s="11">
        <f>INDEX('[5]input data'!$G$1:$G$1108,BA65,1)</f>
        <v>23.084297681296647</v>
      </c>
      <c r="BA16" s="12">
        <f t="shared" si="4"/>
        <v>23.538528861704741</v>
      </c>
      <c r="BB16" s="13">
        <f t="shared" si="5"/>
        <v>22.111430377236314</v>
      </c>
      <c r="BC16" s="16">
        <f t="shared" si="8"/>
        <v>23.086232531224674</v>
      </c>
    </row>
    <row r="17" spans="1:55" ht="14.25" customHeight="1" x14ac:dyDescent="0.25">
      <c r="A17" s="15">
        <v>9</v>
      </c>
      <c r="B17" s="11">
        <f>'[5]input data'!E294</f>
        <v>23.7</v>
      </c>
      <c r="C17" s="11">
        <f>'[5]input data'!E295</f>
        <v>26</v>
      </c>
      <c r="D17" s="11">
        <f>'[5]input data'!E296</f>
        <v>26.3</v>
      </c>
      <c r="E17" s="11">
        <f>'[5]input data'!E297</f>
        <v>28.1</v>
      </c>
      <c r="F17" s="11">
        <f>'[5]input data'!E298</f>
        <v>28.8</v>
      </c>
      <c r="G17" s="11">
        <f>'[5]input data'!E299</f>
        <v>29.1</v>
      </c>
      <c r="H17" s="11">
        <f>'[5]input data'!E300</f>
        <v>29.2</v>
      </c>
      <c r="I17" s="11">
        <f>'[5]input data'!E301</f>
        <v>29.9</v>
      </c>
      <c r="J17" s="11">
        <f>'[5]input data'!E302</f>
        <v>29.2</v>
      </c>
      <c r="K17" s="11">
        <f>'[5]input data'!E303</f>
        <v>29.4</v>
      </c>
      <c r="L17" s="11">
        <f>'[5]input data'!E304</f>
        <v>27.7</v>
      </c>
      <c r="M17" s="11">
        <f>'[5]input data'!E305</f>
        <v>26.6</v>
      </c>
      <c r="N17" s="11">
        <f>'[5]input data'!E306</f>
        <v>26.4</v>
      </c>
      <c r="O17" s="12">
        <f t="shared" si="0"/>
        <v>29.9</v>
      </c>
      <c r="P17" s="13">
        <f t="shared" si="1"/>
        <v>23.7</v>
      </c>
      <c r="Q17" s="16">
        <f t="shared" si="6"/>
        <v>27.723076923076921</v>
      </c>
      <c r="T17" s="15">
        <v>9</v>
      </c>
      <c r="U17" s="11">
        <f>INDEX('[5]input data'!$F$1:$F$1108,U66,1)</f>
        <v>22.8</v>
      </c>
      <c r="V17" s="11">
        <f>INDEX('[5]input data'!$F$1:$F$1108,V66,1)</f>
        <v>24.2</v>
      </c>
      <c r="W17" s="11">
        <f>INDEX('[5]input data'!$F$1:$F$1108,W66,1)</f>
        <v>24.1</v>
      </c>
      <c r="X17" s="11">
        <f>INDEX('[5]input data'!$F$1:$F$1108,X66,1)</f>
        <v>24.7</v>
      </c>
      <c r="Y17" s="11">
        <f>INDEX('[5]input data'!$F$1:$F$1108,Y66,1)</f>
        <v>25</v>
      </c>
      <c r="Z17" s="11">
        <f>INDEX('[5]input data'!$F$1:$F$1108,Z66,1)</f>
        <v>25</v>
      </c>
      <c r="AA17" s="11">
        <f>INDEX('[5]input data'!$F$1:$F$1108,AA66,1)</f>
        <v>25.4</v>
      </c>
      <c r="AB17" s="11">
        <f>INDEX('[5]input data'!$F$1:$F$1108,AB66,1)</f>
        <v>25.8</v>
      </c>
      <c r="AC17" s="11">
        <f>INDEX('[5]input data'!$F$1:$F$1108,AC66,1)</f>
        <v>25.3</v>
      </c>
      <c r="AD17" s="11">
        <f>INDEX('[5]input data'!$F$1:$F$1108,AD66,1)</f>
        <v>25.4</v>
      </c>
      <c r="AE17" s="11">
        <f>INDEX('[5]input data'!$F$1:$F$1108,AE66,1)</f>
        <v>24.8</v>
      </c>
      <c r="AF17" s="11">
        <f>INDEX('[5]input data'!$F$1:$F$1108,AF66,1)</f>
        <v>24.2</v>
      </c>
      <c r="AG17" s="11">
        <f>INDEX('[5]input data'!$F$1:$F$1108,AG66,1)</f>
        <v>24.8</v>
      </c>
      <c r="AH17" s="12">
        <f t="shared" si="2"/>
        <v>25.8</v>
      </c>
      <c r="AI17" s="13">
        <f t="shared" si="3"/>
        <v>22.8</v>
      </c>
      <c r="AJ17" s="16">
        <f t="shared" si="7"/>
        <v>24.730769230769234</v>
      </c>
      <c r="AM17" s="15">
        <v>9</v>
      </c>
      <c r="AN17" s="11">
        <f>INDEX('[5]input data'!$G$1:$G$1108,AO66,1)</f>
        <v>22.269507301736514</v>
      </c>
      <c r="AO17" s="11">
        <f>INDEX('[5]input data'!$G$1:$G$1108,AP66,1)</f>
        <v>23.293034575471221</v>
      </c>
      <c r="AP17" s="11">
        <f>INDEX('[5]input data'!$G$1:$G$1108,AQ66,1)</f>
        <v>23.003657859506184</v>
      </c>
      <c r="AQ17" s="11">
        <f>INDEX('[5]input data'!$G$1:$G$1108,AR66,1)</f>
        <v>23.088045882264225</v>
      </c>
      <c r="AR17" s="11">
        <f>INDEX('[5]input data'!$G$1:$G$1108,AS66,1)</f>
        <v>23.229747355809128</v>
      </c>
      <c r="AS17" s="11">
        <f>INDEX('[5]input data'!$G$1:$G$1108,AT66,1)</f>
        <v>23.091443449890949</v>
      </c>
      <c r="AT17" s="11">
        <f>INDEX('[5]input data'!$G$1:$G$1108,AU66,1)</f>
        <v>23.665869730219789</v>
      </c>
      <c r="AU17" s="11">
        <f>INDEX('[5]input data'!$G$1:$G$1108,AV66,1)</f>
        <v>23.968963072351563</v>
      </c>
      <c r="AV17" s="11">
        <f>INDEX('[5]input data'!$G$1:$G$1108,AW66,1)</f>
        <v>23.511724268218156</v>
      </c>
      <c r="AW17" s="11">
        <f>INDEX('[5]input data'!$G$1:$G$1108,AX66,1)</f>
        <v>23.575872804337322</v>
      </c>
      <c r="AX17" s="11">
        <f>INDEX('[5]input data'!$G$1:$G$1108,AY66,1)</f>
        <v>23.424969363752066</v>
      </c>
      <c r="AY17" s="11">
        <f>INDEX('[5]input data'!$G$1:$G$1108,AZ66,1)</f>
        <v>23.016356945678069</v>
      </c>
      <c r="AZ17" s="11">
        <f>INDEX('[5]input data'!$G$1:$G$1108,BA66,1)</f>
        <v>24.00699031261323</v>
      </c>
      <c r="BA17" s="12">
        <f t="shared" si="4"/>
        <v>24.00699031261323</v>
      </c>
      <c r="BB17" s="13">
        <f t="shared" si="5"/>
        <v>22.269507301736514</v>
      </c>
      <c r="BC17" s="16">
        <f t="shared" si="8"/>
        <v>23.31893714783449</v>
      </c>
    </row>
    <row r="18" spans="1:55" ht="14.25" customHeight="1" x14ac:dyDescent="0.25">
      <c r="A18" s="15">
        <v>10</v>
      </c>
      <c r="B18" s="11">
        <f>'[5]input data'!E330</f>
        <v>25.6</v>
      </c>
      <c r="C18" s="11">
        <f>'[5]input data'!E331</f>
        <v>27.2</v>
      </c>
      <c r="D18" s="11">
        <f>'[5]input data'!E332</f>
        <v>28.5</v>
      </c>
      <c r="E18" s="11">
        <f>'[5]input data'!E333</f>
        <v>29.1</v>
      </c>
      <c r="F18" s="11">
        <f>'[5]input data'!E334</f>
        <v>30.5</v>
      </c>
      <c r="G18" s="11">
        <f>'[5]input data'!E335</f>
        <v>30.1</v>
      </c>
      <c r="H18" s="11">
        <f>'[5]input data'!E336</f>
        <v>30.4</v>
      </c>
      <c r="I18" s="11">
        <f>'[5]input data'!E337</f>
        <v>30</v>
      </c>
      <c r="J18" s="11">
        <f>'[5]input data'!E338</f>
        <v>24.6</v>
      </c>
      <c r="K18" s="11">
        <f>'[5]input data'!E339</f>
        <v>24</v>
      </c>
      <c r="L18" s="11">
        <f>'[5]input data'!E340</f>
        <v>23.6</v>
      </c>
      <c r="M18" s="11">
        <f>'[5]input data'!E341</f>
        <v>23.6</v>
      </c>
      <c r="N18" s="11">
        <f>'[5]input data'!E342</f>
        <v>23.6</v>
      </c>
      <c r="O18" s="12">
        <f t="shared" si="0"/>
        <v>30.5</v>
      </c>
      <c r="P18" s="13">
        <f t="shared" si="1"/>
        <v>23.6</v>
      </c>
      <c r="Q18" s="16">
        <f t="shared" si="6"/>
        <v>26.984615384615388</v>
      </c>
      <c r="T18" s="15">
        <v>10</v>
      </c>
      <c r="U18" s="11">
        <f>INDEX('[5]input data'!$F$1:$F$1108,U67,1)</f>
        <v>24.2</v>
      </c>
      <c r="V18" s="11">
        <f>INDEX('[5]input data'!$F$1:$F$1108,V67,1)</f>
        <v>24.2</v>
      </c>
      <c r="W18" s="11">
        <f>INDEX('[5]input data'!$F$1:$F$1108,W67,1)</f>
        <v>24.7</v>
      </c>
      <c r="X18" s="11">
        <f>INDEX('[5]input data'!$F$1:$F$1108,X67,1)</f>
        <v>25</v>
      </c>
      <c r="Y18" s="11">
        <f>INDEX('[5]input data'!$F$1:$F$1108,Y67,1)</f>
        <v>25.6</v>
      </c>
      <c r="Z18" s="11">
        <f>INDEX('[5]input data'!$F$1:$F$1108,Z67,1)</f>
        <v>25.2</v>
      </c>
      <c r="AA18" s="11">
        <f>INDEX('[5]input data'!$F$1:$F$1108,AA67,1)</f>
        <v>26.2</v>
      </c>
      <c r="AB18" s="11">
        <f>INDEX('[5]input data'!$F$1:$F$1108,AB67,1)</f>
        <v>25.8</v>
      </c>
      <c r="AC18" s="11">
        <f>INDEX('[5]input data'!$F$1:$F$1108,AC67,1)</f>
        <v>24</v>
      </c>
      <c r="AD18" s="11">
        <f>INDEX('[5]input data'!$F$1:$F$1108,AD67,1)</f>
        <v>23.6</v>
      </c>
      <c r="AE18" s="11">
        <f>INDEX('[5]input data'!$F$1:$F$1108,AE67,1)</f>
        <v>23.4</v>
      </c>
      <c r="AF18" s="11">
        <f>INDEX('[5]input data'!$F$1:$F$1108,AF67,1)</f>
        <v>23.4</v>
      </c>
      <c r="AG18" s="11">
        <f>INDEX('[5]input data'!$F$1:$F$1108,AG67,1)</f>
        <v>23.4</v>
      </c>
      <c r="AH18" s="12">
        <f t="shared" si="2"/>
        <v>26.2</v>
      </c>
      <c r="AI18" s="13">
        <f t="shared" si="3"/>
        <v>23.4</v>
      </c>
      <c r="AJ18" s="16">
        <f t="shared" si="7"/>
        <v>24.515384615384612</v>
      </c>
      <c r="AM18" s="15">
        <v>10</v>
      </c>
      <c r="AN18" s="11">
        <f>INDEX('[5]input data'!$G$1:$G$1108,AO67,1)</f>
        <v>23.475269202586603</v>
      </c>
      <c r="AO18" s="11">
        <f>INDEX('[5]input data'!$G$1:$G$1108,AP67,1)</f>
        <v>22.735575147904516</v>
      </c>
      <c r="AP18" s="11">
        <f>INDEX('[5]input data'!$G$1:$G$1108,AQ67,1)</f>
        <v>22.902025602631472</v>
      </c>
      <c r="AQ18" s="11">
        <f>INDEX('[5]input data'!$G$1:$G$1108,AR67,1)</f>
        <v>23.091443449890949</v>
      </c>
      <c r="AR18" s="11">
        <f>INDEX('[5]input data'!$G$1:$G$1108,AS67,1)</f>
        <v>23.38900195668537</v>
      </c>
      <c r="AS18" s="11">
        <f>INDEX('[5]input data'!$G$1:$G$1108,AT67,1)</f>
        <v>22.941732713579075</v>
      </c>
      <c r="AT18" s="11">
        <f>INDEX('[5]input data'!$G$1:$G$1108,AU67,1)</f>
        <v>24.362986930908228</v>
      </c>
      <c r="AU18" s="11">
        <f>INDEX('[5]input data'!$G$1:$G$1108,AV67,1)</f>
        <v>23.924726871474732</v>
      </c>
      <c r="AV18" s="11">
        <f>INDEX('[5]input data'!$G$1:$G$1108,AW67,1)</f>
        <v>23.631733166285724</v>
      </c>
      <c r="AW18" s="11">
        <f>INDEX('[5]input data'!$G$1:$G$1108,AX67,1)</f>
        <v>23.317592460646107</v>
      </c>
      <c r="AX18" s="11">
        <f>INDEX('[5]input data'!$G$1:$G$1108,AY67,1)</f>
        <v>23.207812519635773</v>
      </c>
      <c r="AY18" s="11">
        <f>INDEX('[5]input data'!$G$1:$G$1108,AZ67,1)</f>
        <v>23.207812519635773</v>
      </c>
      <c r="AZ18" s="11">
        <f>INDEX('[5]input data'!$G$1:$G$1108,BA67,1)</f>
        <v>23.207812519635773</v>
      </c>
      <c r="BA18" s="12">
        <f t="shared" si="4"/>
        <v>24.362986930908228</v>
      </c>
      <c r="BB18" s="13">
        <f t="shared" si="5"/>
        <v>22.735575147904516</v>
      </c>
      <c r="BC18" s="16">
        <f t="shared" si="8"/>
        <v>23.33811731242308</v>
      </c>
    </row>
    <row r="19" spans="1:55" ht="14.25" customHeight="1" x14ac:dyDescent="0.25">
      <c r="A19" s="15">
        <v>11</v>
      </c>
      <c r="B19" s="11">
        <f>'[5]input data'!E366</f>
        <v>24</v>
      </c>
      <c r="C19" s="11">
        <f>'[5]input data'!E367</f>
        <v>25</v>
      </c>
      <c r="D19" s="11">
        <f>'[5]input data'!E368</f>
        <v>28</v>
      </c>
      <c r="E19" s="11">
        <f>'[5]input data'!E369</f>
        <v>29.2</v>
      </c>
      <c r="F19" s="11">
        <f>'[5]input data'!E370</f>
        <v>30.4</v>
      </c>
      <c r="G19" s="11">
        <f>'[5]input data'!E371</f>
        <v>31.2</v>
      </c>
      <c r="H19" s="11">
        <f>'[5]input data'!E372</f>
        <v>31.6</v>
      </c>
      <c r="I19" s="11">
        <f>'[5]input data'!E373</f>
        <v>28.4</v>
      </c>
      <c r="J19" s="11">
        <f>'[5]input data'!E374</f>
        <v>30.2</v>
      </c>
      <c r="K19" s="11">
        <f>'[5]input data'!E375</f>
        <v>27</v>
      </c>
      <c r="L19" s="11">
        <f>'[5]input data'!E376</f>
        <v>26.4</v>
      </c>
      <c r="M19" s="11">
        <f>'[5]input data'!E377</f>
        <v>25.9</v>
      </c>
      <c r="N19" s="11">
        <f>'[5]input data'!E378</f>
        <v>25.6</v>
      </c>
      <c r="O19" s="12">
        <f t="shared" si="0"/>
        <v>31.6</v>
      </c>
      <c r="P19" s="13">
        <f t="shared" si="1"/>
        <v>24</v>
      </c>
      <c r="Q19" s="16">
        <f t="shared" si="6"/>
        <v>27.915384615384614</v>
      </c>
      <c r="T19" s="15">
        <v>11</v>
      </c>
      <c r="U19" s="11">
        <f>INDEX('[5]input data'!$F$1:$F$1108,U68,1)</f>
        <v>23</v>
      </c>
      <c r="V19" s="11">
        <f>INDEX('[5]input data'!$F$1:$F$1108,V68,1)</f>
        <v>23.8</v>
      </c>
      <c r="W19" s="11">
        <f>INDEX('[5]input data'!$F$1:$F$1108,W68,1)</f>
        <v>25</v>
      </c>
      <c r="X19" s="11">
        <f>INDEX('[5]input data'!$F$1:$F$1108,X68,1)</f>
        <v>25.2</v>
      </c>
      <c r="Y19" s="11">
        <f>INDEX('[5]input data'!$F$1:$F$1108,Y68,1)</f>
        <v>25.6</v>
      </c>
      <c r="Z19" s="11">
        <f>INDEX('[5]input data'!$F$1:$F$1108,Z68,1)</f>
        <v>25.8</v>
      </c>
      <c r="AA19" s="11">
        <f>INDEX('[5]input data'!$F$1:$F$1108,AA68,1)</f>
        <v>25.8</v>
      </c>
      <c r="AB19" s="11">
        <f>INDEX('[5]input data'!$F$1:$F$1108,AB68,1)</f>
        <v>24.8</v>
      </c>
      <c r="AC19" s="11">
        <f>INDEX('[5]input data'!$F$1:$F$1108,AC68,1)</f>
        <v>26</v>
      </c>
      <c r="AD19" s="11">
        <f>INDEX('[5]input data'!$F$1:$F$1108,AD68,1)</f>
        <v>24.3</v>
      </c>
      <c r="AE19" s="11">
        <f>INDEX('[5]input data'!$F$1:$F$1108,AE68,1)</f>
        <v>24.6</v>
      </c>
      <c r="AF19" s="11">
        <f>INDEX('[5]input data'!$F$1:$F$1108,AF68,1)</f>
        <v>24.6</v>
      </c>
      <c r="AG19" s="11">
        <f>INDEX('[5]input data'!$F$1:$F$1108,AG68,1)</f>
        <v>24.4</v>
      </c>
      <c r="AH19" s="12">
        <f t="shared" si="2"/>
        <v>26</v>
      </c>
      <c r="AI19" s="13">
        <f t="shared" si="3"/>
        <v>23</v>
      </c>
      <c r="AJ19" s="16">
        <f t="shared" si="7"/>
        <v>24.838461538461541</v>
      </c>
      <c r="AM19" s="15">
        <v>11</v>
      </c>
      <c r="AN19" s="11">
        <f>INDEX('[5]input data'!$G$1:$G$1108,AO68,1)</f>
        <v>22.426257580226199</v>
      </c>
      <c r="AO19" s="11">
        <f>INDEX('[5]input data'!$G$1:$G$1108,AP68,1)</f>
        <v>23.154171566343187</v>
      </c>
      <c r="AP19" s="11">
        <f>INDEX('[5]input data'!$G$1:$G$1108,AQ68,1)</f>
        <v>23.593703811444115</v>
      </c>
      <c r="AQ19" s="11">
        <f>INDEX('[5]input data'!$G$1:$G$1108,AR68,1)</f>
        <v>23.356890846549941</v>
      </c>
      <c r="AR19" s="11">
        <f>INDEX('[5]input data'!$G$1:$G$1108,AS68,1)</f>
        <v>23.434498887866557</v>
      </c>
      <c r="AS19" s="11">
        <f>INDEX('[5]input data'!$G$1:$G$1108,AT68,1)</f>
        <v>23.385719390969253</v>
      </c>
      <c r="AT19" s="11">
        <f>INDEX('[5]input data'!$G$1:$G$1108,AU68,1)</f>
        <v>23.202598868629106</v>
      </c>
      <c r="AU19" s="11">
        <f>INDEX('[5]input data'!$G$1:$G$1108,AV68,1)</f>
        <v>23.104030876414406</v>
      </c>
      <c r="AV19" s="11">
        <f>INDEX('[5]input data'!$G$1:$G$1108,AW68,1)</f>
        <v>24.14398223668147</v>
      </c>
      <c r="AW19" s="11">
        <f>INDEX('[5]input data'!$G$1:$G$1108,AX68,1)</f>
        <v>22.983124403430299</v>
      </c>
      <c r="AX19" s="11">
        <f>INDEX('[5]input data'!$G$1:$G$1108,AY68,1)</f>
        <v>23.710183186275557</v>
      </c>
      <c r="AY19" s="11">
        <f>INDEX('[5]input data'!$G$1:$G$1108,AZ68,1)</f>
        <v>23.932803813122124</v>
      </c>
      <c r="AZ19" s="11">
        <f>INDEX('[5]input data'!$G$1:$G$1108,BA68,1)</f>
        <v>23.771410936659056</v>
      </c>
      <c r="BA19" s="12">
        <f t="shared" si="4"/>
        <v>24.14398223668147</v>
      </c>
      <c r="BB19" s="13">
        <f t="shared" si="5"/>
        <v>22.426257580226199</v>
      </c>
      <c r="BC19" s="16">
        <f t="shared" si="8"/>
        <v>23.399952031123942</v>
      </c>
    </row>
    <row r="20" spans="1:55" ht="14.25" customHeight="1" x14ac:dyDescent="0.25">
      <c r="A20" s="15">
        <v>12</v>
      </c>
      <c r="B20" s="11">
        <f>'[5]input data'!E402</f>
        <v>23.9</v>
      </c>
      <c r="C20" s="11">
        <f>'[5]input data'!E403</f>
        <v>26</v>
      </c>
      <c r="D20" s="11">
        <f>'[5]input data'!E404</f>
        <v>27.6</v>
      </c>
      <c r="E20" s="11">
        <f>'[5]input data'!E405</f>
        <v>29.6</v>
      </c>
      <c r="F20" s="11">
        <f>'[5]input data'!E406</f>
        <v>30.6</v>
      </c>
      <c r="G20" s="11">
        <f>'[5]input data'!E407</f>
        <v>30.8</v>
      </c>
      <c r="H20" s="11">
        <f>'[5]input data'!E408</f>
        <v>31.6</v>
      </c>
      <c r="I20" s="11">
        <f>'[5]input data'!E409</f>
        <v>32.200000000000003</v>
      </c>
      <c r="J20" s="11">
        <f>'[5]input data'!E410</f>
        <v>30.4</v>
      </c>
      <c r="K20" s="11">
        <f>'[5]input data'!E411</f>
        <v>28</v>
      </c>
      <c r="L20" s="11">
        <f>'[5]input data'!E412</f>
        <v>27.6</v>
      </c>
      <c r="M20" s="11">
        <f>'[5]input data'!E413</f>
        <v>27.2</v>
      </c>
      <c r="N20" s="11">
        <f>'[5]input data'!E414</f>
        <v>26.8</v>
      </c>
      <c r="O20" s="12">
        <f t="shared" si="0"/>
        <v>32.200000000000003</v>
      </c>
      <c r="P20" s="13">
        <f t="shared" si="1"/>
        <v>23.9</v>
      </c>
      <c r="Q20" s="16">
        <f t="shared" si="6"/>
        <v>28.638461538461538</v>
      </c>
      <c r="T20" s="15">
        <v>12</v>
      </c>
      <c r="U20" s="11">
        <f>INDEX('[5]input data'!$F$1:$F$1108,U69,1)</f>
        <v>23</v>
      </c>
      <c r="V20" s="11">
        <f>INDEX('[5]input data'!$F$1:$F$1108,V69,1)</f>
        <v>24</v>
      </c>
      <c r="W20" s="11">
        <f>INDEX('[5]input data'!$F$1:$F$1108,W69,1)</f>
        <v>24.8</v>
      </c>
      <c r="X20" s="11">
        <f>INDEX('[5]input data'!$F$1:$F$1108,X69,1)</f>
        <v>24.2</v>
      </c>
      <c r="Y20" s="11">
        <f>INDEX('[5]input data'!$F$1:$F$1108,Y69,1)</f>
        <v>24.6</v>
      </c>
      <c r="Z20" s="11">
        <f>INDEX('[5]input data'!$F$1:$F$1108,Z69,1)</f>
        <v>24.2</v>
      </c>
      <c r="AA20" s="11">
        <f>INDEX('[5]input data'!$F$1:$F$1108,AA69,1)</f>
        <v>24.4</v>
      </c>
      <c r="AB20" s="11">
        <f>INDEX('[5]input data'!$F$1:$F$1108,AB69,1)</f>
        <v>24.6</v>
      </c>
      <c r="AC20" s="11">
        <f>INDEX('[5]input data'!$F$1:$F$1108,AC69,1)</f>
        <v>25.6</v>
      </c>
      <c r="AD20" s="11">
        <f>INDEX('[5]input data'!$F$1:$F$1108,AD69,1)</f>
        <v>25</v>
      </c>
      <c r="AE20" s="11">
        <f>INDEX('[5]input data'!$F$1:$F$1108,AE69,1)</f>
        <v>25</v>
      </c>
      <c r="AF20" s="11">
        <f>INDEX('[5]input data'!$F$1:$F$1108,AF69,1)</f>
        <v>23.6</v>
      </c>
      <c r="AG20" s="11">
        <f>INDEX('[5]input data'!$F$1:$F$1108,AG69,1)</f>
        <v>23.4</v>
      </c>
      <c r="AH20" s="12">
        <f t="shared" si="2"/>
        <v>25.6</v>
      </c>
      <c r="AI20" s="13">
        <f t="shared" si="3"/>
        <v>23</v>
      </c>
      <c r="AJ20" s="16">
        <f t="shared" si="7"/>
        <v>24.338461538461537</v>
      </c>
      <c r="AM20" s="15">
        <v>12</v>
      </c>
      <c r="AN20" s="11">
        <f>INDEX('[5]input data'!$G$1:$G$1108,AO69,1)</f>
        <v>22.474118871546448</v>
      </c>
      <c r="AO20" s="11">
        <f>INDEX('[5]input data'!$G$1:$G$1108,AP69,1)</f>
        <v>22.991501967304046</v>
      </c>
      <c r="AP20" s="11">
        <f>INDEX('[5]input data'!$G$1:$G$1108,AQ69,1)</f>
        <v>23.470377859669266</v>
      </c>
      <c r="AQ20" s="11">
        <f>INDEX('[5]input data'!$G$1:$G$1108,AR69,1)</f>
        <v>21.568635253270578</v>
      </c>
      <c r="AR20" s="11">
        <f>INDEX('[5]input data'!$G$1:$G$1108,AS69,1)</f>
        <v>21.729084834872303</v>
      </c>
      <c r="AS20" s="11">
        <f>INDEX('[5]input data'!$G$1:$G$1108,AT69,1)</f>
        <v>20.956729082873636</v>
      </c>
      <c r="AT20" s="11">
        <f>INDEX('[5]input data'!$G$1:$G$1108,AU69,1)</f>
        <v>20.883068242934797</v>
      </c>
      <c r="AU20" s="11">
        <f>INDEX('[5]input data'!$G$1:$G$1108,AV69,1)</f>
        <v>20.915822081561544</v>
      </c>
      <c r="AV20" s="11">
        <f>INDEX('[5]input data'!$G$1:$G$1108,AW69,1)</f>
        <v>23.434498887866557</v>
      </c>
      <c r="AW20" s="11">
        <f>INDEX('[5]input data'!$G$1:$G$1108,AX69,1)</f>
        <v>23.593703811444115</v>
      </c>
      <c r="AX20" s="11">
        <f>INDEX('[5]input data'!$G$1:$G$1108,AY69,1)</f>
        <v>23.773101758937997</v>
      </c>
      <c r="AY20" s="11">
        <f>INDEX('[5]input data'!$G$1:$G$1108,AZ69,1)</f>
        <v>21.794916962756314</v>
      </c>
      <c r="AZ20" s="11">
        <f>INDEX('[5]input data'!$G$1:$G$1108,BA69,1)</f>
        <v>21.675891882100515</v>
      </c>
      <c r="BA20" s="12">
        <f t="shared" si="4"/>
        <v>23.773101758937997</v>
      </c>
      <c r="BB20" s="13">
        <f t="shared" si="5"/>
        <v>20.883068242934797</v>
      </c>
      <c r="BC20" s="16">
        <f t="shared" si="8"/>
        <v>22.250880884395244</v>
      </c>
    </row>
    <row r="21" spans="1:55" ht="14.25" customHeight="1" x14ac:dyDescent="0.25">
      <c r="A21" s="15">
        <v>13</v>
      </c>
      <c r="B21" s="11">
        <f>'[5]input data'!E438</f>
        <v>24.3</v>
      </c>
      <c r="C21" s="11">
        <f>'[5]input data'!E439</f>
        <v>26.6</v>
      </c>
      <c r="D21" s="11">
        <f>'[5]input data'!E440</f>
        <v>28</v>
      </c>
      <c r="E21" s="11">
        <f>'[5]input data'!E441</f>
        <v>29.2</v>
      </c>
      <c r="F21" s="11">
        <f>'[5]input data'!E442</f>
        <v>30.2</v>
      </c>
      <c r="G21" s="11">
        <f>'[5]input data'!E443</f>
        <v>30.3</v>
      </c>
      <c r="H21" s="11">
        <f>'[5]input data'!E444</f>
        <v>30.6</v>
      </c>
      <c r="I21" s="11">
        <f>'[5]input data'!E445</f>
        <v>30</v>
      </c>
      <c r="J21" s="11">
        <f>'[5]input data'!E446</f>
        <v>29.7</v>
      </c>
      <c r="K21" s="11">
        <f>'[5]input data'!E447</f>
        <v>26.6</v>
      </c>
      <c r="L21" s="11">
        <f>'[5]input data'!E448</f>
        <v>26.8</v>
      </c>
      <c r="M21" s="11">
        <f>'[5]input data'!E449</f>
        <v>26.8</v>
      </c>
      <c r="N21" s="11">
        <f>'[5]input data'!E450</f>
        <v>26.4</v>
      </c>
      <c r="O21" s="12">
        <f t="shared" si="0"/>
        <v>30.6</v>
      </c>
      <c r="P21" s="13">
        <f t="shared" si="1"/>
        <v>24.3</v>
      </c>
      <c r="Q21" s="16">
        <f t="shared" si="6"/>
        <v>28.11538461538462</v>
      </c>
      <c r="T21" s="15">
        <v>13</v>
      </c>
      <c r="U21" s="11">
        <f>INDEX('[5]input data'!$F$1:$F$1108,U70,1)</f>
        <v>22.7</v>
      </c>
      <c r="V21" s="11">
        <f>INDEX('[5]input data'!$F$1:$F$1108,V70,1)</f>
        <v>23.8</v>
      </c>
      <c r="W21" s="11">
        <f>INDEX('[5]input data'!$F$1:$F$1108,W70,1)</f>
        <v>24.9</v>
      </c>
      <c r="X21" s="11">
        <f>INDEX('[5]input data'!$F$1:$F$1108,X70,1)</f>
        <v>24.6</v>
      </c>
      <c r="Y21" s="11">
        <f>INDEX('[5]input data'!$F$1:$F$1108,Y70,1)</f>
        <v>24.8</v>
      </c>
      <c r="Z21" s="11">
        <f>INDEX('[5]input data'!$F$1:$F$1108,Z70,1)</f>
        <v>24.5</v>
      </c>
      <c r="AA21" s="11">
        <f>INDEX('[5]input data'!$F$1:$F$1108,AA70,1)</f>
        <v>25.3</v>
      </c>
      <c r="AB21" s="11">
        <f>INDEX('[5]input data'!$F$1:$F$1108,AB70,1)</f>
        <v>25.4</v>
      </c>
      <c r="AC21" s="11">
        <f>INDEX('[5]input data'!$F$1:$F$1108,AC70,1)</f>
        <v>25</v>
      </c>
      <c r="AD21" s="11">
        <f>INDEX('[5]input data'!$F$1:$F$1108,AD70,1)</f>
        <v>25</v>
      </c>
      <c r="AE21" s="11">
        <f>INDEX('[5]input data'!$F$1:$F$1108,AE70,1)</f>
        <v>25.2</v>
      </c>
      <c r="AF21" s="11">
        <f>INDEX('[5]input data'!$F$1:$F$1108,AF70,1)</f>
        <v>25.2</v>
      </c>
      <c r="AG21" s="11">
        <f>INDEX('[5]input data'!$F$1:$F$1108,AG70,1)</f>
        <v>25</v>
      </c>
      <c r="AH21" s="12">
        <f t="shared" si="2"/>
        <v>25.4</v>
      </c>
      <c r="AI21" s="13">
        <f t="shared" si="3"/>
        <v>22.7</v>
      </c>
      <c r="AJ21" s="16">
        <f t="shared" si="7"/>
        <v>24.723076923076924</v>
      </c>
      <c r="AM21" s="15">
        <v>13</v>
      </c>
      <c r="AN21" s="11">
        <f>INDEX('[5]input data'!$G$1:$G$1108,AO70,1)</f>
        <v>21.823964062232847</v>
      </c>
      <c r="AO21" s="11">
        <f>INDEX('[5]input data'!$G$1:$G$1108,AP70,1)</f>
        <v>22.401579926224102</v>
      </c>
      <c r="AP21" s="11">
        <f>INDEX('[5]input data'!$G$1:$G$1108,AQ70,1)</f>
        <v>23.441230876352734</v>
      </c>
      <c r="AQ21" s="11">
        <f>INDEX('[5]input data'!$G$1:$G$1108,AR70,1)</f>
        <v>22.412824160138996</v>
      </c>
      <c r="AR21" s="11">
        <f>INDEX('[5]input data'!$G$1:$G$1108,AS70,1)</f>
        <v>22.252853752447525</v>
      </c>
      <c r="AS21" s="11">
        <f>INDEX('[5]input data'!$G$1:$G$1108,AT70,1)</f>
        <v>21.713107831372216</v>
      </c>
      <c r="AT21" s="11">
        <f>INDEX('[5]input data'!$G$1:$G$1108,AU70,1)</f>
        <v>22.86730209001103</v>
      </c>
      <c r="AU21" s="11">
        <f>INDEX('[5]input data'!$G$1:$G$1108,AV70,1)</f>
        <v>23.303296611588866</v>
      </c>
      <c r="AV21" s="11">
        <f>INDEX('[5]input data'!$G$1:$G$1108,AW70,1)</f>
        <v>22.811767552763925</v>
      </c>
      <c r="AW21" s="11">
        <f>INDEX('[5]input data'!$G$1:$G$1108,AX70,1)</f>
        <v>24.214345134056124</v>
      </c>
      <c r="AX21" s="11">
        <f>INDEX('[5]input data'!$G$1:$G$1108,AY70,1)</f>
        <v>24.421609632843392</v>
      </c>
      <c r="AY21" s="11">
        <f>INDEX('[5]input data'!$G$1:$G$1108,AZ70,1)</f>
        <v>24.421609632843392</v>
      </c>
      <c r="AZ21" s="11">
        <f>INDEX('[5]input data'!$G$1:$G$1108,BA70,1)</f>
        <v>24.301383345836562</v>
      </c>
      <c r="BA21" s="12">
        <f t="shared" si="4"/>
        <v>24.421609632843392</v>
      </c>
      <c r="BB21" s="13">
        <f t="shared" si="5"/>
        <v>21.713107831372216</v>
      </c>
      <c r="BC21" s="16">
        <f t="shared" si="8"/>
        <v>23.106682662208591</v>
      </c>
    </row>
    <row r="22" spans="1:55" ht="14.25" customHeight="1" x14ac:dyDescent="0.25">
      <c r="A22" s="15">
        <v>14</v>
      </c>
      <c r="B22" s="11">
        <f>'[5]input data'!E474</f>
        <v>24.8</v>
      </c>
      <c r="C22" s="11">
        <f>'[5]input data'!E475</f>
        <v>27</v>
      </c>
      <c r="D22" s="11">
        <f>'[5]input data'!E476</f>
        <v>28.4</v>
      </c>
      <c r="E22" s="11">
        <f>'[5]input data'!E477</f>
        <v>29.9</v>
      </c>
      <c r="F22" s="11">
        <f>'[5]input data'!E478</f>
        <v>30.4</v>
      </c>
      <c r="G22" s="11">
        <f>'[5]input data'!E479</f>
        <v>31</v>
      </c>
      <c r="H22" s="11">
        <f>'[5]input data'!E480</f>
        <v>31.9</v>
      </c>
      <c r="I22" s="11">
        <f>'[5]input data'!E481</f>
        <v>32.6</v>
      </c>
      <c r="J22" s="11">
        <f>'[5]input data'!E482</f>
        <v>32.4</v>
      </c>
      <c r="K22" s="11">
        <f>'[5]input data'!E483</f>
        <v>30.3</v>
      </c>
      <c r="L22" s="11">
        <f>'[5]input data'!E484</f>
        <v>28.4</v>
      </c>
      <c r="M22" s="11">
        <f>'[5]input data'!E485</f>
        <v>27.4</v>
      </c>
      <c r="N22" s="11">
        <f>'[5]input data'!E486</f>
        <v>26.3</v>
      </c>
      <c r="O22" s="12">
        <f t="shared" si="0"/>
        <v>32.6</v>
      </c>
      <c r="P22" s="13">
        <f t="shared" si="1"/>
        <v>24.8</v>
      </c>
      <c r="Q22" s="16">
        <f t="shared" si="6"/>
        <v>29.292307692307688</v>
      </c>
      <c r="T22" s="15">
        <v>14</v>
      </c>
      <c r="U22" s="11">
        <f>INDEX('[5]input data'!$F$1:$F$1108,U71,1)</f>
        <v>23.6</v>
      </c>
      <c r="V22" s="11">
        <f>INDEX('[5]input data'!$F$1:$F$1108,V71,1)</f>
        <v>24.6</v>
      </c>
      <c r="W22" s="11">
        <f>INDEX('[5]input data'!$F$1:$F$1108,W71,1)</f>
        <v>25</v>
      </c>
      <c r="X22" s="11">
        <f>INDEX('[5]input data'!$F$1:$F$1108,X71,1)</f>
        <v>25.4</v>
      </c>
      <c r="Y22" s="11">
        <f>INDEX('[5]input data'!$F$1:$F$1108,Y71,1)</f>
        <v>25.3</v>
      </c>
      <c r="Z22" s="11">
        <f>INDEX('[5]input data'!$F$1:$F$1108,Z71,1)</f>
        <v>24.8</v>
      </c>
      <c r="AA22" s="11">
        <f>INDEX('[5]input data'!$F$1:$F$1108,AA71,1)</f>
        <v>23.9</v>
      </c>
      <c r="AB22" s="11">
        <f>INDEX('[5]input data'!$F$1:$F$1108,AB71,1)</f>
        <v>24.2</v>
      </c>
      <c r="AC22" s="11">
        <f>INDEX('[5]input data'!$F$1:$F$1108,AC71,1)</f>
        <v>24.2</v>
      </c>
      <c r="AD22" s="11">
        <f>INDEX('[5]input data'!$F$1:$F$1108,AD71,1)</f>
        <v>26</v>
      </c>
      <c r="AE22" s="11">
        <f>INDEX('[5]input data'!$F$1:$F$1108,AE71,1)</f>
        <v>24.6</v>
      </c>
      <c r="AF22" s="11">
        <f>INDEX('[5]input data'!$F$1:$F$1108,AF71,1)</f>
        <v>24</v>
      </c>
      <c r="AG22" s="11">
        <f>INDEX('[5]input data'!$F$1:$F$1108,AG71,1)</f>
        <v>23.4</v>
      </c>
      <c r="AH22" s="12">
        <f t="shared" si="2"/>
        <v>26</v>
      </c>
      <c r="AI22" s="13">
        <f t="shared" si="3"/>
        <v>23.4</v>
      </c>
      <c r="AJ22" s="16">
        <f t="shared" si="7"/>
        <v>24.538461538461533</v>
      </c>
      <c r="AM22" s="15">
        <v>14</v>
      </c>
      <c r="AN22" s="11">
        <f>INDEX('[5]input data'!$G$1:$G$1108,AO71,1)</f>
        <v>22.948281918843517</v>
      </c>
      <c r="AO22" s="11">
        <f>INDEX('[5]input data'!$G$1:$G$1108,AP71,1)</f>
        <v>23.439555090650348</v>
      </c>
      <c r="AP22" s="11">
        <f>INDEX('[5]input data'!$G$1:$G$1108,AQ71,1)</f>
        <v>23.412597481878489</v>
      </c>
      <c r="AQ22" s="11">
        <f>INDEX('[5]input data'!$G$1:$G$1108,AR71,1)</f>
        <v>23.348998535378588</v>
      </c>
      <c r="AR22" s="11">
        <f>INDEX('[5]input data'!$G$1:$G$1108,AS71,1)</f>
        <v>22.960715346435535</v>
      </c>
      <c r="AS22" s="11">
        <f>INDEX('[5]input data'!$G$1:$G$1108,AT71,1)</f>
        <v>21.861845231864532</v>
      </c>
      <c r="AT22" s="11">
        <f>INDEX('[5]input data'!$G$1:$G$1108,AU71,1)</f>
        <v>19.846831642239369</v>
      </c>
      <c r="AU22" s="11">
        <f>INDEX('[5]input data'!$G$1:$G$1108,AV71,1)</f>
        <v>19.999381025205224</v>
      </c>
      <c r="AV22" s="11">
        <f>INDEX('[5]input data'!$G$1:$G$1108,AW71,1)</f>
        <v>20.108229282341842</v>
      </c>
      <c r="AW22" s="11">
        <f>INDEX('[5]input data'!$G$1:$G$1108,AX71,1)</f>
        <v>24.100149656934345</v>
      </c>
      <c r="AX22" s="11">
        <f>INDEX('[5]input data'!$G$1:$G$1108,AY71,1)</f>
        <v>22.792662448856582</v>
      </c>
      <c r="AY22" s="11">
        <f>INDEX('[5]input data'!$G$1:$G$1108,AZ71,1)</f>
        <v>22.328850061942795</v>
      </c>
      <c r="AZ22" s="11">
        <f>INDEX('[5]input data'!$G$1:$G$1108,BA71,1)</f>
        <v>21.923630910648615</v>
      </c>
      <c r="BA22" s="12">
        <f t="shared" si="4"/>
        <v>24.100149656934345</v>
      </c>
      <c r="BB22" s="13">
        <f t="shared" si="5"/>
        <v>19.846831642239369</v>
      </c>
      <c r="BC22" s="16">
        <f t="shared" si="8"/>
        <v>22.236286817939988</v>
      </c>
    </row>
    <row r="23" spans="1:55" ht="14.25" customHeight="1" x14ac:dyDescent="0.25">
      <c r="A23" s="15">
        <v>15</v>
      </c>
      <c r="B23" s="11">
        <f>'[5]input data'!E510</f>
        <v>24.7</v>
      </c>
      <c r="C23" s="11">
        <f>'[5]input data'!E511</f>
        <v>26.5</v>
      </c>
      <c r="D23" s="11">
        <f>'[5]input data'!E512</f>
        <v>27.9</v>
      </c>
      <c r="E23" s="11">
        <f>'[5]input data'!E513</f>
        <v>29.5</v>
      </c>
      <c r="F23" s="11">
        <f>'[5]input data'!E514</f>
        <v>31</v>
      </c>
      <c r="G23" s="11">
        <f>'[5]input data'!E515</f>
        <v>31.3</v>
      </c>
      <c r="H23" s="11">
        <f>'[5]input data'!E516</f>
        <v>32</v>
      </c>
      <c r="I23" s="11">
        <f>'[5]input data'!E517</f>
        <v>31</v>
      </c>
      <c r="J23" s="11">
        <f>'[5]input data'!E518</f>
        <v>27.6</v>
      </c>
      <c r="K23" s="11">
        <f>'[5]input data'!E519</f>
        <v>28.2</v>
      </c>
      <c r="L23" s="11">
        <f>'[5]input data'!E520</f>
        <v>27</v>
      </c>
      <c r="M23" s="11">
        <f>'[5]input data'!E521</f>
        <v>26.8</v>
      </c>
      <c r="N23" s="11">
        <f>'[5]input data'!E522</f>
        <v>26.5</v>
      </c>
      <c r="O23" s="12">
        <f t="shared" si="0"/>
        <v>32</v>
      </c>
      <c r="P23" s="13">
        <f t="shared" si="1"/>
        <v>24.7</v>
      </c>
      <c r="Q23" s="16">
        <f t="shared" si="6"/>
        <v>28.46153846153846</v>
      </c>
      <c r="T23" s="15">
        <v>15</v>
      </c>
      <c r="U23" s="11">
        <f>INDEX('[5]input data'!$F$1:$F$1108,U72,1)</f>
        <v>23.7</v>
      </c>
      <c r="V23" s="11">
        <f>INDEX('[5]input data'!$F$1:$F$1108,V72,1)</f>
        <v>24.9</v>
      </c>
      <c r="W23" s="11">
        <f>INDEX('[5]input data'!$F$1:$F$1108,W72,1)</f>
        <v>24.6</v>
      </c>
      <c r="X23" s="11">
        <f>INDEX('[5]input data'!$F$1:$F$1108,X72,1)</f>
        <v>24.8</v>
      </c>
      <c r="Y23" s="11">
        <f>INDEX('[5]input data'!$F$1:$F$1108,Y72,1)</f>
        <v>25.9</v>
      </c>
      <c r="Z23" s="11">
        <f>INDEX('[5]input data'!$F$1:$F$1108,Z72,1)</f>
        <v>25.1</v>
      </c>
      <c r="AA23" s="11">
        <f>INDEX('[5]input data'!$F$1:$F$1108,AA72,1)</f>
        <v>25.9</v>
      </c>
      <c r="AB23" s="11">
        <f>INDEX('[5]input data'!$F$1:$F$1108,AB72,1)</f>
        <v>25.8</v>
      </c>
      <c r="AC23" s="11">
        <f>INDEX('[5]input data'!$F$1:$F$1108,AC72,1)</f>
        <v>23.9</v>
      </c>
      <c r="AD23" s="11">
        <f>INDEX('[5]input data'!$F$1:$F$1108,AD72,1)</f>
        <v>24.8</v>
      </c>
      <c r="AE23" s="11">
        <f>INDEX('[5]input data'!$F$1:$F$1108,AE72,1)</f>
        <v>23.8</v>
      </c>
      <c r="AF23" s="11">
        <f>INDEX('[5]input data'!$F$1:$F$1108,AF72,1)</f>
        <v>24.2</v>
      </c>
      <c r="AG23" s="11">
        <f>INDEX('[5]input data'!$F$1:$F$1108,AG72,1)</f>
        <v>24.6</v>
      </c>
      <c r="AH23" s="12">
        <f t="shared" si="2"/>
        <v>25.9</v>
      </c>
      <c r="AI23" s="13">
        <f t="shared" si="3"/>
        <v>23.7</v>
      </c>
      <c r="AJ23" s="16">
        <f t="shared" si="7"/>
        <v>24.76923076923077</v>
      </c>
      <c r="AM23" s="15">
        <v>15</v>
      </c>
      <c r="AN23" s="11">
        <f>INDEX('[5]input data'!$G$1:$G$1108,AO72,1)</f>
        <v>23.143738191814908</v>
      </c>
      <c r="AO23" s="11">
        <f>INDEX('[5]input data'!$G$1:$G$1108,AP72,1)</f>
        <v>24.110679096015026</v>
      </c>
      <c r="AP23" s="11">
        <f>INDEX('[5]input data'!$G$1:$G$1108,AQ72,1)</f>
        <v>23.026240016098249</v>
      </c>
      <c r="AQ23" s="11">
        <f>INDEX('[5]input data'!$G$1:$G$1108,AR72,1)</f>
        <v>22.588443387521256</v>
      </c>
      <c r="AR23" s="11">
        <f>INDEX('[5]input data'!$G$1:$G$1108,AS72,1)</f>
        <v>23.633903227396075</v>
      </c>
      <c r="AS23" s="11">
        <f>INDEX('[5]input data'!$G$1:$G$1108,AT72,1)</f>
        <v>22.209749633065176</v>
      </c>
      <c r="AT23" s="11">
        <f>INDEX('[5]input data'!$G$1:$G$1108,AU72,1)</f>
        <v>23.178804436951761</v>
      </c>
      <c r="AU23" s="11">
        <f>INDEX('[5]input data'!$G$1:$G$1108,AV72,1)</f>
        <v>23.476621444388034</v>
      </c>
      <c r="AV23" s="11">
        <f>INDEX('[5]input data'!$G$1:$G$1108,AW72,1)</f>
        <v>22.074246678118175</v>
      </c>
      <c r="AW23" s="11">
        <f>INDEX('[5]input data'!$G$1:$G$1108,AX72,1)</f>
        <v>23.196283144013933</v>
      </c>
      <c r="AX23" s="11">
        <f>INDEX('[5]input data'!$G$1:$G$1108,AY72,1)</f>
        <v>22.208645027327083</v>
      </c>
      <c r="AY23" s="11">
        <f>INDEX('[5]input data'!$G$1:$G$1108,AZ72,1)</f>
        <v>22.923225481997395</v>
      </c>
      <c r="AZ23" s="11">
        <f>INDEX('[5]input data'!$G$1:$G$1108,BA72,1)</f>
        <v>23.665345072616162</v>
      </c>
      <c r="BA23" s="12">
        <f t="shared" si="4"/>
        <v>24.110679096015026</v>
      </c>
      <c r="BB23" s="13">
        <f t="shared" si="5"/>
        <v>22.074246678118175</v>
      </c>
      <c r="BC23" s="16">
        <f t="shared" si="8"/>
        <v>23.033532679794099</v>
      </c>
    </row>
    <row r="24" spans="1:55" ht="14.25" customHeight="1" x14ac:dyDescent="0.25">
      <c r="A24" s="15">
        <v>16</v>
      </c>
      <c r="B24" s="11">
        <f>'[5]input data'!E546</f>
        <v>25</v>
      </c>
      <c r="C24" s="11">
        <f>'[5]input data'!E547</f>
        <v>26.5</v>
      </c>
      <c r="D24" s="11">
        <f>'[5]input data'!E548</f>
        <v>27.8</v>
      </c>
      <c r="E24" s="11">
        <f>'[5]input data'!E549</f>
        <v>29.4</v>
      </c>
      <c r="F24" s="11">
        <f>'[5]input data'!E550</f>
        <v>30.8</v>
      </c>
      <c r="G24" s="11">
        <f>'[5]input data'!E551</f>
        <v>31.7</v>
      </c>
      <c r="H24" s="11">
        <f>'[5]input data'!E552</f>
        <v>31.2</v>
      </c>
      <c r="I24" s="11">
        <f>'[5]input data'!E553</f>
        <v>30.6</v>
      </c>
      <c r="J24" s="11">
        <f>'[5]input data'!E554</f>
        <v>24.8</v>
      </c>
      <c r="K24" s="11">
        <f>'[5]input data'!E555</f>
        <v>24.8</v>
      </c>
      <c r="L24" s="11">
        <f>'[5]input data'!E556</f>
        <v>25.4</v>
      </c>
      <c r="M24" s="11">
        <f>'[5]input data'!E557</f>
        <v>25.4</v>
      </c>
      <c r="N24" s="11">
        <f>'[5]input data'!E558</f>
        <v>25.4</v>
      </c>
      <c r="O24" s="12">
        <f t="shared" si="0"/>
        <v>31.7</v>
      </c>
      <c r="P24" s="13">
        <f t="shared" si="1"/>
        <v>24.8</v>
      </c>
      <c r="Q24" s="16">
        <f t="shared" si="6"/>
        <v>27.599999999999991</v>
      </c>
      <c r="T24" s="15">
        <v>16</v>
      </c>
      <c r="U24" s="11">
        <f>INDEX('[5]input data'!$F$1:$F$1108,U73,1)</f>
        <v>23.3</v>
      </c>
      <c r="V24" s="11">
        <f>INDEX('[5]input data'!$F$1:$F$1108,V73,1)</f>
        <v>24.2</v>
      </c>
      <c r="W24" s="11">
        <f>INDEX('[5]input data'!$F$1:$F$1108,W73,1)</f>
        <v>24.8</v>
      </c>
      <c r="X24" s="11">
        <f>INDEX('[5]input data'!$F$1:$F$1108,X73,1)</f>
        <v>25</v>
      </c>
      <c r="Y24" s="11">
        <f>INDEX('[5]input data'!$F$1:$F$1108,Y73,1)</f>
        <v>25.8</v>
      </c>
      <c r="Z24" s="11">
        <f>INDEX('[5]input data'!$F$1:$F$1108,Z73,1)</f>
        <v>25.8</v>
      </c>
      <c r="AA24" s="11">
        <f>INDEX('[5]input data'!$F$1:$F$1108,AA73,1)</f>
        <v>26.2</v>
      </c>
      <c r="AB24" s="11">
        <f>INDEX('[5]input data'!$F$1:$F$1108,AB73,1)</f>
        <v>25.8</v>
      </c>
      <c r="AC24" s="11">
        <f>INDEX('[5]input data'!$F$1:$F$1108,AC73,1)</f>
        <v>24.4</v>
      </c>
      <c r="AD24" s="11">
        <f>INDEX('[5]input data'!$F$1:$F$1108,AD73,1)</f>
        <v>24.4</v>
      </c>
      <c r="AE24" s="11">
        <f>INDEX('[5]input data'!$F$1:$F$1108,AE73,1)</f>
        <v>24.4</v>
      </c>
      <c r="AF24" s="11">
        <f>INDEX('[5]input data'!$F$1:$F$1108,AF73,1)</f>
        <v>24.4</v>
      </c>
      <c r="AG24" s="11">
        <f>INDEX('[5]input data'!$F$1:$F$1108,AG73,1)</f>
        <v>24.4</v>
      </c>
      <c r="AH24" s="12">
        <f t="shared" si="2"/>
        <v>26.2</v>
      </c>
      <c r="AI24" s="13">
        <f t="shared" si="3"/>
        <v>23.3</v>
      </c>
      <c r="AJ24" s="16">
        <f t="shared" si="7"/>
        <v>24.838461538461537</v>
      </c>
      <c r="AM24" s="15">
        <v>16</v>
      </c>
      <c r="AN24" s="11">
        <f>INDEX('[5]input data'!$G$1:$G$1108,AO73,1)</f>
        <v>22.400885909362238</v>
      </c>
      <c r="AO24" s="11">
        <f>INDEX('[5]input data'!$G$1:$G$1108,AP73,1)</f>
        <v>23.062751389564443</v>
      </c>
      <c r="AP24" s="11">
        <f>INDEX('[5]input data'!$G$1:$G$1108,AQ73,1)</f>
        <v>23.379452040413032</v>
      </c>
      <c r="AQ24" s="11">
        <f>INDEX('[5]input data'!$G$1:$G$1108,AR73,1)</f>
        <v>22.952122264170168</v>
      </c>
      <c r="AR24" s="11">
        <f>INDEX('[5]input data'!$G$1:$G$1108,AS73,1)</f>
        <v>23.56709069326994</v>
      </c>
      <c r="AS24" s="11">
        <f>INDEX('[5]input data'!$G$1:$G$1108,AT73,1)</f>
        <v>23.156541144087583</v>
      </c>
      <c r="AT24" s="11">
        <f>INDEX('[5]input data'!$G$1:$G$1108,AU73,1)</f>
        <v>24.013538250316298</v>
      </c>
      <c r="AU24" s="11">
        <f>INDEX('[5]input data'!$G$1:$G$1108,AV73,1)</f>
        <v>23.657131550071426</v>
      </c>
      <c r="AV24" s="11">
        <f>INDEX('[5]input data'!$G$1:$G$1108,AW73,1)</f>
        <v>24.125234420920101</v>
      </c>
      <c r="AW24" s="11">
        <f>INDEX('[5]input data'!$G$1:$G$1108,AX73,1)</f>
        <v>24.125234420920101</v>
      </c>
      <c r="AX24" s="11">
        <f>INDEX('[5]input data'!$G$1:$G$1108,AY73,1)</f>
        <v>23.860484247779919</v>
      </c>
      <c r="AY24" s="11">
        <f>INDEX('[5]input data'!$G$1:$G$1108,AZ73,1)</f>
        <v>23.860484247779919</v>
      </c>
      <c r="AZ24" s="11">
        <f>INDEX('[5]input data'!$G$1:$G$1108,BA73,1)</f>
        <v>23.860484247779919</v>
      </c>
      <c r="BA24" s="12">
        <f t="shared" si="4"/>
        <v>24.125234420920101</v>
      </c>
      <c r="BB24" s="13">
        <f t="shared" si="5"/>
        <v>22.400885909362238</v>
      </c>
      <c r="BC24" s="16">
        <f t="shared" si="8"/>
        <v>23.540110371264237</v>
      </c>
    </row>
    <row r="25" spans="1:55" ht="14.25" customHeight="1" x14ac:dyDescent="0.25">
      <c r="A25" s="15">
        <v>17</v>
      </c>
      <c r="B25" s="11">
        <f>'[5]input data'!E582</f>
        <v>24.4</v>
      </c>
      <c r="C25" s="11">
        <f>'[5]input data'!E583</f>
        <v>26.2</v>
      </c>
      <c r="D25" s="11">
        <f>'[5]input data'!E584</f>
        <v>28.2</v>
      </c>
      <c r="E25" s="11">
        <f>'[5]input data'!E585</f>
        <v>29.6</v>
      </c>
      <c r="F25" s="11">
        <f>'[5]input data'!E586</f>
        <v>31.2</v>
      </c>
      <c r="G25" s="11">
        <f>'[5]input data'!E587</f>
        <v>31.8</v>
      </c>
      <c r="H25" s="11">
        <f>'[5]input data'!E588</f>
        <v>32.4</v>
      </c>
      <c r="I25" s="11">
        <f>'[5]input data'!E589</f>
        <v>32</v>
      </c>
      <c r="J25" s="11">
        <f>'[5]input data'!E590</f>
        <v>31.2</v>
      </c>
      <c r="K25" s="11">
        <f>'[5]input data'!E591</f>
        <v>31</v>
      </c>
      <c r="L25" s="11">
        <f>'[5]input data'!E592</f>
        <v>29.3</v>
      </c>
      <c r="M25" s="11">
        <f>'[5]input data'!E593</f>
        <v>28.2</v>
      </c>
      <c r="N25" s="11">
        <f>'[5]input data'!E594</f>
        <v>25.1</v>
      </c>
      <c r="O25" s="12">
        <f t="shared" si="0"/>
        <v>32.4</v>
      </c>
      <c r="P25" s="13">
        <f t="shared" si="1"/>
        <v>24.4</v>
      </c>
      <c r="Q25" s="16">
        <f t="shared" si="6"/>
        <v>29.276923076923079</v>
      </c>
      <c r="T25" s="15">
        <v>17</v>
      </c>
      <c r="U25" s="11">
        <f>INDEX('[5]input data'!$F$1:$F$1108,U74,1)</f>
        <v>23.2</v>
      </c>
      <c r="V25" s="11">
        <f>INDEX('[5]input data'!$F$1:$F$1108,V74,1)</f>
        <v>24</v>
      </c>
      <c r="W25" s="11">
        <f>INDEX('[5]input data'!$F$1:$F$1108,W74,1)</f>
        <v>25</v>
      </c>
      <c r="X25" s="11">
        <f>INDEX('[5]input data'!$F$1:$F$1108,X74,1)</f>
        <v>24.8</v>
      </c>
      <c r="Y25" s="11">
        <f>INDEX('[5]input data'!$F$1:$F$1108,Y74,1)</f>
        <v>25.4</v>
      </c>
      <c r="Z25" s="11">
        <f>INDEX('[5]input data'!$F$1:$F$1108,Z74,1)</f>
        <v>25.6</v>
      </c>
      <c r="AA25" s="11">
        <f>INDEX('[5]input data'!$F$1:$F$1108,AA74,1)</f>
        <v>25.4</v>
      </c>
      <c r="AB25" s="11">
        <f>INDEX('[5]input data'!$F$1:$F$1108,AB74,1)</f>
        <v>26.6</v>
      </c>
      <c r="AC25" s="11">
        <f>INDEX('[5]input data'!$F$1:$F$1108,AC74,1)</f>
        <v>26.4</v>
      </c>
      <c r="AD25" s="11">
        <f>INDEX('[5]input data'!$F$1:$F$1108,AD74,1)</f>
        <v>26.2</v>
      </c>
      <c r="AE25" s="11">
        <f>INDEX('[5]input data'!$F$1:$F$1108,AE74,1)</f>
        <v>26</v>
      </c>
      <c r="AF25" s="11">
        <f>INDEX('[5]input data'!$F$1:$F$1108,AF74,1)</f>
        <v>25.7</v>
      </c>
      <c r="AG25" s="11">
        <f>INDEX('[5]input data'!$F$1:$F$1108,AG74,1)</f>
        <v>24.5</v>
      </c>
      <c r="AH25" s="12">
        <f t="shared" si="2"/>
        <v>26.6</v>
      </c>
      <c r="AI25" s="13">
        <f t="shared" si="3"/>
        <v>23.2</v>
      </c>
      <c r="AJ25" s="16">
        <f t="shared" si="7"/>
        <v>25.292307692307695</v>
      </c>
      <c r="AM25" s="15">
        <v>17</v>
      </c>
      <c r="AN25" s="11">
        <f>INDEX('[5]input data'!$G$1:$G$1108,AO74,1)</f>
        <v>22.536281516172753</v>
      </c>
      <c r="AO25" s="11">
        <f>INDEX('[5]input data'!$G$1:$G$1108,AP74,1)</f>
        <v>22.898249002326494</v>
      </c>
      <c r="AP25" s="11">
        <f>INDEX('[5]input data'!$G$1:$G$1108,AQ74,1)</f>
        <v>23.503366381695525</v>
      </c>
      <c r="AQ25" s="11">
        <f>INDEX('[5]input data'!$G$1:$G$1108,AR74,1)</f>
        <v>22.540866348822316</v>
      </c>
      <c r="AR25" s="11">
        <f>INDEX('[5]input data'!$G$1:$G$1108,AS74,1)</f>
        <v>22.746098808962643</v>
      </c>
      <c r="AS25" s="11">
        <f>INDEX('[5]input data'!$G$1:$G$1108,AT74,1)</f>
        <v>22.787386628827527</v>
      </c>
      <c r="AT25" s="11">
        <f>INDEX('[5]input data'!$G$1:$G$1108,AU74,1)</f>
        <v>22.171963130331743</v>
      </c>
      <c r="AU25" s="11">
        <f>INDEX('[5]input data'!$G$1:$G$1108,AV74,1)</f>
        <v>24.285705103391685</v>
      </c>
      <c r="AV25" s="11">
        <f>INDEX('[5]input data'!$G$1:$G$1108,AW74,1)</f>
        <v>24.323248278322577</v>
      </c>
      <c r="AW25" s="11">
        <f>INDEX('[5]input data'!$G$1:$G$1108,AX74,1)</f>
        <v>24.10150142747483</v>
      </c>
      <c r="AX25" s="11">
        <f>INDEX('[5]input data'!$G$1:$G$1108,AY74,1)</f>
        <v>24.534018519692285</v>
      </c>
      <c r="AY25" s="11">
        <f>INDEX('[5]input data'!$G$1:$G$1108,AZ74,1)</f>
        <v>24.557601385913394</v>
      </c>
      <c r="AZ25" s="11">
        <f>INDEX('[5]input data'!$G$1:$G$1108,BA74,1)</f>
        <v>24.138785607382236</v>
      </c>
      <c r="BA25" s="12">
        <f t="shared" si="4"/>
        <v>24.557601385913394</v>
      </c>
      <c r="BB25" s="13">
        <f t="shared" si="5"/>
        <v>22.171963130331743</v>
      </c>
      <c r="BC25" s="16">
        <f t="shared" si="8"/>
        <v>23.471159395332002</v>
      </c>
    </row>
    <row r="26" spans="1:55" ht="14.25" customHeight="1" x14ac:dyDescent="0.25">
      <c r="A26" s="15">
        <v>18</v>
      </c>
      <c r="B26" s="11">
        <f>'[5]input data'!E618</f>
        <v>24.8</v>
      </c>
      <c r="C26" s="11">
        <f>'[5]input data'!E619</f>
        <v>26.1</v>
      </c>
      <c r="D26" s="11">
        <f>'[5]input data'!E620</f>
        <v>28.1</v>
      </c>
      <c r="E26" s="11">
        <f>'[5]input data'!E621</f>
        <v>29.8</v>
      </c>
      <c r="F26" s="11">
        <f>'[5]input data'!E622</f>
        <v>31.2</v>
      </c>
      <c r="G26" s="11">
        <f>'[5]input data'!E623</f>
        <v>32.4</v>
      </c>
      <c r="H26" s="11">
        <f>'[5]input data'!E624</f>
        <v>30.5</v>
      </c>
      <c r="I26" s="11">
        <f>'[5]input data'!E625</f>
        <v>28.9</v>
      </c>
      <c r="J26" s="11">
        <f>'[5]input data'!E626</f>
        <v>27.6</v>
      </c>
      <c r="K26" s="11">
        <f>'[5]input data'!E627</f>
        <v>27.8</v>
      </c>
      <c r="L26" s="11">
        <f>'[5]input data'!E628</f>
        <v>27.4</v>
      </c>
      <c r="M26" s="11">
        <f>'[5]input data'!E629</f>
        <v>27.2</v>
      </c>
      <c r="N26" s="11">
        <f>'[5]input data'!E630</f>
        <v>24</v>
      </c>
      <c r="O26" s="12">
        <f t="shared" si="0"/>
        <v>32.4</v>
      </c>
      <c r="P26" s="13">
        <f t="shared" si="1"/>
        <v>24</v>
      </c>
      <c r="Q26" s="16">
        <f t="shared" si="6"/>
        <v>28.138461538461538</v>
      </c>
      <c r="T26" s="15">
        <v>18</v>
      </c>
      <c r="U26" s="11">
        <f>INDEX('[5]input data'!$F$1:$F$1108,U75,1)</f>
        <v>24</v>
      </c>
      <c r="V26" s="11">
        <f>INDEX('[5]input data'!$F$1:$F$1108,V75,1)</f>
        <v>24.8</v>
      </c>
      <c r="W26" s="11">
        <f>INDEX('[5]input data'!$F$1:$F$1108,W75,1)</f>
        <v>25.6</v>
      </c>
      <c r="X26" s="11">
        <f>INDEX('[5]input data'!$F$1:$F$1108,X75,1)</f>
        <v>25.4</v>
      </c>
      <c r="Y26" s="11">
        <f>INDEX('[5]input data'!$F$1:$F$1108,Y75,1)</f>
        <v>25.7</v>
      </c>
      <c r="Z26" s="11">
        <f>INDEX('[5]input data'!$F$1:$F$1108,Z75,1)</f>
        <v>26</v>
      </c>
      <c r="AA26" s="11">
        <f>INDEX('[5]input data'!$F$1:$F$1108,AA75,1)</f>
        <v>26.2</v>
      </c>
      <c r="AB26" s="11">
        <f>INDEX('[5]input data'!$F$1:$F$1108,AB75,1)</f>
        <v>25.4</v>
      </c>
      <c r="AC26" s="11">
        <f>INDEX('[5]input data'!$F$1:$F$1108,AC75,1)</f>
        <v>24.1</v>
      </c>
      <c r="AD26" s="11">
        <f>INDEX('[5]input data'!$F$1:$F$1108,AD75,1)</f>
        <v>25</v>
      </c>
      <c r="AE26" s="11">
        <f>INDEX('[5]input data'!$F$1:$F$1108,AE75,1)</f>
        <v>25.2</v>
      </c>
      <c r="AF26" s="11">
        <f>INDEX('[5]input data'!$F$1:$F$1108,AF75,1)</f>
        <v>24.6</v>
      </c>
      <c r="AG26" s="11">
        <f>INDEX('[5]input data'!$F$1:$F$1108,AG75,1)</f>
        <v>23.2</v>
      </c>
      <c r="AH26" s="12">
        <f t="shared" si="2"/>
        <v>26.2</v>
      </c>
      <c r="AI26" s="13">
        <f t="shared" si="3"/>
        <v>23.2</v>
      </c>
      <c r="AJ26" s="16">
        <f t="shared" si="7"/>
        <v>25.015384615384615</v>
      </c>
      <c r="AM26" s="15">
        <v>18</v>
      </c>
      <c r="AN26" s="11">
        <f>INDEX('[5]input data'!$G$1:$G$1108,AO75,1)</f>
        <v>23.541582806104632</v>
      </c>
      <c r="AO26" s="11">
        <f>INDEX('[5]input data'!$G$1:$G$1108,AP75,1)</f>
        <v>24.138815714096342</v>
      </c>
      <c r="AP26" s="11">
        <f>INDEX('[5]input data'!$G$1:$G$1108,AQ75,1)</f>
        <v>24.452006908384092</v>
      </c>
      <c r="AQ26" s="11">
        <f>INDEX('[5]input data'!$G$1:$G$1108,AR75,1)</f>
        <v>23.394590685489504</v>
      </c>
      <c r="AR26" s="11">
        <f>INDEX('[5]input data'!$G$1:$G$1108,AS75,1)</f>
        <v>23.226950039492646</v>
      </c>
      <c r="AS26" s="11">
        <f>INDEX('[5]input data'!$G$1:$G$1108,AT75,1)</f>
        <v>23.155571451496382</v>
      </c>
      <c r="AT26" s="11">
        <f>INDEX('[5]input data'!$G$1:$G$1108,AU75,1)</f>
        <v>24.319653572306294</v>
      </c>
      <c r="AU26" s="11">
        <f>INDEX('[5]input data'!$G$1:$G$1108,AV75,1)</f>
        <v>23.800072174333476</v>
      </c>
      <c r="AV26" s="11">
        <f>INDEX('[5]input data'!$G$1:$G$1108,AW75,1)</f>
        <v>22.389516171661661</v>
      </c>
      <c r="AW26" s="11">
        <f>INDEX('[5]input data'!$G$1:$G$1108,AX75,1)</f>
        <v>23.683614162726549</v>
      </c>
      <c r="AX26" s="11">
        <f>INDEX('[5]input data'!$G$1:$G$1108,AY75,1)</f>
        <v>24.160948701579553</v>
      </c>
      <c r="AY26" s="11">
        <f>INDEX('[5]input data'!$G$1:$G$1108,AZ75,1)</f>
        <v>23.348482445095115</v>
      </c>
      <c r="AZ26" s="11">
        <f>INDEX('[5]input data'!$G$1:$G$1108,BA75,1)</f>
        <v>22.725900467116261</v>
      </c>
      <c r="BA26" s="12">
        <f t="shared" si="4"/>
        <v>24.452006908384092</v>
      </c>
      <c r="BB26" s="13">
        <f t="shared" si="5"/>
        <v>22.389516171661661</v>
      </c>
      <c r="BC26" s="16">
        <f t="shared" si="8"/>
        <v>23.564438869221728</v>
      </c>
    </row>
    <row r="27" spans="1:55" ht="14.25" customHeight="1" x14ac:dyDescent="0.25">
      <c r="A27" s="15">
        <v>19</v>
      </c>
      <c r="B27" s="11">
        <f>'[5]input data'!E654</f>
        <v>24.5</v>
      </c>
      <c r="C27" s="11">
        <f>'[5]input data'!E655</f>
        <v>26.1</v>
      </c>
      <c r="D27" s="11">
        <f>'[5]input data'!E656</f>
        <v>28</v>
      </c>
      <c r="E27" s="11">
        <f>'[5]input data'!E657</f>
        <v>29.6</v>
      </c>
      <c r="F27" s="11">
        <f>'[5]input data'!E658</f>
        <v>30.8</v>
      </c>
      <c r="G27" s="11">
        <f>'[5]input data'!E659</f>
        <v>31</v>
      </c>
      <c r="H27" s="11">
        <f>'[5]input data'!E660</f>
        <v>30</v>
      </c>
      <c r="I27" s="11">
        <f>'[5]input data'!E661</f>
        <v>29.6</v>
      </c>
      <c r="J27" s="11">
        <f>'[5]input data'!E662</f>
        <v>25</v>
      </c>
      <c r="K27" s="11">
        <f>'[5]input data'!E663</f>
        <v>23.8</v>
      </c>
      <c r="L27" s="11">
        <f>'[5]input data'!E664</f>
        <v>24.2</v>
      </c>
      <c r="M27" s="11">
        <f>'[5]input data'!E665</f>
        <v>24</v>
      </c>
      <c r="N27" s="11">
        <f>'[5]input data'!E666</f>
        <v>23.8</v>
      </c>
      <c r="O27" s="12">
        <f t="shared" si="0"/>
        <v>31</v>
      </c>
      <c r="P27" s="13">
        <f t="shared" si="1"/>
        <v>23.8</v>
      </c>
      <c r="Q27" s="16">
        <f t="shared" si="6"/>
        <v>26.95384615384615</v>
      </c>
      <c r="T27" s="15">
        <v>19</v>
      </c>
      <c r="U27" s="11">
        <f>INDEX('[5]input data'!$F$1:$F$1108,U76,1)</f>
        <v>23.9</v>
      </c>
      <c r="V27" s="11">
        <f>INDEX('[5]input data'!$F$1:$F$1108,V76,1)</f>
        <v>24.2</v>
      </c>
      <c r="W27" s="11">
        <f>INDEX('[5]input data'!$F$1:$F$1108,W76,1)</f>
        <v>25</v>
      </c>
      <c r="X27" s="11">
        <f>INDEX('[5]input data'!$F$1:$F$1108,X76,1)</f>
        <v>25.4</v>
      </c>
      <c r="Y27" s="11">
        <f>INDEX('[5]input data'!$F$1:$F$1108,Y76,1)</f>
        <v>26</v>
      </c>
      <c r="Z27" s="11">
        <f>INDEX('[5]input data'!$F$1:$F$1108,Z76,1)</f>
        <v>26</v>
      </c>
      <c r="AA27" s="11">
        <f>INDEX('[5]input data'!$F$1:$F$1108,AA76,1)</f>
        <v>26.2</v>
      </c>
      <c r="AB27" s="11">
        <f>INDEX('[5]input data'!$F$1:$F$1108,AB76,1)</f>
        <v>25.6</v>
      </c>
      <c r="AC27" s="11">
        <f>INDEX('[5]input data'!$F$1:$F$1108,AC76,1)</f>
        <v>23.4</v>
      </c>
      <c r="AD27" s="11">
        <f>INDEX('[5]input data'!$F$1:$F$1108,AD76,1)</f>
        <v>23.2</v>
      </c>
      <c r="AE27" s="11">
        <f>INDEX('[5]input data'!$F$1:$F$1108,AE76,1)</f>
        <v>23.6</v>
      </c>
      <c r="AF27" s="11">
        <f>INDEX('[5]input data'!$F$1:$F$1108,AF76,1)</f>
        <v>23.4</v>
      </c>
      <c r="AG27" s="11">
        <f>INDEX('[5]input data'!$F$1:$F$1108,AG76,1)</f>
        <v>23.2</v>
      </c>
      <c r="AH27" s="12">
        <f t="shared" si="2"/>
        <v>26.2</v>
      </c>
      <c r="AI27" s="13">
        <f t="shared" si="3"/>
        <v>23.2</v>
      </c>
      <c r="AJ27" s="16">
        <f t="shared" si="7"/>
        <v>24.546153846153842</v>
      </c>
      <c r="AM27" s="15">
        <v>19</v>
      </c>
      <c r="AN27" s="11">
        <f>INDEX('[5]input data'!$G$1:$G$1108,AO76,1)</f>
        <v>23.530297217183691</v>
      </c>
      <c r="AO27" s="11">
        <f>INDEX('[5]input data'!$G$1:$G$1108,AP76,1)</f>
        <v>23.247201183448343</v>
      </c>
      <c r="AP27" s="11">
        <f>INDEX('[5]input data'!$G$1:$G$1108,AQ76,1)</f>
        <v>23.593703811444115</v>
      </c>
      <c r="AQ27" s="11">
        <f>INDEX('[5]input data'!$G$1:$G$1108,AR76,1)</f>
        <v>23.485447924589423</v>
      </c>
      <c r="AR27" s="11">
        <f>INDEX('[5]input data'!$G$1:$G$1108,AS76,1)</f>
        <v>23.879464107884509</v>
      </c>
      <c r="AS27" s="11">
        <f>INDEX('[5]input data'!$G$1:$G$1108,AT76,1)</f>
        <v>23.79046980665996</v>
      </c>
      <c r="AT27" s="11">
        <f>INDEX('[5]input data'!$G$1:$G$1108,AU76,1)</f>
        <v>24.535346114683474</v>
      </c>
      <c r="AU27" s="11">
        <f>INDEX('[5]input data'!$G$1:$G$1108,AV76,1)</f>
        <v>23.79460686035754</v>
      </c>
      <c r="AV27" s="11">
        <f>INDEX('[5]input data'!$G$1:$G$1108,AW76,1)</f>
        <v>22.552863273036831</v>
      </c>
      <c r="AW27" s="11">
        <f>INDEX('[5]input data'!$G$1:$G$1108,AX76,1)</f>
        <v>22.82000049036704</v>
      </c>
      <c r="AX27" s="11">
        <f>INDEX('[5]input data'!$G$1:$G$1108,AY76,1)</f>
        <v>23.225937351919136</v>
      </c>
      <c r="AY27" s="11">
        <f>INDEX('[5]input data'!$G$1:$G$1108,AZ76,1)</f>
        <v>23.022986804446777</v>
      </c>
      <c r="AZ27" s="11">
        <f>INDEX('[5]input data'!$G$1:$G$1108,BA76,1)</f>
        <v>22.82000049036704</v>
      </c>
      <c r="BA27" s="12">
        <f t="shared" si="4"/>
        <v>24.535346114683474</v>
      </c>
      <c r="BB27" s="13">
        <f t="shared" si="5"/>
        <v>22.552863273036831</v>
      </c>
      <c r="BC27" s="16">
        <f t="shared" si="8"/>
        <v>23.407563495106761</v>
      </c>
    </row>
    <row r="28" spans="1:55" ht="14.25" customHeight="1" x14ac:dyDescent="0.25">
      <c r="A28" s="15">
        <v>20</v>
      </c>
      <c r="B28" s="11">
        <f>'[5]input data'!E690</f>
        <v>24.6</v>
      </c>
      <c r="C28" s="11">
        <f>'[5]input data'!E691</f>
        <v>26</v>
      </c>
      <c r="D28" s="11">
        <f>'[5]input data'!E692</f>
        <v>28</v>
      </c>
      <c r="E28" s="11">
        <f>'[5]input data'!E693</f>
        <v>29</v>
      </c>
      <c r="F28" s="11">
        <f>'[5]input data'!E694</f>
        <v>30</v>
      </c>
      <c r="G28" s="11">
        <f>'[5]input data'!E695</f>
        <v>30.6</v>
      </c>
      <c r="H28" s="11">
        <f>'[5]input data'!E696</f>
        <v>30.2</v>
      </c>
      <c r="I28" s="11">
        <f>'[5]input data'!E697</f>
        <v>30.2</v>
      </c>
      <c r="J28" s="11">
        <f>'[5]input data'!E698</f>
        <v>26.8</v>
      </c>
      <c r="K28" s="11">
        <f>'[5]input data'!E699</f>
        <v>24.8</v>
      </c>
      <c r="L28" s="11">
        <f>'[5]input data'!E700</f>
        <v>22.9</v>
      </c>
      <c r="M28" s="11">
        <f>'[5]input data'!E701</f>
        <v>23.2</v>
      </c>
      <c r="N28" s="11">
        <f>'[5]input data'!E702</f>
        <v>23.5</v>
      </c>
      <c r="O28" s="12">
        <f t="shared" si="0"/>
        <v>30.6</v>
      </c>
      <c r="P28" s="13">
        <f t="shared" si="1"/>
        <v>22.9</v>
      </c>
      <c r="Q28" s="16">
        <f t="shared" si="6"/>
        <v>26.907692307692304</v>
      </c>
      <c r="T28" s="15">
        <v>20</v>
      </c>
      <c r="U28" s="11">
        <f>INDEX('[5]input data'!$F$1:$F$1108,U77,1)</f>
        <v>23.2</v>
      </c>
      <c r="V28" s="11">
        <f>INDEX('[5]input data'!$F$1:$F$1108,V77,1)</f>
        <v>23.8</v>
      </c>
      <c r="W28" s="11">
        <f>INDEX('[5]input data'!$F$1:$F$1108,W77,1)</f>
        <v>24.8</v>
      </c>
      <c r="X28" s="11">
        <f>INDEX('[5]input data'!$F$1:$F$1108,X77,1)</f>
        <v>24.9</v>
      </c>
      <c r="Y28" s="11">
        <f>INDEX('[5]input data'!$F$1:$F$1108,Y77,1)</f>
        <v>25.8</v>
      </c>
      <c r="Z28" s="11">
        <f>INDEX('[5]input data'!$F$1:$F$1108,Z77,1)</f>
        <v>26</v>
      </c>
      <c r="AA28" s="11">
        <f>INDEX('[5]input data'!$F$1:$F$1108,AA77,1)</f>
        <v>26</v>
      </c>
      <c r="AB28" s="11">
        <f>INDEX('[5]input data'!$F$1:$F$1108,AB77,1)</f>
        <v>26</v>
      </c>
      <c r="AC28" s="11">
        <f>INDEX('[5]input data'!$F$1:$F$1108,AC77,1)</f>
        <v>24</v>
      </c>
      <c r="AD28" s="11">
        <f>INDEX('[5]input data'!$F$1:$F$1108,AD77,1)</f>
        <v>23.2</v>
      </c>
      <c r="AE28" s="11">
        <f>INDEX('[5]input data'!$F$1:$F$1108,AE77,1)</f>
        <v>22.8</v>
      </c>
      <c r="AF28" s="11">
        <f>INDEX('[5]input data'!$F$1:$F$1108,AF77,1)</f>
        <v>22.9</v>
      </c>
      <c r="AG28" s="11">
        <f>INDEX('[5]input data'!$F$1:$F$1108,AG77,1)</f>
        <v>23.2</v>
      </c>
      <c r="AH28" s="12">
        <f t="shared" si="2"/>
        <v>26</v>
      </c>
      <c r="AI28" s="13">
        <f t="shared" si="3"/>
        <v>22.8</v>
      </c>
      <c r="AJ28" s="16">
        <f t="shared" si="7"/>
        <v>24.353846153846153</v>
      </c>
      <c r="AM28" s="15">
        <v>20</v>
      </c>
      <c r="AN28" s="11">
        <f>INDEX('[5]input data'!$G$1:$G$1108,AO77,1)</f>
        <v>22.440752283690482</v>
      </c>
      <c r="AO28" s="11">
        <f>INDEX('[5]input data'!$G$1:$G$1108,AP77,1)</f>
        <v>22.687327425827569</v>
      </c>
      <c r="AP28" s="11">
        <f>INDEX('[5]input data'!$G$1:$G$1108,AQ77,1)</f>
        <v>23.28808865472617</v>
      </c>
      <c r="AQ28" s="11">
        <f>INDEX('[5]input data'!$G$1:$G$1108,AR77,1)</f>
        <v>22.981462246956188</v>
      </c>
      <c r="AR28" s="11">
        <f>INDEX('[5]input data'!$G$1:$G$1108,AS77,1)</f>
        <v>23.924726871474732</v>
      </c>
      <c r="AS28" s="11">
        <f>INDEX('[5]input data'!$G$1:$G$1108,AT77,1)</f>
        <v>23.968044880142624</v>
      </c>
      <c r="AT28" s="11">
        <f>INDEX('[5]input data'!$G$1:$G$1108,AU77,1)</f>
        <v>24.14398223668147</v>
      </c>
      <c r="AU28" s="11">
        <f>INDEX('[5]input data'!$G$1:$G$1108,AV77,1)</f>
        <v>24.14398223668147</v>
      </c>
      <c r="AV28" s="11">
        <f>INDEX('[5]input data'!$G$1:$G$1108,AW77,1)</f>
        <v>22.615697420007322</v>
      </c>
      <c r="AW28" s="11">
        <f>INDEX('[5]input data'!$G$1:$G$1108,AX77,1)</f>
        <v>22.344736198934232</v>
      </c>
      <c r="AX28" s="11">
        <f>INDEX('[5]input data'!$G$1:$G$1108,AY77,1)</f>
        <v>22.652170926389957</v>
      </c>
      <c r="AY28" s="11">
        <f>INDEX('[5]input data'!$G$1:$G$1108,AZ77,1)</f>
        <v>22.657999359828803</v>
      </c>
      <c r="AZ28" s="11">
        <f>INDEX('[5]input data'!$G$1:$G$1108,BA77,1)</f>
        <v>22.960277875591963</v>
      </c>
      <c r="BA28" s="12">
        <f t="shared" si="4"/>
        <v>24.14398223668147</v>
      </c>
      <c r="BB28" s="13">
        <f t="shared" si="5"/>
        <v>22.344736198934232</v>
      </c>
      <c r="BC28" s="16">
        <f t="shared" si="8"/>
        <v>23.139172970533306</v>
      </c>
    </row>
    <row r="29" spans="1:55" ht="14.25" customHeight="1" x14ac:dyDescent="0.25">
      <c r="A29" s="15">
        <v>21</v>
      </c>
      <c r="B29" s="11">
        <f>'[5]input data'!E726</f>
        <v>23.9</v>
      </c>
      <c r="C29" s="11">
        <f>'[5]input data'!E727</f>
        <v>24.6</v>
      </c>
      <c r="D29" s="11">
        <f>'[5]input data'!E728</f>
        <v>25.3</v>
      </c>
      <c r="E29" s="11">
        <f>'[5]input data'!E729</f>
        <v>27</v>
      </c>
      <c r="F29" s="11">
        <f>'[5]input data'!E730</f>
        <v>28.4</v>
      </c>
      <c r="G29" s="11">
        <f>'[5]input data'!E731</f>
        <v>29.2</v>
      </c>
      <c r="H29" s="11">
        <f>'[5]input data'!E732</f>
        <v>29.2</v>
      </c>
      <c r="I29" s="11">
        <f>'[5]input data'!E733</f>
        <v>27.2</v>
      </c>
      <c r="J29" s="11">
        <f>'[5]input data'!E734</f>
        <v>25.4</v>
      </c>
      <c r="K29" s="11">
        <f>'[5]input data'!E735</f>
        <v>24.6</v>
      </c>
      <c r="L29" s="11">
        <f>'[5]input data'!E736</f>
        <v>24.6</v>
      </c>
      <c r="M29" s="11">
        <f>'[5]input data'!E737</f>
        <v>24.4</v>
      </c>
      <c r="N29" s="11">
        <f>'[5]input data'!E738</f>
        <v>24</v>
      </c>
      <c r="O29" s="12">
        <f t="shared" si="0"/>
        <v>29.2</v>
      </c>
      <c r="P29" s="13">
        <f t="shared" si="1"/>
        <v>23.9</v>
      </c>
      <c r="Q29" s="16">
        <f t="shared" si="6"/>
        <v>25.984615384615381</v>
      </c>
      <c r="T29" s="15">
        <v>21</v>
      </c>
      <c r="U29" s="11">
        <f>INDEX('[5]input data'!$F$1:$F$1108,U78,1)</f>
        <v>23.4</v>
      </c>
      <c r="V29" s="11">
        <f>INDEX('[5]input data'!$F$1:$F$1108,V78,1)</f>
        <v>23.8</v>
      </c>
      <c r="W29" s="11">
        <f>INDEX('[5]input data'!$F$1:$F$1108,W78,1)</f>
        <v>23.9</v>
      </c>
      <c r="X29" s="11">
        <f>INDEX('[5]input data'!$F$1:$F$1108,X78,1)</f>
        <v>25</v>
      </c>
      <c r="Y29" s="11">
        <f>INDEX('[5]input data'!$F$1:$F$1108,Y78,1)</f>
        <v>25.4</v>
      </c>
      <c r="Z29" s="11">
        <f>INDEX('[5]input data'!$F$1:$F$1108,Z78,1)</f>
        <v>25.2</v>
      </c>
      <c r="AA29" s="11">
        <f>INDEX('[5]input data'!$F$1:$F$1108,AA78,1)</f>
        <v>25.5</v>
      </c>
      <c r="AB29" s="11">
        <f>INDEX('[5]input data'!$F$1:$F$1108,AB78,1)</f>
        <v>23.6</v>
      </c>
      <c r="AC29" s="11">
        <f>INDEX('[5]input data'!$F$1:$F$1108,AC78,1)</f>
        <v>23.6</v>
      </c>
      <c r="AD29" s="11">
        <f>INDEX('[5]input data'!$F$1:$F$1108,AD78,1)</f>
        <v>23.6</v>
      </c>
      <c r="AE29" s="11">
        <f>INDEX('[5]input data'!$F$1:$F$1108,AE78,1)</f>
        <v>23.6</v>
      </c>
      <c r="AF29" s="11">
        <f>INDEX('[5]input data'!$F$1:$F$1108,AF78,1)</f>
        <v>23.6</v>
      </c>
      <c r="AG29" s="11">
        <f>INDEX('[5]input data'!$F$1:$F$1108,AG78,1)</f>
        <v>23.4</v>
      </c>
      <c r="AH29" s="12">
        <f t="shared" si="2"/>
        <v>25.5</v>
      </c>
      <c r="AI29" s="13">
        <f t="shared" si="3"/>
        <v>23.4</v>
      </c>
      <c r="AJ29" s="16">
        <f t="shared" si="7"/>
        <v>24.123076923076919</v>
      </c>
      <c r="AM29" s="15">
        <v>21</v>
      </c>
      <c r="AN29" s="11">
        <f>INDEX('[5]input data'!$G$1:$G$1108,AO78,1)</f>
        <v>23.069362589016496</v>
      </c>
      <c r="AO29" s="11">
        <f>INDEX('[5]input data'!$G$1:$G$1108,AP78,1)</f>
        <v>23.337733422817518</v>
      </c>
      <c r="AP29" s="11">
        <f>INDEX('[5]input data'!$G$1:$G$1108,AQ78,1)</f>
        <v>23.165138660267143</v>
      </c>
      <c r="AQ29" s="11">
        <f>INDEX('[5]input data'!$G$1:$G$1108,AR78,1)</f>
        <v>24.039070257543216</v>
      </c>
      <c r="AR29" s="11">
        <f>INDEX('[5]input data'!$G$1:$G$1108,AS78,1)</f>
        <v>24.021663637150674</v>
      </c>
      <c r="AS29" s="11">
        <f>INDEX('[5]input data'!$G$1:$G$1108,AT78,1)</f>
        <v>23.356890846549941</v>
      </c>
      <c r="AT29" s="11">
        <f>INDEX('[5]input data'!$G$1:$G$1108,AU78,1)</f>
        <v>23.819337756018118</v>
      </c>
      <c r="AU29" s="11">
        <f>INDEX('[5]input data'!$G$1:$G$1108,AV78,1)</f>
        <v>21.794916962756314</v>
      </c>
      <c r="AV29" s="11">
        <f>INDEX('[5]input data'!$G$1:$G$1108,AW78,1)</f>
        <v>22.666490581585112</v>
      </c>
      <c r="AW29" s="11">
        <f>INDEX('[5]input data'!$G$1:$G$1108,AX78,1)</f>
        <v>23.041286800704647</v>
      </c>
      <c r="AX29" s="11">
        <f>INDEX('[5]input data'!$G$1:$G$1108,AY78,1)</f>
        <v>23.041286800704647</v>
      </c>
      <c r="AY29" s="11">
        <f>INDEX('[5]input data'!$G$1:$G$1108,AZ78,1)</f>
        <v>23.133837025841927</v>
      </c>
      <c r="AZ29" s="11">
        <f>INDEX('[5]input data'!$G$1:$G$1108,BA78,1)</f>
        <v>23.022986804446777</v>
      </c>
      <c r="BA29" s="12">
        <f t="shared" si="4"/>
        <v>24.039070257543216</v>
      </c>
      <c r="BB29" s="13">
        <f t="shared" si="5"/>
        <v>21.794916962756314</v>
      </c>
      <c r="BC29" s="16">
        <f t="shared" si="8"/>
        <v>23.193077088107884</v>
      </c>
    </row>
    <row r="30" spans="1:55" ht="14.25" customHeight="1" x14ac:dyDescent="0.25">
      <c r="A30" s="15">
        <v>22</v>
      </c>
      <c r="B30" s="11">
        <f>'[5]input data'!E762</f>
        <v>24.1</v>
      </c>
      <c r="C30" s="11">
        <f>'[5]input data'!E763</f>
        <v>26.1</v>
      </c>
      <c r="D30" s="11">
        <f>'[5]input data'!E764</f>
        <v>28.4</v>
      </c>
      <c r="E30" s="11">
        <f>'[5]input data'!E765</f>
        <v>29.8</v>
      </c>
      <c r="F30" s="11">
        <f>'[5]input data'!E766</f>
        <v>31</v>
      </c>
      <c r="G30" s="11">
        <f>'[5]input data'!E767</f>
        <v>31.8</v>
      </c>
      <c r="H30" s="11">
        <f>'[5]input data'!E768</f>
        <v>32.6</v>
      </c>
      <c r="I30" s="11">
        <f>'[5]input data'!E769</f>
        <v>32.6</v>
      </c>
      <c r="J30" s="11">
        <f>'[5]input data'!E770</f>
        <v>31</v>
      </c>
      <c r="K30" s="11">
        <f>'[5]input data'!E771</f>
        <v>30</v>
      </c>
      <c r="L30" s="11">
        <f>'[5]input data'!E772</f>
        <v>29</v>
      </c>
      <c r="M30" s="11">
        <f>'[5]input data'!E773</f>
        <v>28.2</v>
      </c>
      <c r="N30" s="11">
        <f>'[5]input data'!E774</f>
        <v>27.6</v>
      </c>
      <c r="O30" s="12">
        <f t="shared" si="0"/>
        <v>32.6</v>
      </c>
      <c r="P30" s="13">
        <f t="shared" si="1"/>
        <v>24.1</v>
      </c>
      <c r="Q30" s="16">
        <f t="shared" si="6"/>
        <v>29.4</v>
      </c>
      <c r="T30" s="15">
        <v>22</v>
      </c>
      <c r="U30" s="11">
        <f>INDEX('[5]input data'!$F$1:$F$1108,U79,1)</f>
        <v>22.7</v>
      </c>
      <c r="V30" s="11">
        <f>INDEX('[5]input data'!$F$1:$F$1108,V79,1)</f>
        <v>23.6</v>
      </c>
      <c r="W30" s="11">
        <f>INDEX('[5]input data'!$F$1:$F$1108,W79,1)</f>
        <v>24.2</v>
      </c>
      <c r="X30" s="11">
        <f>INDEX('[5]input data'!$F$1:$F$1108,X79,1)</f>
        <v>24.9</v>
      </c>
      <c r="Y30" s="11">
        <f>INDEX('[5]input data'!$F$1:$F$1108,Y79,1)</f>
        <v>24.8</v>
      </c>
      <c r="Z30" s="11">
        <f>INDEX('[5]input data'!$F$1:$F$1108,Z79,1)</f>
        <v>25</v>
      </c>
      <c r="AA30" s="11">
        <f>INDEX('[5]input data'!$F$1:$F$1108,AA79,1)</f>
        <v>25.8</v>
      </c>
      <c r="AB30" s="11">
        <f>INDEX('[5]input data'!$F$1:$F$1108,AB79,1)</f>
        <v>26</v>
      </c>
      <c r="AC30" s="11">
        <f>INDEX('[5]input data'!$F$1:$F$1108,AC79,1)</f>
        <v>26</v>
      </c>
      <c r="AD30" s="11">
        <f>INDEX('[5]input data'!$F$1:$F$1108,AD79,1)</f>
        <v>26</v>
      </c>
      <c r="AE30" s="11">
        <f>INDEX('[5]input data'!$F$1:$F$1108,AE79,1)</f>
        <v>26</v>
      </c>
      <c r="AF30" s="11">
        <f>INDEX('[5]input data'!$F$1:$F$1108,AF79,1)</f>
        <v>26</v>
      </c>
      <c r="AG30" s="11">
        <f>INDEX('[5]input data'!$F$1:$F$1108,AG79,1)</f>
        <v>25.4</v>
      </c>
      <c r="AH30" s="12">
        <f t="shared" si="2"/>
        <v>26</v>
      </c>
      <c r="AI30" s="13">
        <f t="shared" si="3"/>
        <v>22.7</v>
      </c>
      <c r="AJ30" s="16">
        <f t="shared" si="7"/>
        <v>25.107692307692307</v>
      </c>
      <c r="AM30" s="15">
        <v>22</v>
      </c>
      <c r="AN30" s="11">
        <f>INDEX('[5]input data'!$G$1:$G$1108,AO79,1)</f>
        <v>21.922667914032502</v>
      </c>
      <c r="AO30" s="11">
        <f>INDEX('[5]input data'!$G$1:$G$1108,AP79,1)</f>
        <v>22.33232630470188</v>
      </c>
      <c r="AP30" s="11">
        <f>INDEX('[5]input data'!$G$1:$G$1108,AQ79,1)</f>
        <v>22.161158941710486</v>
      </c>
      <c r="AQ30" s="11">
        <f>INDEX('[5]input data'!$G$1:$G$1108,AR79,1)</f>
        <v>22.605433638695846</v>
      </c>
      <c r="AR30" s="11">
        <f>INDEX('[5]input data'!$G$1:$G$1108,AS79,1)</f>
        <v>21.861845231864532</v>
      </c>
      <c r="AS30" s="11">
        <f>INDEX('[5]input data'!$G$1:$G$1108,AT79,1)</f>
        <v>21.798893378468534</v>
      </c>
      <c r="AT30" s="11">
        <f>INDEX('[5]input data'!$G$1:$G$1108,AU79,1)</f>
        <v>22.736900731169225</v>
      </c>
      <c r="AU30" s="11">
        <f>INDEX('[5]input data'!$G$1:$G$1108,AV79,1)</f>
        <v>23.063112817773707</v>
      </c>
      <c r="AV30" s="11">
        <f>INDEX('[5]input data'!$G$1:$G$1108,AW79,1)</f>
        <v>23.79046980665996</v>
      </c>
      <c r="AW30" s="11">
        <f>INDEX('[5]input data'!$G$1:$G$1108,AX79,1)</f>
        <v>24.231346865433</v>
      </c>
      <c r="AX30" s="11">
        <f>INDEX('[5]input data'!$G$1:$G$1108,AY79,1)</f>
        <v>24.662285046101083</v>
      </c>
      <c r="AY30" s="11">
        <f>INDEX('[5]input data'!$G$1:$G$1108,AZ79,1)</f>
        <v>25.000196763282311</v>
      </c>
      <c r="AZ30" s="11">
        <f>INDEX('[5]input data'!$G$1:$G$1108,BA79,1)</f>
        <v>24.370945495089579</v>
      </c>
      <c r="BA30" s="12">
        <f t="shared" si="4"/>
        <v>25.000196763282311</v>
      </c>
      <c r="BB30" s="13">
        <f t="shared" si="5"/>
        <v>21.798893378468534</v>
      </c>
      <c r="BC30" s="16">
        <f t="shared" si="8"/>
        <v>23.118275610383282</v>
      </c>
    </row>
    <row r="31" spans="1:55" ht="14.25" customHeight="1" x14ac:dyDescent="0.25">
      <c r="A31" s="15">
        <v>23</v>
      </c>
      <c r="B31" s="11">
        <f>'[5]input data'!E798</f>
        <v>24.1</v>
      </c>
      <c r="C31" s="11">
        <f>'[5]input data'!E799</f>
        <v>26.3</v>
      </c>
      <c r="D31" s="11">
        <f>'[5]input data'!E800</f>
        <v>28.6</v>
      </c>
      <c r="E31" s="11">
        <f>'[5]input data'!E801</f>
        <v>30</v>
      </c>
      <c r="F31" s="11">
        <f>'[5]input data'!E802</f>
        <v>30.6</v>
      </c>
      <c r="G31" s="11">
        <f>'[5]input data'!E803</f>
        <v>31.4</v>
      </c>
      <c r="H31" s="11">
        <f>'[5]input data'!E804</f>
        <v>32</v>
      </c>
      <c r="I31" s="11">
        <f>'[5]input data'!E805</f>
        <v>30</v>
      </c>
      <c r="J31" s="11">
        <f>'[5]input data'!E806</f>
        <v>28</v>
      </c>
      <c r="K31" s="11">
        <f>'[5]input data'!E807</f>
        <v>25.6</v>
      </c>
      <c r="L31" s="11">
        <f>'[5]input data'!E808</f>
        <v>24.8</v>
      </c>
      <c r="M31" s="11">
        <f>'[5]input data'!E809</f>
        <v>24.8</v>
      </c>
      <c r="N31" s="11">
        <f>'[5]input data'!E810</f>
        <v>24.6</v>
      </c>
      <c r="O31" s="12">
        <f t="shared" si="0"/>
        <v>32</v>
      </c>
      <c r="P31" s="13">
        <f t="shared" si="1"/>
        <v>24.1</v>
      </c>
      <c r="Q31" s="16">
        <f t="shared" si="6"/>
        <v>27.753846153846158</v>
      </c>
      <c r="T31" s="15">
        <v>23</v>
      </c>
      <c r="U31" s="11">
        <f>INDEX('[5]input data'!$F$1:$F$1108,U80,1)</f>
        <v>22.1</v>
      </c>
      <c r="V31" s="11">
        <f>INDEX('[5]input data'!$F$1:$F$1108,V80,1)</f>
        <v>23.6</v>
      </c>
      <c r="W31" s="11">
        <f>INDEX('[5]input data'!$F$1:$F$1108,W80,1)</f>
        <v>24.7</v>
      </c>
      <c r="X31" s="11">
        <f>INDEX('[5]input data'!$F$1:$F$1108,X80,1)</f>
        <v>26.2</v>
      </c>
      <c r="Y31" s="11">
        <f>INDEX('[5]input data'!$F$1:$F$1108,Y80,1)</f>
        <v>25</v>
      </c>
      <c r="Z31" s="11">
        <f>INDEX('[5]input data'!$F$1:$F$1108,Z80,1)</f>
        <v>25</v>
      </c>
      <c r="AA31" s="11">
        <f>INDEX('[5]input data'!$F$1:$F$1108,AA80,1)</f>
        <v>25</v>
      </c>
      <c r="AB31" s="11">
        <f>INDEX('[5]input data'!$F$1:$F$1108,AB80,1)</f>
        <v>24.6</v>
      </c>
      <c r="AC31" s="11">
        <f>INDEX('[5]input data'!$F$1:$F$1108,AC80,1)</f>
        <v>24.4</v>
      </c>
      <c r="AD31" s="11">
        <f>INDEX('[5]input data'!$F$1:$F$1108,AD80,1)</f>
        <v>24.4</v>
      </c>
      <c r="AE31" s="11">
        <f>INDEX('[5]input data'!$F$1:$F$1108,AE80,1)</f>
        <v>24.4</v>
      </c>
      <c r="AF31" s="11">
        <f>INDEX('[5]input data'!$F$1:$F$1108,AF80,1)</f>
        <v>24</v>
      </c>
      <c r="AG31" s="11">
        <f>INDEX('[5]input data'!$F$1:$F$1108,AG80,1)</f>
        <v>23.8</v>
      </c>
      <c r="AH31" s="12">
        <f t="shared" si="2"/>
        <v>26.2</v>
      </c>
      <c r="AI31" s="13">
        <f t="shared" si="3"/>
        <v>22.1</v>
      </c>
      <c r="AJ31" s="16">
        <f t="shared" si="7"/>
        <v>24.400000000000002</v>
      </c>
      <c r="AM31" s="15">
        <v>23</v>
      </c>
      <c r="AN31" s="11">
        <f>INDEX('[5]input data'!$G$1:$G$1108,AO80,1)</f>
        <v>20.992362950550941</v>
      </c>
      <c r="AO31" s="11">
        <f>INDEX('[5]input data'!$G$1:$G$1108,AP80,1)</f>
        <v>22.235751721445251</v>
      </c>
      <c r="AP31" s="11">
        <f>INDEX('[5]input data'!$G$1:$G$1108,AQ80,1)</f>
        <v>22.855233338708079</v>
      </c>
      <c r="AQ31" s="11">
        <f>INDEX('[5]input data'!$G$1:$G$1108,AR80,1)</f>
        <v>24.535346114683474</v>
      </c>
      <c r="AR31" s="11">
        <f>INDEX('[5]input data'!$G$1:$G$1108,AS80,1)</f>
        <v>22.384333702710158</v>
      </c>
      <c r="AS31" s="11">
        <f>INDEX('[5]input data'!$G$1:$G$1108,AT80,1)</f>
        <v>21.996074485854592</v>
      </c>
      <c r="AT31" s="11">
        <f>INDEX('[5]input data'!$G$1:$G$1108,AU80,1)</f>
        <v>21.699519695463234</v>
      </c>
      <c r="AU31" s="11">
        <f>INDEX('[5]input data'!$G$1:$G$1108,AV80,1)</f>
        <v>22.025168782248613</v>
      </c>
      <c r="AV31" s="11">
        <f>INDEX('[5]input data'!$G$1:$G$1108,AW80,1)</f>
        <v>22.668616177039841</v>
      </c>
      <c r="AW31" s="11">
        <f>INDEX('[5]input data'!$G$1:$G$1108,AX80,1)</f>
        <v>23.771410936659056</v>
      </c>
      <c r="AX31" s="11">
        <f>INDEX('[5]input data'!$G$1:$G$1108,AY80,1)</f>
        <v>24.125234420920101</v>
      </c>
      <c r="AY31" s="11">
        <f>INDEX('[5]input data'!$G$1:$G$1108,AZ80,1)</f>
        <v>23.541582806104632</v>
      </c>
      <c r="AZ31" s="11">
        <f>INDEX('[5]input data'!$G$1:$G$1108,BA80,1)</f>
        <v>23.337733422817518</v>
      </c>
      <c r="BA31" s="12">
        <f t="shared" si="4"/>
        <v>24.535346114683474</v>
      </c>
      <c r="BB31" s="13">
        <f t="shared" si="5"/>
        <v>20.992362950550941</v>
      </c>
      <c r="BC31" s="16">
        <f t="shared" si="8"/>
        <v>22.78218219655427</v>
      </c>
    </row>
    <row r="32" spans="1:55" ht="14.25" customHeight="1" x14ac:dyDescent="0.25">
      <c r="A32" s="15">
        <v>24</v>
      </c>
      <c r="B32" s="11">
        <f>'[5]input data'!E834</f>
        <v>24.1</v>
      </c>
      <c r="C32" s="11">
        <f>'[5]input data'!E835</f>
        <v>26.5</v>
      </c>
      <c r="D32" s="11">
        <f>'[5]input data'!E836</f>
        <v>28.5</v>
      </c>
      <c r="E32" s="11">
        <f>'[5]input data'!E837</f>
        <v>29.9</v>
      </c>
      <c r="F32" s="11">
        <f>'[5]input data'!E838</f>
        <v>31.1</v>
      </c>
      <c r="G32" s="11">
        <f>'[5]input data'!E839</f>
        <v>31.3</v>
      </c>
      <c r="H32" s="11">
        <f>'[5]input data'!E840</f>
        <v>28.8</v>
      </c>
      <c r="I32" s="11">
        <f>'[5]input data'!E841</f>
        <v>27</v>
      </c>
      <c r="J32" s="11">
        <f>'[5]input data'!E842</f>
        <v>25.6</v>
      </c>
      <c r="K32" s="11">
        <f>'[5]input data'!E843</f>
        <v>25.5</v>
      </c>
      <c r="L32" s="11">
        <f>'[5]input data'!E844</f>
        <v>25.4</v>
      </c>
      <c r="M32" s="11">
        <f>'[5]input data'!E845</f>
        <v>25.4</v>
      </c>
      <c r="N32" s="11">
        <f>'[5]input data'!E846</f>
        <v>25</v>
      </c>
      <c r="O32" s="12">
        <f t="shared" si="0"/>
        <v>31.3</v>
      </c>
      <c r="P32" s="13">
        <f t="shared" si="1"/>
        <v>24.1</v>
      </c>
      <c r="Q32" s="16">
        <f t="shared" si="6"/>
        <v>27.238461538461536</v>
      </c>
      <c r="T32" s="15">
        <v>24</v>
      </c>
      <c r="U32" s="11">
        <f>INDEX('[5]input data'!$F$1:$F$1108,U81,1)</f>
        <v>23.2</v>
      </c>
      <c r="V32" s="11">
        <f>INDEX('[5]input data'!$F$1:$F$1108,V81,1)</f>
        <v>24.7</v>
      </c>
      <c r="W32" s="11">
        <f>INDEX('[5]input data'!$F$1:$F$1108,W81,1)</f>
        <v>24.9</v>
      </c>
      <c r="X32" s="11">
        <f>INDEX('[5]input data'!$F$1:$F$1108,X81,1)</f>
        <v>25.7</v>
      </c>
      <c r="Y32" s="11">
        <f>INDEX('[5]input data'!$F$1:$F$1108,Y81,1)</f>
        <v>25.7</v>
      </c>
      <c r="Z32" s="11">
        <f>INDEX('[5]input data'!$F$1:$F$1108,Z81,1)</f>
        <v>26.1</v>
      </c>
      <c r="AA32" s="11">
        <f>INDEX('[5]input data'!$F$1:$F$1108,AA81,1)</f>
        <v>26.7</v>
      </c>
      <c r="AB32" s="11">
        <f>INDEX('[5]input data'!$F$1:$F$1108,AB81,1)</f>
        <v>25.8</v>
      </c>
      <c r="AC32" s="11">
        <f>INDEX('[5]input data'!$F$1:$F$1108,AC81,1)</f>
        <v>23.6</v>
      </c>
      <c r="AD32" s="11">
        <f>INDEX('[5]input data'!$F$1:$F$1108,AD81,1)</f>
        <v>24.6</v>
      </c>
      <c r="AE32" s="11">
        <f>INDEX('[5]input data'!$F$1:$F$1108,AE81,1)</f>
        <v>24.6</v>
      </c>
      <c r="AF32" s="11">
        <f>INDEX('[5]input data'!$F$1:$F$1108,AF81,1)</f>
        <v>24.6</v>
      </c>
      <c r="AG32" s="11">
        <f>INDEX('[5]input data'!$F$1:$F$1108,AG81,1)</f>
        <v>24.4</v>
      </c>
      <c r="AH32" s="12">
        <f t="shared" si="2"/>
        <v>26.7</v>
      </c>
      <c r="AI32" s="13">
        <f t="shared" si="3"/>
        <v>23.2</v>
      </c>
      <c r="AJ32" s="16">
        <f t="shared" si="7"/>
        <v>24.969230769230769</v>
      </c>
      <c r="AM32" s="15">
        <v>24</v>
      </c>
      <c r="AN32" s="11">
        <f>INDEX('[5]input data'!$G$1:$G$1108,AO81,1)</f>
        <v>22.678674048514598</v>
      </c>
      <c r="AO32" s="11">
        <f>INDEX('[5]input data'!$G$1:$G$1108,AP81,1)</f>
        <v>23.814403752179942</v>
      </c>
      <c r="AP32" s="11">
        <f>INDEX('[5]input data'!$G$1:$G$1108,AQ81,1)</f>
        <v>23.212740182238996</v>
      </c>
      <c r="AQ32" s="11">
        <f>INDEX('[5]input data'!$G$1:$G$1108,AR81,1)</f>
        <v>23.815003930608807</v>
      </c>
      <c r="AR32" s="11">
        <f>INDEX('[5]input data'!$G$1:$G$1108,AS81,1)</f>
        <v>23.272836951533939</v>
      </c>
      <c r="AS32" s="11">
        <f>INDEX('[5]input data'!$G$1:$G$1108,AT81,1)</f>
        <v>23.813153236217548</v>
      </c>
      <c r="AT32" s="11">
        <f>INDEX('[5]input data'!$G$1:$G$1108,AU81,1)</f>
        <v>25.77324204244217</v>
      </c>
      <c r="AU32" s="11">
        <f>INDEX('[5]input data'!$G$1:$G$1108,AV81,1)</f>
        <v>25.20925852351645</v>
      </c>
      <c r="AV32" s="11">
        <f>INDEX('[5]input data'!$G$1:$G$1108,AW81,1)</f>
        <v>22.571617917695416</v>
      </c>
      <c r="AW32" s="11">
        <f>INDEX('[5]input data'!$G$1:$G$1108,AX81,1)</f>
        <v>24.109047616405501</v>
      </c>
      <c r="AX32" s="11">
        <f>INDEX('[5]input data'!$G$1:$G$1108,AY81,1)</f>
        <v>24.152855495117279</v>
      </c>
      <c r="AY32" s="11">
        <f>INDEX('[5]input data'!$G$1:$G$1108,AZ81,1)</f>
        <v>24.152855495117279</v>
      </c>
      <c r="AZ32" s="11">
        <f>INDEX('[5]input data'!$G$1:$G$1108,BA81,1)</f>
        <v>24.037391893261969</v>
      </c>
      <c r="BA32" s="12">
        <f t="shared" si="4"/>
        <v>25.77324204244217</v>
      </c>
      <c r="BB32" s="13">
        <f t="shared" si="5"/>
        <v>22.571617917695416</v>
      </c>
      <c r="BC32" s="16">
        <f t="shared" si="8"/>
        <v>23.893313929603838</v>
      </c>
    </row>
    <row r="33" spans="1:55" ht="14.25" customHeight="1" x14ac:dyDescent="0.25">
      <c r="A33" s="15">
        <v>25</v>
      </c>
      <c r="B33" s="11">
        <f>'[5]input data'!E870</f>
        <v>25.3</v>
      </c>
      <c r="C33" s="11">
        <f>'[5]input data'!E871</f>
        <v>27</v>
      </c>
      <c r="D33" s="11">
        <f>'[5]input data'!E872</f>
        <v>28.4</v>
      </c>
      <c r="E33" s="11">
        <f>'[5]input data'!E873</f>
        <v>29</v>
      </c>
      <c r="F33" s="11">
        <f>'[5]input data'!E874</f>
        <v>29.2</v>
      </c>
      <c r="G33" s="11">
        <f>'[5]input data'!E875</f>
        <v>29.6</v>
      </c>
      <c r="H33" s="11">
        <f>'[5]input data'!E876</f>
        <v>29.4</v>
      </c>
      <c r="I33" s="11">
        <f>'[5]input data'!E877</f>
        <v>29.2</v>
      </c>
      <c r="J33" s="11">
        <f>'[5]input data'!E878</f>
        <v>29.2</v>
      </c>
      <c r="K33" s="11">
        <f>'[5]input data'!E879</f>
        <v>28</v>
      </c>
      <c r="L33" s="11">
        <f>'[5]input data'!E880</f>
        <v>27.4</v>
      </c>
      <c r="M33" s="11">
        <f>'[5]input data'!E881</f>
        <v>26.8</v>
      </c>
      <c r="N33" s="11">
        <f>'[5]input data'!E882</f>
        <v>25.8</v>
      </c>
      <c r="O33" s="12">
        <f t="shared" si="0"/>
        <v>29.6</v>
      </c>
      <c r="P33" s="13">
        <f t="shared" si="1"/>
        <v>25.3</v>
      </c>
      <c r="Q33" s="16">
        <f t="shared" si="6"/>
        <v>28.023076923076921</v>
      </c>
      <c r="T33" s="15">
        <v>25</v>
      </c>
      <c r="U33" s="11">
        <f>INDEX('[5]input data'!$F$1:$F$1108,U82,1)</f>
        <v>23.5</v>
      </c>
      <c r="V33" s="11">
        <f>INDEX('[5]input data'!$F$1:$F$1108,V82,1)</f>
        <v>24.2</v>
      </c>
      <c r="W33" s="11">
        <f>INDEX('[5]input data'!$F$1:$F$1108,W82,1)</f>
        <v>25.1</v>
      </c>
      <c r="X33" s="11">
        <f>INDEX('[5]input data'!$F$1:$F$1108,X82,1)</f>
        <v>25.6</v>
      </c>
      <c r="Y33" s="11">
        <f>INDEX('[5]input data'!$F$1:$F$1108,Y82,1)</f>
        <v>25.8</v>
      </c>
      <c r="Z33" s="11">
        <f>INDEX('[5]input data'!$F$1:$F$1108,Z82,1)</f>
        <v>26</v>
      </c>
      <c r="AA33" s="11">
        <f>INDEX('[5]input data'!$F$1:$F$1108,AA82,1)</f>
        <v>26</v>
      </c>
      <c r="AB33" s="11">
        <f>INDEX('[5]input data'!$F$1:$F$1108,AB82,1)</f>
        <v>25.8</v>
      </c>
      <c r="AC33" s="11">
        <f>INDEX('[5]input data'!$F$1:$F$1108,AC82,1)</f>
        <v>25.8</v>
      </c>
      <c r="AD33" s="11">
        <f>INDEX('[5]input data'!$F$1:$F$1108,AD82,1)</f>
        <v>25.4</v>
      </c>
      <c r="AE33" s="11">
        <f>INDEX('[5]input data'!$F$1:$F$1108,AE82,1)</f>
        <v>25.5</v>
      </c>
      <c r="AF33" s="11">
        <f>INDEX('[5]input data'!$F$1:$F$1108,AF82,1)</f>
        <v>25.2</v>
      </c>
      <c r="AG33" s="11">
        <f>INDEX('[5]input data'!$F$1:$F$1108,AG82,1)</f>
        <v>24.6</v>
      </c>
      <c r="AH33" s="12">
        <f t="shared" si="2"/>
        <v>26</v>
      </c>
      <c r="AI33" s="13">
        <f t="shared" si="3"/>
        <v>23.5</v>
      </c>
      <c r="AJ33" s="16">
        <f t="shared" si="7"/>
        <v>25.269230769230774</v>
      </c>
      <c r="AM33" s="15">
        <v>25</v>
      </c>
      <c r="AN33" s="11">
        <f>INDEX('[5]input data'!$G$1:$G$1108,AO82,1)</f>
        <v>22.561968152276879</v>
      </c>
      <c r="AO33" s="11">
        <f>INDEX('[5]input data'!$G$1:$G$1108,AP82,1)</f>
        <v>22.829633194937365</v>
      </c>
      <c r="AP33" s="11">
        <f>INDEX('[5]input data'!$G$1:$G$1108,AQ82,1)</f>
        <v>23.565856961624398</v>
      </c>
      <c r="AQ33" s="11">
        <f>INDEX('[5]input data'!$G$1:$G$1108,AR82,1)</f>
        <v>24.060288665251548</v>
      </c>
      <c r="AR33" s="11">
        <f>INDEX('[5]input data'!$G$1:$G$1108,AS82,1)</f>
        <v>24.275779153816018</v>
      </c>
      <c r="AS33" s="11">
        <f>INDEX('[5]input data'!$G$1:$G$1108,AT82,1)</f>
        <v>24.404887683239696</v>
      </c>
      <c r="AT33" s="11">
        <f>INDEX('[5]input data'!$G$1:$G$1108,AU82,1)</f>
        <v>24.491071560371971</v>
      </c>
      <c r="AU33" s="11">
        <f>INDEX('[5]input data'!$G$1:$G$1108,AV82,1)</f>
        <v>24.275779153816018</v>
      </c>
      <c r="AV33" s="11">
        <f>INDEX('[5]input data'!$G$1:$G$1108,AW82,1)</f>
        <v>24.275779153816018</v>
      </c>
      <c r="AW33" s="11">
        <f>INDEX('[5]input data'!$G$1:$G$1108,AX82,1)</f>
        <v>24.197102507728658</v>
      </c>
      <c r="AX33" s="11">
        <f>INDEX('[5]input data'!$G$1:$G$1108,AY82,1)</f>
        <v>24.604547228249363</v>
      </c>
      <c r="AY33" s="11">
        <f>INDEX('[5]input data'!$G$1:$G$1108,AZ82,1)</f>
        <v>24.421609632843392</v>
      </c>
      <c r="AZ33" s="11">
        <f>INDEX('[5]input data'!$G$1:$G$1108,BA82,1)</f>
        <v>23.977017614815619</v>
      </c>
      <c r="BA33" s="12">
        <f t="shared" si="4"/>
        <v>24.604547228249363</v>
      </c>
      <c r="BB33" s="13">
        <f t="shared" si="5"/>
        <v>22.561968152276879</v>
      </c>
      <c r="BC33" s="16">
        <f t="shared" si="8"/>
        <v>23.995486204829767</v>
      </c>
    </row>
    <row r="34" spans="1:55" ht="14.25" customHeight="1" x14ac:dyDescent="0.25">
      <c r="A34" s="15">
        <v>26</v>
      </c>
      <c r="B34" s="11">
        <f>'[5]input data'!E906</f>
        <v>24.8</v>
      </c>
      <c r="C34" s="11">
        <f>'[5]input data'!E907</f>
        <v>26</v>
      </c>
      <c r="D34" s="11">
        <f>'[5]input data'!E908</f>
        <v>27.2</v>
      </c>
      <c r="E34" s="11">
        <f>'[5]input data'!E909</f>
        <v>28.6</v>
      </c>
      <c r="F34" s="11">
        <f>'[5]input data'!E910</f>
        <v>29.8</v>
      </c>
      <c r="G34" s="11">
        <f>'[5]input data'!E911</f>
        <v>31.2</v>
      </c>
      <c r="H34" s="11">
        <f>'[5]input data'!E912</f>
        <v>29.6</v>
      </c>
      <c r="I34" s="11">
        <f>'[5]input data'!E913</f>
        <v>25.7</v>
      </c>
      <c r="J34" s="11">
        <f>'[5]input data'!E914</f>
        <v>26.1</v>
      </c>
      <c r="K34" s="11">
        <f>'[5]input data'!E915</f>
        <v>26.6</v>
      </c>
      <c r="L34" s="11">
        <f>'[5]input data'!E916</f>
        <v>26.7</v>
      </c>
      <c r="M34" s="11">
        <f>'[5]input data'!E917</f>
        <v>26.4</v>
      </c>
      <c r="N34" s="11">
        <f>'[5]input data'!E918</f>
        <v>26.1</v>
      </c>
      <c r="O34" s="12">
        <f t="shared" si="0"/>
        <v>31.2</v>
      </c>
      <c r="P34" s="13">
        <f t="shared" si="1"/>
        <v>24.8</v>
      </c>
      <c r="Q34" s="16">
        <f t="shared" si="6"/>
        <v>27.292307692307688</v>
      </c>
      <c r="T34" s="15">
        <v>26</v>
      </c>
      <c r="U34" s="11">
        <f>INDEX('[5]input data'!$F$1:$F$1108,U83,1)</f>
        <v>24.4</v>
      </c>
      <c r="V34" s="11">
        <f>INDEX('[5]input data'!$F$1:$F$1108,V83,1)</f>
        <v>24.8</v>
      </c>
      <c r="W34" s="11">
        <f>INDEX('[5]input data'!$F$1:$F$1108,W83,1)</f>
        <v>25.1</v>
      </c>
      <c r="X34" s="11">
        <f>INDEX('[5]input data'!$F$1:$F$1108,X83,1)</f>
        <v>25.6</v>
      </c>
      <c r="Y34" s="11">
        <f>INDEX('[5]input data'!$F$1:$F$1108,Y83,1)</f>
        <v>25.6</v>
      </c>
      <c r="Z34" s="11">
        <f>INDEX('[5]input data'!$F$1:$F$1108,Z83,1)</f>
        <v>26.4</v>
      </c>
      <c r="AA34" s="11">
        <f>INDEX('[5]input data'!$F$1:$F$1108,AA83,1)</f>
        <v>26.2</v>
      </c>
      <c r="AB34" s="11">
        <f>INDEX('[5]input data'!$F$1:$F$1108,AB83,1)</f>
        <v>23.9</v>
      </c>
      <c r="AC34" s="11">
        <f>INDEX('[5]input data'!$F$1:$F$1108,AC83,1)</f>
        <v>25.1</v>
      </c>
      <c r="AD34" s="11">
        <f>INDEX('[5]input data'!$F$1:$F$1108,AD83,1)</f>
        <v>25.3</v>
      </c>
      <c r="AE34" s="11">
        <f>INDEX('[5]input data'!$F$1:$F$1108,AE83,1)</f>
        <v>25.5</v>
      </c>
      <c r="AF34" s="11">
        <f>INDEX('[5]input data'!$F$1:$F$1108,AF83,1)</f>
        <v>25.6</v>
      </c>
      <c r="AG34" s="11">
        <f>INDEX('[5]input data'!$F$1:$F$1108,AG83,1)</f>
        <v>25.5</v>
      </c>
      <c r="AH34" s="12">
        <f t="shared" si="2"/>
        <v>26.4</v>
      </c>
      <c r="AI34" s="13">
        <f t="shared" si="3"/>
        <v>23.9</v>
      </c>
      <c r="AJ34" s="16">
        <f t="shared" si="7"/>
        <v>25.307692307692307</v>
      </c>
      <c r="AM34" s="15">
        <v>26</v>
      </c>
      <c r="AN34" s="11">
        <f>INDEX('[5]input data'!$G$1:$G$1108,AO83,1)</f>
        <v>24.125234420920101</v>
      </c>
      <c r="AO34" s="11">
        <f>INDEX('[5]input data'!$G$1:$G$1108,AP83,1)</f>
        <v>24.182556068191992</v>
      </c>
      <c r="AP34" s="11">
        <f>INDEX('[5]input data'!$G$1:$G$1108,AQ83,1)</f>
        <v>24.099834434995177</v>
      </c>
      <c r="AQ34" s="11">
        <f>INDEX('[5]input data'!$G$1:$G$1108,AR83,1)</f>
        <v>24.235377202799327</v>
      </c>
      <c r="AR34" s="11">
        <f>INDEX('[5]input data'!$G$1:$G$1108,AS83,1)</f>
        <v>23.705216804198258</v>
      </c>
      <c r="AS34" s="11">
        <f>INDEX('[5]input data'!$G$1:$G$1108,AT83,1)</f>
        <v>24.323248278322577</v>
      </c>
      <c r="AT34" s="11">
        <f>INDEX('[5]input data'!$G$1:$G$1108,AU83,1)</f>
        <v>24.706168921549796</v>
      </c>
      <c r="AU34" s="11">
        <f>INDEX('[5]input data'!$G$1:$G$1108,AV83,1)</f>
        <v>22.979887879905885</v>
      </c>
      <c r="AV34" s="11">
        <f>INDEX('[5]input data'!$G$1:$G$1108,AW83,1)</f>
        <v>24.576531786856147</v>
      </c>
      <c r="AW34" s="11">
        <f>INDEX('[5]input data'!$G$1:$G$1108,AX83,1)</f>
        <v>24.653527236849008</v>
      </c>
      <c r="AX34" s="11">
        <f>INDEX('[5]input data'!$G$1:$G$1108,AY83,1)</f>
        <v>24.901417312030446</v>
      </c>
      <c r="AY34" s="11">
        <f>INDEX('[5]input data'!$G$1:$G$1108,AZ83,1)</f>
        <v>25.170763291672237</v>
      </c>
      <c r="AZ34" s="11">
        <f>INDEX('[5]input data'!$G$1:$G$1108,BA83,1)</f>
        <v>25.152277439395075</v>
      </c>
      <c r="BA34" s="12">
        <f t="shared" si="4"/>
        <v>25.170763291672237</v>
      </c>
      <c r="BB34" s="13">
        <f t="shared" si="5"/>
        <v>22.979887879905885</v>
      </c>
      <c r="BC34" s="16">
        <f t="shared" si="8"/>
        <v>24.370157005975845</v>
      </c>
    </row>
    <row r="35" spans="1:55" ht="14.25" customHeight="1" x14ac:dyDescent="0.25">
      <c r="A35" s="15">
        <v>27</v>
      </c>
      <c r="B35" s="11">
        <f>'[5]input data'!E942</f>
        <v>25</v>
      </c>
      <c r="C35" s="11">
        <f>'[5]input data'!E943</f>
        <v>26.5</v>
      </c>
      <c r="D35" s="11">
        <f>'[5]input data'!E944</f>
        <v>28.6</v>
      </c>
      <c r="E35" s="11">
        <f>'[5]input data'!E945</f>
        <v>29.8</v>
      </c>
      <c r="F35" s="11">
        <f>'[5]input data'!E946</f>
        <v>30.9</v>
      </c>
      <c r="G35" s="11">
        <f>'[5]input data'!E947</f>
        <v>31.5</v>
      </c>
      <c r="H35" s="11">
        <f>'[5]input data'!E948</f>
        <v>31.8</v>
      </c>
      <c r="I35" s="11">
        <f>'[5]input data'!E949</f>
        <v>32.299999999999997</v>
      </c>
      <c r="J35" s="11">
        <f>'[5]input data'!E950</f>
        <v>27.5</v>
      </c>
      <c r="K35" s="11">
        <f>'[5]input data'!E951</f>
        <v>25.8</v>
      </c>
      <c r="L35" s="11">
        <f>'[5]input data'!E952</f>
        <v>26.2</v>
      </c>
      <c r="M35" s="11">
        <f>'[5]input data'!E953</f>
        <v>26.2</v>
      </c>
      <c r="N35" s="11">
        <f>'[5]input data'!E954</f>
        <v>25.8</v>
      </c>
      <c r="O35" s="12">
        <f t="shared" si="0"/>
        <v>32.299999999999997</v>
      </c>
      <c r="P35" s="13">
        <f t="shared" si="1"/>
        <v>25</v>
      </c>
      <c r="Q35" s="16">
        <f t="shared" si="6"/>
        <v>28.299999999999997</v>
      </c>
      <c r="T35" s="15">
        <v>27</v>
      </c>
      <c r="U35" s="11">
        <f>INDEX('[5]input data'!$F$1:$F$1108,U84,1)</f>
        <v>24</v>
      </c>
      <c r="V35" s="11">
        <f>INDEX('[5]input data'!$F$1:$F$1108,V84,1)</f>
        <v>24.8</v>
      </c>
      <c r="W35" s="11">
        <f>INDEX('[5]input data'!$F$1:$F$1108,W84,1)</f>
        <v>25.4</v>
      </c>
      <c r="X35" s="11">
        <f>INDEX('[5]input data'!$F$1:$F$1108,X84,1)</f>
        <v>25.9</v>
      </c>
      <c r="Y35" s="11">
        <f>INDEX('[5]input data'!$F$1:$F$1108,Y84,1)</f>
        <v>26.3</v>
      </c>
      <c r="Z35" s="11">
        <f>INDEX('[5]input data'!$F$1:$F$1108,Z84,1)</f>
        <v>26.7</v>
      </c>
      <c r="AA35" s="11">
        <f>INDEX('[5]input data'!$F$1:$F$1108,AA84,1)</f>
        <v>26.3</v>
      </c>
      <c r="AB35" s="11">
        <f>INDEX('[5]input data'!$F$1:$F$1108,AB84,1)</f>
        <v>26.8</v>
      </c>
      <c r="AC35" s="11">
        <f>INDEX('[5]input data'!$F$1:$F$1108,AC84,1)</f>
        <v>25.1</v>
      </c>
      <c r="AD35" s="11">
        <f>INDEX('[5]input data'!$F$1:$F$1108,AD84,1)</f>
        <v>24.3</v>
      </c>
      <c r="AE35" s="11">
        <f>INDEX('[5]input data'!$F$1:$F$1108,AE84,1)</f>
        <v>24.5</v>
      </c>
      <c r="AF35" s="11">
        <f>INDEX('[5]input data'!$F$1:$F$1108,AF84,1)</f>
        <v>25</v>
      </c>
      <c r="AG35" s="11">
        <f>INDEX('[5]input data'!$F$1:$F$1108,AG84,1)</f>
        <v>24.8</v>
      </c>
      <c r="AH35" s="12">
        <f t="shared" si="2"/>
        <v>26.8</v>
      </c>
      <c r="AI35" s="13">
        <f t="shared" si="3"/>
        <v>24</v>
      </c>
      <c r="AJ35" s="16">
        <f t="shared" si="7"/>
        <v>25.376923076923081</v>
      </c>
      <c r="AM35" s="15">
        <v>27</v>
      </c>
      <c r="AN35" s="11">
        <f>INDEX('[5]input data'!$G$1:$G$1108,AO84,1)</f>
        <v>23.451002870250118</v>
      </c>
      <c r="AO35" s="11">
        <f>INDEX('[5]input data'!$G$1:$G$1108,AP84,1)</f>
        <v>23.962845394990499</v>
      </c>
      <c r="AP35" s="11">
        <f>INDEX('[5]input data'!$G$1:$G$1108,AQ84,1)</f>
        <v>23.933335820614669</v>
      </c>
      <c r="AQ35" s="11">
        <f>INDEX('[5]input data'!$G$1:$G$1108,AR84,1)</f>
        <v>24.166033320489955</v>
      </c>
      <c r="AR35" s="11">
        <f>INDEX('[5]input data'!$G$1:$G$1108,AS84,1)</f>
        <v>24.299465883179703</v>
      </c>
      <c r="AS35" s="11">
        <f>INDEX('[5]input data'!$G$1:$G$1108,AT84,1)</f>
        <v>24.655334127386521</v>
      </c>
      <c r="AT35" s="11">
        <f>INDEX('[5]input data'!$G$1:$G$1108,AU84,1)</f>
        <v>23.904555701586645</v>
      </c>
      <c r="AU35" s="11">
        <f>INDEX('[5]input data'!$G$1:$G$1108,AV84,1)</f>
        <v>24.466869674357302</v>
      </c>
      <c r="AV35" s="11">
        <f>INDEX('[5]input data'!$G$1:$G$1108,AW84,1)</f>
        <v>23.967735840764366</v>
      </c>
      <c r="AW35" s="11">
        <f>INDEX('[5]input data'!$G$1:$G$1108,AX84,1)</f>
        <v>23.53345562574048</v>
      </c>
      <c r="AX35" s="11">
        <f>INDEX('[5]input data'!$G$1:$G$1108,AY84,1)</f>
        <v>23.650914038370296</v>
      </c>
      <c r="AY35" s="11">
        <f>INDEX('[5]input data'!$G$1:$G$1108,AZ84,1)</f>
        <v>24.388027271235554</v>
      </c>
      <c r="AZ35" s="11">
        <f>INDEX('[5]input data'!$G$1:$G$1108,BA84,1)</f>
        <v>24.269737574447021</v>
      </c>
      <c r="BA35" s="12">
        <f t="shared" si="4"/>
        <v>24.655334127386521</v>
      </c>
      <c r="BB35" s="13">
        <f t="shared" si="5"/>
        <v>23.451002870250118</v>
      </c>
      <c r="BC35" s="16">
        <f t="shared" si="8"/>
        <v>24.049947164877931</v>
      </c>
    </row>
    <row r="36" spans="1:55" ht="14.25" customHeight="1" x14ac:dyDescent="0.25">
      <c r="A36" s="15">
        <v>28</v>
      </c>
      <c r="B36" s="11">
        <f>'[5]input data'!E978</f>
        <v>25.2</v>
      </c>
      <c r="C36" s="11">
        <f>'[5]input data'!E979</f>
        <v>26.4</v>
      </c>
      <c r="D36" s="11">
        <f>'[5]input data'!E980</f>
        <v>27.6</v>
      </c>
      <c r="E36" s="11">
        <f>'[5]input data'!E981</f>
        <v>29</v>
      </c>
      <c r="F36" s="11">
        <f>'[5]input data'!E982</f>
        <v>30.4</v>
      </c>
      <c r="G36" s="11">
        <f>'[5]input data'!E983</f>
        <v>30.8</v>
      </c>
      <c r="H36" s="11">
        <f>'[5]input data'!E984</f>
        <v>31.2</v>
      </c>
      <c r="I36" s="11">
        <f>'[5]input data'!E985</f>
        <v>30.1</v>
      </c>
      <c r="J36" s="11">
        <f>'[5]input data'!E986</f>
        <v>29.3</v>
      </c>
      <c r="K36" s="11">
        <f>'[5]input data'!E987</f>
        <v>28.8</v>
      </c>
      <c r="L36" s="11">
        <f>'[5]input data'!E988</f>
        <v>28.4</v>
      </c>
      <c r="M36" s="11">
        <f>'[5]input data'!E989</f>
        <v>27.8</v>
      </c>
      <c r="N36" s="11">
        <f>'[5]input data'!E990</f>
        <v>27.1</v>
      </c>
      <c r="O36" s="12">
        <f t="shared" si="0"/>
        <v>31.2</v>
      </c>
      <c r="P36" s="13">
        <f t="shared" si="1"/>
        <v>25.2</v>
      </c>
      <c r="Q36" s="16">
        <f t="shared" si="6"/>
        <v>28.623076923076926</v>
      </c>
      <c r="T36" s="15">
        <v>28</v>
      </c>
      <c r="U36" s="11">
        <f>INDEX('[5]input data'!$F$1:$F$1108,U85,1)</f>
        <v>23.9</v>
      </c>
      <c r="V36" s="11">
        <f>INDEX('[5]input data'!$F$1:$F$1108,V85,1)</f>
        <v>24.6</v>
      </c>
      <c r="W36" s="11">
        <f>INDEX('[5]input data'!$F$1:$F$1108,W85,1)</f>
        <v>25.1</v>
      </c>
      <c r="X36" s="11">
        <f>INDEX('[5]input data'!$F$1:$F$1108,X85,1)</f>
        <v>25.4</v>
      </c>
      <c r="Y36" s="11">
        <f>INDEX('[5]input data'!$F$1:$F$1108,Y85,1)</f>
        <v>26</v>
      </c>
      <c r="Z36" s="11">
        <f>INDEX('[5]input data'!$F$1:$F$1108,Z85,1)</f>
        <v>25.5</v>
      </c>
      <c r="AA36" s="11">
        <f>INDEX('[5]input data'!$F$1:$F$1108,AA85,1)</f>
        <v>25.6</v>
      </c>
      <c r="AB36" s="11">
        <f>INDEX('[5]input data'!$F$1:$F$1108,AB85,1)</f>
        <v>25.9</v>
      </c>
      <c r="AC36" s="11">
        <f>INDEX('[5]input data'!$F$1:$F$1108,AC85,1)</f>
        <v>26.1</v>
      </c>
      <c r="AD36" s="11">
        <f>INDEX('[5]input data'!$F$1:$F$1108,AD85,1)</f>
        <v>25</v>
      </c>
      <c r="AE36" s="11">
        <f>INDEX('[5]input data'!$F$1:$F$1108,AE85,1)</f>
        <v>24.8</v>
      </c>
      <c r="AF36" s="11">
        <f>INDEX('[5]input data'!$F$1:$F$1108,AF85,1)</f>
        <v>25.3</v>
      </c>
      <c r="AG36" s="11">
        <f>INDEX('[5]input data'!$F$1:$F$1108,AG85,1)</f>
        <v>24.9</v>
      </c>
      <c r="AH36" s="12">
        <f t="shared" si="2"/>
        <v>26.1</v>
      </c>
      <c r="AI36" s="13">
        <f t="shared" si="3"/>
        <v>23.9</v>
      </c>
      <c r="AJ36" s="16">
        <f t="shared" si="7"/>
        <v>25.238461538461536</v>
      </c>
      <c r="AM36" s="15">
        <v>28</v>
      </c>
      <c r="AN36" s="11">
        <f>INDEX('[5]input data'!$G$1:$G$1108,AO85,1)</f>
        <v>23.211169684950409</v>
      </c>
      <c r="AO36" s="11">
        <f>INDEX('[5]input data'!$G$1:$G$1108,AP85,1)</f>
        <v>23.710183186275557</v>
      </c>
      <c r="AP36" s="11">
        <f>INDEX('[5]input data'!$G$1:$G$1108,AQ85,1)</f>
        <v>23.92349895424092</v>
      </c>
      <c r="AQ36" s="11">
        <f>INDEX('[5]input data'!$G$1:$G$1108,AR85,1)</f>
        <v>23.755443039226666</v>
      </c>
      <c r="AR36" s="11">
        <f>INDEX('[5]input data'!$G$1:$G$1108,AS85,1)</f>
        <v>24.056216238791031</v>
      </c>
      <c r="AS36" s="11">
        <f>INDEX('[5]input data'!$G$1:$G$1108,AT85,1)</f>
        <v>23.093131946882178</v>
      </c>
      <c r="AT36" s="11">
        <f>INDEX('[5]input data'!$G$1:$G$1108,AU85,1)</f>
        <v>23.067431591333683</v>
      </c>
      <c r="AU36" s="11">
        <f>INDEX('[5]input data'!$G$1:$G$1108,AV85,1)</f>
        <v>24.034386138060192</v>
      </c>
      <c r="AV36" s="11">
        <f>INDEX('[5]input data'!$G$1:$G$1108,AW85,1)</f>
        <v>24.683963941731744</v>
      </c>
      <c r="AW36" s="11">
        <f>INDEX('[5]input data'!$G$1:$G$1108,AX85,1)</f>
        <v>23.229747355809128</v>
      </c>
      <c r="AX36" s="11">
        <f>INDEX('[5]input data'!$G$1:$G$1108,AY85,1)</f>
        <v>23.104030876414406</v>
      </c>
      <c r="AY36" s="11">
        <f>INDEX('[5]input data'!$G$1:$G$1108,AZ85,1)</f>
        <v>24.135010324008682</v>
      </c>
      <c r="AZ36" s="11">
        <f>INDEX('[5]input data'!$G$1:$G$1108,BA85,1)</f>
        <v>23.845716181625463</v>
      </c>
      <c r="BA36" s="12">
        <f t="shared" si="4"/>
        <v>24.683963941731744</v>
      </c>
      <c r="BB36" s="13">
        <f t="shared" si="5"/>
        <v>23.067431591333683</v>
      </c>
      <c r="BC36" s="16">
        <f t="shared" si="8"/>
        <v>23.680763804565387</v>
      </c>
    </row>
    <row r="37" spans="1:55" ht="14.25" customHeight="1" x14ac:dyDescent="0.25">
      <c r="A37" s="15">
        <v>29</v>
      </c>
      <c r="B37" s="11">
        <f>'[5]input data'!E1014</f>
        <v>25.8</v>
      </c>
      <c r="C37" s="11">
        <f>'[5]input data'!E1015</f>
        <v>27.6</v>
      </c>
      <c r="D37" s="11">
        <f>'[5]input data'!E1016</f>
        <v>28.4</v>
      </c>
      <c r="E37" s="11">
        <f>'[5]input data'!E1017</f>
        <v>28.8</v>
      </c>
      <c r="F37" s="11">
        <f>'[5]input data'!E1018</f>
        <v>30.4</v>
      </c>
      <c r="G37" s="11">
        <f>'[5]input data'!E1019</f>
        <v>30.8</v>
      </c>
      <c r="H37" s="11">
        <f>'[5]input data'!E1020</f>
        <v>30.8</v>
      </c>
      <c r="I37" s="11">
        <f>'[5]input data'!E1021</f>
        <v>30.6</v>
      </c>
      <c r="J37" s="11">
        <f>'[5]input data'!E1022</f>
        <v>29.4</v>
      </c>
      <c r="K37" s="11">
        <f>'[5]input data'!E1023</f>
        <v>29</v>
      </c>
      <c r="L37" s="11">
        <f>'[5]input data'!E1024</f>
        <v>28.2</v>
      </c>
      <c r="M37" s="11">
        <f>'[5]input data'!E1025</f>
        <v>27.2</v>
      </c>
      <c r="N37" s="11">
        <f>'[5]input data'!E1026</f>
        <v>27.1</v>
      </c>
      <c r="O37" s="12">
        <f t="shared" si="0"/>
        <v>30.8</v>
      </c>
      <c r="P37" s="13">
        <f t="shared" si="1"/>
        <v>25.8</v>
      </c>
      <c r="Q37" s="16">
        <f t="shared" si="6"/>
        <v>28.776923076923079</v>
      </c>
      <c r="T37" s="15">
        <v>29</v>
      </c>
      <c r="U37" s="11">
        <f>INDEX('[5]input data'!$F$1:$F$1108,U86,1)</f>
        <v>24</v>
      </c>
      <c r="V37" s="11">
        <f>INDEX('[5]input data'!$F$1:$F$1108,V86,1)</f>
        <v>24.6</v>
      </c>
      <c r="W37" s="11">
        <f>INDEX('[5]input data'!$F$1:$F$1108,W86,1)</f>
        <v>24.8</v>
      </c>
      <c r="X37" s="11">
        <f>INDEX('[5]input data'!$F$1:$F$1108,X86,1)</f>
        <v>24.7</v>
      </c>
      <c r="Y37" s="11">
        <f>INDEX('[5]input data'!$F$1:$F$1108,Y86,1)</f>
        <v>25.2</v>
      </c>
      <c r="Z37" s="11">
        <f>INDEX('[5]input data'!$F$1:$F$1108,Z86,1)</f>
        <v>25.4</v>
      </c>
      <c r="AA37" s="11">
        <f>INDEX('[5]input data'!$F$1:$F$1108,AA86,1)</f>
        <v>25.4</v>
      </c>
      <c r="AB37" s="11">
        <f>INDEX('[5]input data'!$F$1:$F$1108,AB86,1)</f>
        <v>25.7</v>
      </c>
      <c r="AC37" s="11">
        <f>INDEX('[5]input data'!$F$1:$F$1108,AC86,1)</f>
        <v>25.3</v>
      </c>
      <c r="AD37" s="11">
        <f>INDEX('[5]input data'!$F$1:$F$1108,AD86,1)</f>
        <v>25.1</v>
      </c>
      <c r="AE37" s="11">
        <f>INDEX('[5]input data'!$F$1:$F$1108,AE86,1)</f>
        <v>25</v>
      </c>
      <c r="AF37" s="11">
        <f>INDEX('[5]input data'!$F$1:$F$1108,AF86,1)</f>
        <v>25.2</v>
      </c>
      <c r="AG37" s="11">
        <f>INDEX('[5]input data'!$F$1:$F$1108,AG86,1)</f>
        <v>25.4</v>
      </c>
      <c r="AH37" s="12">
        <f t="shared" si="2"/>
        <v>25.7</v>
      </c>
      <c r="AI37" s="13">
        <f t="shared" si="3"/>
        <v>24</v>
      </c>
      <c r="AJ37" s="16">
        <f t="shared" si="7"/>
        <v>25.061538461538461</v>
      </c>
      <c r="AM37" s="15">
        <v>29</v>
      </c>
      <c r="AN37" s="11">
        <f>INDEX('[5]input data'!$G$1:$G$1108,AO86,1)</f>
        <v>23.084297681296647</v>
      </c>
      <c r="AO37" s="11">
        <f>INDEX('[5]input data'!$G$1:$G$1108,AP86,1)</f>
        <v>23.165015271595813</v>
      </c>
      <c r="AP37" s="11">
        <f>INDEX('[5]input data'!$G$1:$G$1108,AQ86,1)</f>
        <v>23.104030876414406</v>
      </c>
      <c r="AQ37" s="11">
        <f>INDEX('[5]input data'!$G$1:$G$1108,AR86,1)</f>
        <v>22.761299877426222</v>
      </c>
      <c r="AR37" s="11">
        <f>INDEX('[5]input data'!$G$1:$G$1108,AS86,1)</f>
        <v>22.801298714331175</v>
      </c>
      <c r="AS37" s="11">
        <f>INDEX('[5]input data'!$G$1:$G$1108,AT86,1)</f>
        <v>22.933659924886598</v>
      </c>
      <c r="AT37" s="11">
        <f>INDEX('[5]input data'!$G$1:$G$1108,AU86,1)</f>
        <v>22.933659924886598</v>
      </c>
      <c r="AU37" s="11">
        <f>INDEX('[5]input data'!$G$1:$G$1108,AV86,1)</f>
        <v>23.500621985768088</v>
      </c>
      <c r="AV37" s="11">
        <f>INDEX('[5]input data'!$G$1:$G$1108,AW86,1)</f>
        <v>23.420993532505424</v>
      </c>
      <c r="AW37" s="11">
        <f>INDEX('[5]input data'!$G$1:$G$1108,AX86,1)</f>
        <v>23.293141559911223</v>
      </c>
      <c r="AX37" s="11">
        <f>INDEX('[5]input data'!$G$1:$G$1108,AY86,1)</f>
        <v>23.503366381695525</v>
      </c>
      <c r="AY37" s="11">
        <f>INDEX('[5]input data'!$G$1:$G$1108,AZ86,1)</f>
        <v>24.248231050640438</v>
      </c>
      <c r="AZ37" s="11">
        <f>INDEX('[5]input data'!$G$1:$G$1108,BA86,1)</f>
        <v>24.58605205707164</v>
      </c>
      <c r="BA37" s="12">
        <f t="shared" si="4"/>
        <v>24.58605205707164</v>
      </c>
      <c r="BB37" s="13">
        <f t="shared" si="5"/>
        <v>22.761299877426222</v>
      </c>
      <c r="BC37" s="16">
        <f t="shared" si="8"/>
        <v>23.333512987571524</v>
      </c>
    </row>
    <row r="38" spans="1:55" ht="14.25" customHeight="1" x14ac:dyDescent="0.25">
      <c r="A38" s="15">
        <v>30</v>
      </c>
      <c r="B38" s="11">
        <f>'[5]input data'!E1050</f>
        <v>25.6</v>
      </c>
      <c r="C38" s="11">
        <f>'[5]input data'!E1051</f>
        <v>27</v>
      </c>
      <c r="D38" s="11">
        <f>'[5]input data'!E1052</f>
        <v>28</v>
      </c>
      <c r="E38" s="11">
        <f>'[5]input data'!E1053</f>
        <v>28.3</v>
      </c>
      <c r="F38" s="11">
        <f>'[5]input data'!E1054</f>
        <v>29.8</v>
      </c>
      <c r="G38" s="11">
        <f>'[5]input data'!E1055</f>
        <v>30.2</v>
      </c>
      <c r="H38" s="11">
        <f>'[5]input data'!E1056</f>
        <v>31.6</v>
      </c>
      <c r="I38" s="11">
        <f>'[5]input data'!E1057</f>
        <v>31.9</v>
      </c>
      <c r="J38" s="11">
        <f>'[5]input data'!E1058</f>
        <v>29.8</v>
      </c>
      <c r="K38" s="11">
        <f>'[5]input data'!E1059</f>
        <v>25.7</v>
      </c>
      <c r="L38" s="11">
        <f>'[5]input data'!E1060</f>
        <v>25.2</v>
      </c>
      <c r="M38" s="11">
        <f>'[5]input data'!E1061</f>
        <v>24.9</v>
      </c>
      <c r="N38" s="11">
        <f>'[5]input data'!E1062</f>
        <v>24.8</v>
      </c>
      <c r="O38" s="12">
        <f t="shared" si="0"/>
        <v>31.9</v>
      </c>
      <c r="P38" s="13">
        <f t="shared" si="1"/>
        <v>24.8</v>
      </c>
      <c r="Q38" s="16">
        <f t="shared" si="6"/>
        <v>27.907692307692304</v>
      </c>
      <c r="T38" s="15">
        <v>30</v>
      </c>
      <c r="U38" s="11">
        <f>INDEX('[5]input data'!$F$1:$F$1108,U87,1)</f>
        <v>24.8</v>
      </c>
      <c r="V38" s="11">
        <f>INDEX('[5]input data'!$F$1:$F$1108,V87,1)</f>
        <v>25.2</v>
      </c>
      <c r="W38" s="11">
        <f>INDEX('[5]input data'!$F$1:$F$1108,W87,1)</f>
        <v>25.4</v>
      </c>
      <c r="X38" s="11">
        <f>INDEX('[5]input data'!$F$1:$F$1108,X87,1)</f>
        <v>25.3</v>
      </c>
      <c r="Y38" s="11">
        <f>INDEX('[5]input data'!$F$1:$F$1108,Y87,1)</f>
        <v>25.8</v>
      </c>
      <c r="Z38" s="11">
        <f>INDEX('[5]input data'!$F$1:$F$1108,Z87,1)</f>
        <v>26</v>
      </c>
      <c r="AA38" s="11">
        <f>INDEX('[5]input data'!$F$1:$F$1108,AA87,1)</f>
        <v>26.5</v>
      </c>
      <c r="AB38" s="11">
        <f>INDEX('[5]input data'!$F$1:$F$1108,AB87,1)</f>
        <v>26.4</v>
      </c>
      <c r="AC38" s="11">
        <f>INDEX('[5]input data'!$F$1:$F$1108,AC87,1)</f>
        <v>26.5</v>
      </c>
      <c r="AD38" s="11">
        <f>INDEX('[5]input data'!$F$1:$F$1108,AD87,1)</f>
        <v>23.3</v>
      </c>
      <c r="AE38" s="11">
        <f>INDEX('[5]input data'!$F$1:$F$1108,AE87,1)</f>
        <v>23.4</v>
      </c>
      <c r="AF38" s="11">
        <f>INDEX('[5]input data'!$F$1:$F$1108,AF87,1)</f>
        <v>23.6</v>
      </c>
      <c r="AG38" s="11">
        <f>INDEX('[5]input data'!$F$1:$F$1108,AG87,1)</f>
        <v>23.6</v>
      </c>
      <c r="AH38" s="12">
        <f t="shared" si="2"/>
        <v>26.5</v>
      </c>
      <c r="AI38" s="13">
        <f t="shared" si="3"/>
        <v>23.3</v>
      </c>
      <c r="AJ38" s="16">
        <f t="shared" si="7"/>
        <v>25.061538461538468</v>
      </c>
      <c r="AM38" s="15">
        <v>30</v>
      </c>
      <c r="AN38" s="11">
        <f>INDEX('[5]input data'!$G$1:$G$1108,AO87,1)</f>
        <v>24.356523392753029</v>
      </c>
      <c r="AO38" s="11">
        <f>INDEX('[5]input data'!$G$1:$G$1108,AP87,1)</f>
        <v>24.335116740668042</v>
      </c>
      <c r="AP38" s="11">
        <f>INDEX('[5]input data'!$G$1:$G$1108,AQ87,1)</f>
        <v>24.197102507728658</v>
      </c>
      <c r="AQ38" s="11">
        <f>INDEX('[5]input data'!$G$1:$G$1108,AR87,1)</f>
        <v>23.914740778292778</v>
      </c>
      <c r="AR38" s="11">
        <f>INDEX('[5]input data'!$G$1:$G$1108,AS87,1)</f>
        <v>24.013096932917858</v>
      </c>
      <c r="AS38" s="11">
        <f>INDEX('[5]input data'!$G$1:$G$1108,AT87,1)</f>
        <v>24.14398223668147</v>
      </c>
      <c r="AT38" s="11">
        <f>INDEX('[5]input data'!$G$1:$G$1108,AU87,1)</f>
        <v>24.304200185171791</v>
      </c>
      <c r="AU38" s="11">
        <f>INDEX('[5]input data'!$G$1:$G$1108,AV87,1)</f>
        <v>24.017186615618527</v>
      </c>
      <c r="AV38" s="11">
        <f>INDEX('[5]input data'!$G$1:$G$1108,AW87,1)</f>
        <v>25.070220276081645</v>
      </c>
      <c r="AW38" s="11">
        <f>INDEX('[5]input data'!$G$1:$G$1108,AX87,1)</f>
        <v>22.061937957629123</v>
      </c>
      <c r="AX38" s="11">
        <f>INDEX('[5]input data'!$G$1:$G$1108,AY87,1)</f>
        <v>22.45741703757486</v>
      </c>
      <c r="AY38" s="11">
        <f>INDEX('[5]input data'!$G$1:$G$1108,AZ87,1)</f>
        <v>22.901607473693023</v>
      </c>
      <c r="AZ38" s="11">
        <f>INDEX('[5]input data'!$G$1:$G$1108,BA87,1)</f>
        <v>22.948281918843517</v>
      </c>
      <c r="BA38" s="12">
        <f t="shared" si="4"/>
        <v>25.070220276081645</v>
      </c>
      <c r="BB38" s="13">
        <f t="shared" si="5"/>
        <v>22.061937957629123</v>
      </c>
      <c r="BC38" s="16">
        <f t="shared" si="8"/>
        <v>23.747801081050337</v>
      </c>
    </row>
    <row r="39" spans="1:55" ht="14.25" customHeight="1" thickBot="1" x14ac:dyDescent="0.3">
      <c r="A39" s="1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7"/>
      <c r="P39" s="18"/>
      <c r="Q39" s="19"/>
      <c r="T39" s="15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  <c r="AI39" s="20"/>
      <c r="AJ39" s="19"/>
      <c r="AM39" s="15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7"/>
      <c r="BB39" s="18"/>
      <c r="BC39" s="19"/>
    </row>
    <row r="40" spans="1:55" ht="14.25" customHeight="1" thickTop="1" x14ac:dyDescent="0.25">
      <c r="A40" s="21" t="s">
        <v>25</v>
      </c>
      <c r="B40" s="22">
        <f t="shared" ref="B40:Q40" si="9">MAX(B9:B39)</f>
        <v>25.8</v>
      </c>
      <c r="C40" s="22">
        <f t="shared" si="9"/>
        <v>27.6</v>
      </c>
      <c r="D40" s="22">
        <f t="shared" si="9"/>
        <v>28.6</v>
      </c>
      <c r="E40" s="22">
        <f t="shared" si="9"/>
        <v>30</v>
      </c>
      <c r="F40" s="22">
        <f t="shared" si="9"/>
        <v>31.2</v>
      </c>
      <c r="G40" s="22">
        <f t="shared" si="9"/>
        <v>32.4</v>
      </c>
      <c r="H40" s="22">
        <f t="shared" si="9"/>
        <v>32.6</v>
      </c>
      <c r="I40" s="22">
        <f t="shared" si="9"/>
        <v>32.6</v>
      </c>
      <c r="J40" s="22">
        <f t="shared" si="9"/>
        <v>32.4</v>
      </c>
      <c r="K40" s="22">
        <f t="shared" si="9"/>
        <v>31</v>
      </c>
      <c r="L40" s="22">
        <f t="shared" si="9"/>
        <v>29.3</v>
      </c>
      <c r="M40" s="22">
        <f t="shared" si="9"/>
        <v>28.2</v>
      </c>
      <c r="N40" s="22">
        <f t="shared" si="9"/>
        <v>27.6</v>
      </c>
      <c r="O40" s="12">
        <f t="shared" si="9"/>
        <v>32.6</v>
      </c>
      <c r="P40" s="23">
        <f t="shared" si="9"/>
        <v>25.8</v>
      </c>
      <c r="Q40" s="24">
        <f t="shared" si="9"/>
        <v>29.4</v>
      </c>
      <c r="T40" s="21" t="s">
        <v>25</v>
      </c>
      <c r="U40" s="22">
        <f t="shared" ref="U40:AJ40" si="10">MAX(U9:U39)</f>
        <v>24.8</v>
      </c>
      <c r="V40" s="22">
        <f t="shared" si="10"/>
        <v>25.2</v>
      </c>
      <c r="W40" s="22">
        <f t="shared" si="10"/>
        <v>25.6</v>
      </c>
      <c r="X40" s="22">
        <f t="shared" si="10"/>
        <v>26.2</v>
      </c>
      <c r="Y40" s="22">
        <f t="shared" si="10"/>
        <v>26.3</v>
      </c>
      <c r="Z40" s="22">
        <f t="shared" si="10"/>
        <v>26.7</v>
      </c>
      <c r="AA40" s="22">
        <f t="shared" si="10"/>
        <v>26.7</v>
      </c>
      <c r="AB40" s="22">
        <f t="shared" si="10"/>
        <v>26.8</v>
      </c>
      <c r="AC40" s="22">
        <f t="shared" si="10"/>
        <v>26.5</v>
      </c>
      <c r="AD40" s="22">
        <f t="shared" si="10"/>
        <v>26.2</v>
      </c>
      <c r="AE40" s="22">
        <f t="shared" si="10"/>
        <v>26</v>
      </c>
      <c r="AF40" s="22">
        <f t="shared" si="10"/>
        <v>26</v>
      </c>
      <c r="AG40" s="22">
        <f t="shared" si="10"/>
        <v>25.5</v>
      </c>
      <c r="AH40" s="25">
        <f t="shared" si="10"/>
        <v>26.8</v>
      </c>
      <c r="AI40" s="23">
        <f t="shared" si="10"/>
        <v>24.2</v>
      </c>
      <c r="AJ40" s="24">
        <f t="shared" si="10"/>
        <v>25.376923076923081</v>
      </c>
      <c r="AM40" s="21" t="s">
        <v>25</v>
      </c>
      <c r="AN40" s="22">
        <f t="shared" ref="AN40:BC40" si="11">MAX(AN9:AN39)</f>
        <v>24.356523392753029</v>
      </c>
      <c r="AO40" s="22">
        <f t="shared" si="11"/>
        <v>24.335116740668042</v>
      </c>
      <c r="AP40" s="22">
        <f t="shared" si="11"/>
        <v>24.452006908384092</v>
      </c>
      <c r="AQ40" s="22">
        <f t="shared" si="11"/>
        <v>24.535346114683474</v>
      </c>
      <c r="AR40" s="22">
        <f t="shared" si="11"/>
        <v>24.299465883179703</v>
      </c>
      <c r="AS40" s="22">
        <f t="shared" si="11"/>
        <v>24.655334127386521</v>
      </c>
      <c r="AT40" s="22">
        <f t="shared" si="11"/>
        <v>25.77324204244217</v>
      </c>
      <c r="AU40" s="22">
        <f t="shared" si="11"/>
        <v>25.20925852351645</v>
      </c>
      <c r="AV40" s="22">
        <f t="shared" si="11"/>
        <v>25.070220276081645</v>
      </c>
      <c r="AW40" s="22">
        <f t="shared" si="11"/>
        <v>24.653527236849008</v>
      </c>
      <c r="AX40" s="22">
        <f t="shared" si="11"/>
        <v>24.901417312030446</v>
      </c>
      <c r="AY40" s="22">
        <f t="shared" si="11"/>
        <v>25.170763291672237</v>
      </c>
      <c r="AZ40" s="22">
        <f t="shared" si="11"/>
        <v>25.152277439395075</v>
      </c>
      <c r="BA40" s="12">
        <f t="shared" si="11"/>
        <v>25.77324204244217</v>
      </c>
      <c r="BB40" s="23">
        <f t="shared" si="11"/>
        <v>23.451002870250118</v>
      </c>
      <c r="BC40" s="24">
        <f t="shared" si="11"/>
        <v>24.370157005975845</v>
      </c>
    </row>
    <row r="41" spans="1:55" ht="14.25" customHeight="1" x14ac:dyDescent="0.25">
      <c r="A41" s="15" t="s">
        <v>26</v>
      </c>
      <c r="B41" s="26">
        <f t="shared" ref="B41:Q41" si="12">MIN(B9:B39)</f>
        <v>23.2</v>
      </c>
      <c r="C41" s="26">
        <f t="shared" si="12"/>
        <v>24.6</v>
      </c>
      <c r="D41" s="26">
        <f t="shared" si="12"/>
        <v>25.3</v>
      </c>
      <c r="E41" s="26">
        <f t="shared" si="12"/>
        <v>27</v>
      </c>
      <c r="F41" s="26">
        <f t="shared" si="12"/>
        <v>27.4</v>
      </c>
      <c r="G41" s="26">
        <f t="shared" si="12"/>
        <v>27.8</v>
      </c>
      <c r="H41" s="26">
        <f t="shared" si="12"/>
        <v>28.8</v>
      </c>
      <c r="I41" s="26">
        <f t="shared" si="12"/>
        <v>25.7</v>
      </c>
      <c r="J41" s="26">
        <f t="shared" si="12"/>
        <v>24.6</v>
      </c>
      <c r="K41" s="26">
        <f t="shared" si="12"/>
        <v>23.8</v>
      </c>
      <c r="L41" s="26">
        <f t="shared" si="12"/>
        <v>22.5</v>
      </c>
      <c r="M41" s="26">
        <f t="shared" si="12"/>
        <v>23</v>
      </c>
      <c r="N41" s="26">
        <f t="shared" si="12"/>
        <v>23</v>
      </c>
      <c r="O41" s="27">
        <f t="shared" si="12"/>
        <v>29.2</v>
      </c>
      <c r="P41" s="26">
        <f t="shared" si="12"/>
        <v>22.5</v>
      </c>
      <c r="Q41" s="28">
        <f t="shared" si="12"/>
        <v>25.984615384615381</v>
      </c>
      <c r="T41" s="15" t="s">
        <v>26</v>
      </c>
      <c r="U41" s="26">
        <f t="shared" ref="U41:AJ41" si="13">MIN(U9:U39)</f>
        <v>21.8</v>
      </c>
      <c r="V41" s="26">
        <f t="shared" si="13"/>
        <v>23</v>
      </c>
      <c r="W41" s="26">
        <f t="shared" si="13"/>
        <v>23.6</v>
      </c>
      <c r="X41" s="26">
        <f t="shared" si="13"/>
        <v>23.8</v>
      </c>
      <c r="Y41" s="26">
        <f t="shared" si="13"/>
        <v>24.6</v>
      </c>
      <c r="Z41" s="26">
        <f t="shared" si="13"/>
        <v>24.2</v>
      </c>
      <c r="AA41" s="26">
        <f t="shared" si="13"/>
        <v>23.9</v>
      </c>
      <c r="AB41" s="26">
        <f t="shared" si="13"/>
        <v>23.6</v>
      </c>
      <c r="AC41" s="26">
        <f t="shared" si="13"/>
        <v>23.4</v>
      </c>
      <c r="AD41" s="26">
        <f t="shared" si="13"/>
        <v>23.2</v>
      </c>
      <c r="AE41" s="26">
        <f t="shared" si="13"/>
        <v>22.2</v>
      </c>
      <c r="AF41" s="26">
        <f t="shared" si="13"/>
        <v>22.3</v>
      </c>
      <c r="AG41" s="26">
        <f t="shared" si="13"/>
        <v>22.7</v>
      </c>
      <c r="AH41" s="27">
        <f t="shared" si="13"/>
        <v>25.2</v>
      </c>
      <c r="AI41" s="26">
        <f t="shared" si="13"/>
        <v>21.8</v>
      </c>
      <c r="AJ41" s="28">
        <f t="shared" si="13"/>
        <v>23.976923076923075</v>
      </c>
      <c r="AM41" s="15" t="s">
        <v>26</v>
      </c>
      <c r="AN41" s="26">
        <f t="shared" ref="AN41:BC41" si="14">MIN(AN9:AN39)</f>
        <v>20.988644180187649</v>
      </c>
      <c r="AO41" s="26">
        <f t="shared" si="14"/>
        <v>21.442503423907144</v>
      </c>
      <c r="AP41" s="26">
        <f t="shared" si="14"/>
        <v>21.495161498275294</v>
      </c>
      <c r="AQ41" s="26">
        <f t="shared" si="14"/>
        <v>21.568635253270578</v>
      </c>
      <c r="AR41" s="26">
        <f t="shared" si="14"/>
        <v>21.729084834872303</v>
      </c>
      <c r="AS41" s="26">
        <f t="shared" si="14"/>
        <v>20.956729082873636</v>
      </c>
      <c r="AT41" s="26">
        <f t="shared" si="14"/>
        <v>19.846831642239369</v>
      </c>
      <c r="AU41" s="26">
        <f t="shared" si="14"/>
        <v>19.999381025205224</v>
      </c>
      <c r="AV41" s="26">
        <f t="shared" si="14"/>
        <v>20.108229282341842</v>
      </c>
      <c r="AW41" s="26">
        <f t="shared" si="14"/>
        <v>22.061937957629123</v>
      </c>
      <c r="AX41" s="26">
        <f t="shared" si="14"/>
        <v>21.952524101151301</v>
      </c>
      <c r="AY41" s="26">
        <f t="shared" si="14"/>
        <v>21.794916962756314</v>
      </c>
      <c r="AZ41" s="26">
        <f t="shared" si="14"/>
        <v>21.675891882100515</v>
      </c>
      <c r="BA41" s="27">
        <f t="shared" si="14"/>
        <v>23.447926951785295</v>
      </c>
      <c r="BB41" s="26">
        <f t="shared" si="14"/>
        <v>19.846831642239369</v>
      </c>
      <c r="BC41" s="28">
        <f t="shared" si="14"/>
        <v>22.236286817939988</v>
      </c>
    </row>
    <row r="42" spans="1:55" ht="14.25" customHeight="1" thickBot="1" x14ac:dyDescent="0.3">
      <c r="A42" s="29" t="s">
        <v>27</v>
      </c>
      <c r="B42" s="18">
        <f t="shared" ref="B42:Q42" si="15">AVERAGE(B9:B39)</f>
        <v>24.563333333333333</v>
      </c>
      <c r="C42" s="18">
        <f t="shared" si="15"/>
        <v>26.22666666666667</v>
      </c>
      <c r="D42" s="18">
        <f t="shared" si="15"/>
        <v>27.81</v>
      </c>
      <c r="E42" s="18">
        <f t="shared" si="15"/>
        <v>29.013333333333328</v>
      </c>
      <c r="F42" s="18">
        <f t="shared" si="15"/>
        <v>30.016666666666662</v>
      </c>
      <c r="G42" s="18">
        <f t="shared" si="15"/>
        <v>30.56</v>
      </c>
      <c r="H42" s="18">
        <f t="shared" si="15"/>
        <v>30.596666666666671</v>
      </c>
      <c r="I42" s="18">
        <f t="shared" si="15"/>
        <v>30.010000000000005</v>
      </c>
      <c r="J42" s="18">
        <f t="shared" si="15"/>
        <v>28.50333333333333</v>
      </c>
      <c r="K42" s="18">
        <f t="shared" si="15"/>
        <v>27.22666666666667</v>
      </c>
      <c r="L42" s="18">
        <f t="shared" si="15"/>
        <v>26.306666666666668</v>
      </c>
      <c r="M42" s="18">
        <f t="shared" si="15"/>
        <v>25.916666666666664</v>
      </c>
      <c r="N42" s="18">
        <f t="shared" si="15"/>
        <v>25.353333333333335</v>
      </c>
      <c r="O42" s="17">
        <f t="shared" si="15"/>
        <v>31.060000000000002</v>
      </c>
      <c r="P42" s="18">
        <f t="shared" si="15"/>
        <v>24.263333333333325</v>
      </c>
      <c r="Q42" s="19">
        <f t="shared" si="15"/>
        <v>27.854102564102554</v>
      </c>
      <c r="T42" s="29" t="s">
        <v>27</v>
      </c>
      <c r="U42" s="18">
        <f t="shared" ref="U42:AJ42" si="16">AVERAGE(U9:U39)</f>
        <v>23.403333333333329</v>
      </c>
      <c r="V42" s="18">
        <f t="shared" si="16"/>
        <v>24.173333333333339</v>
      </c>
      <c r="W42" s="18">
        <f t="shared" si="16"/>
        <v>24.703333333333337</v>
      </c>
      <c r="X42" s="18">
        <f t="shared" si="16"/>
        <v>25.029999999999998</v>
      </c>
      <c r="Y42" s="18">
        <f t="shared" si="16"/>
        <v>25.376666666666665</v>
      </c>
      <c r="Z42" s="18">
        <f t="shared" si="16"/>
        <v>25.466666666666672</v>
      </c>
      <c r="AA42" s="18">
        <f t="shared" si="16"/>
        <v>25.616666666666664</v>
      </c>
      <c r="AB42" s="18">
        <f t="shared" si="16"/>
        <v>25.363333333333333</v>
      </c>
      <c r="AC42" s="18">
        <f t="shared" si="16"/>
        <v>24.943333333333328</v>
      </c>
      <c r="AD42" s="18">
        <f t="shared" si="16"/>
        <v>24.649999999999991</v>
      </c>
      <c r="AE42" s="18">
        <f t="shared" si="16"/>
        <v>24.43</v>
      </c>
      <c r="AF42" s="18">
        <f t="shared" si="16"/>
        <v>24.303333333333335</v>
      </c>
      <c r="AG42" s="18">
        <f t="shared" si="16"/>
        <v>24.11333333333333</v>
      </c>
      <c r="AH42" s="17">
        <f t="shared" si="16"/>
        <v>25.946666666666669</v>
      </c>
      <c r="AI42" s="18">
        <f t="shared" si="16"/>
        <v>23.213333333333328</v>
      </c>
      <c r="AJ42" s="19">
        <f t="shared" si="16"/>
        <v>24.736410256410256</v>
      </c>
      <c r="AM42" s="29" t="s">
        <v>27</v>
      </c>
      <c r="AN42" s="18">
        <f t="shared" ref="AN42:BC42" si="17">AVERAGE(AN9:AN39)</f>
        <v>22.759703106765002</v>
      </c>
      <c r="AO42" s="18">
        <f t="shared" si="17"/>
        <v>23.143392274983015</v>
      </c>
      <c r="AP42" s="18">
        <f t="shared" si="17"/>
        <v>23.223156804957963</v>
      </c>
      <c r="AQ42" s="18">
        <f t="shared" si="17"/>
        <v>23.172974502846547</v>
      </c>
      <c r="AR42" s="18">
        <f t="shared" si="17"/>
        <v>23.253018622677516</v>
      </c>
      <c r="AS42" s="18">
        <f t="shared" si="17"/>
        <v>23.138830390507771</v>
      </c>
      <c r="AT42" s="18">
        <f t="shared" si="17"/>
        <v>23.345924919866846</v>
      </c>
      <c r="AU42" s="18">
        <f t="shared" si="17"/>
        <v>23.224992790597785</v>
      </c>
      <c r="AV42" s="18">
        <f t="shared" si="17"/>
        <v>23.272879841030875</v>
      </c>
      <c r="AW42" s="18">
        <f t="shared" si="17"/>
        <v>23.420056265669988</v>
      </c>
      <c r="AX42" s="18">
        <f t="shared" si="17"/>
        <v>23.507266823661553</v>
      </c>
      <c r="AY42" s="18">
        <f t="shared" si="17"/>
        <v>23.489416332919411</v>
      </c>
      <c r="AZ42" s="18">
        <f t="shared" si="17"/>
        <v>23.459519029316837</v>
      </c>
      <c r="BA42" s="17">
        <f t="shared" si="17"/>
        <v>24.324884528966532</v>
      </c>
      <c r="BB42" s="18">
        <f t="shared" si="17"/>
        <v>22.097703133248547</v>
      </c>
      <c r="BC42" s="19">
        <f t="shared" si="17"/>
        <v>23.262394746600087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[5]QFF!C42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[5]QFF!C43</f>
        <v>Kepala Stasiun Klimatologi Kelas IV</v>
      </c>
      <c r="N45" s="1" t="str">
        <f>[5]QFF!N43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tr">
        <f>[5]QFF!C44</f>
        <v>Sleman Yogyakarta</v>
      </c>
      <c r="N46" s="1"/>
      <c r="T46" s="1"/>
      <c r="V46" s="1" t="str">
        <f>C46</f>
        <v>Sleman Yogyakarta</v>
      </c>
      <c r="AG46" s="1"/>
      <c r="AM46" s="1"/>
      <c r="AO46" s="1" t="str">
        <f>V46</f>
        <v>Sleman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[5]QFF!C49</f>
        <v>RENI KRANINGTYAS, SP, M.Si</v>
      </c>
      <c r="N51" s="30" t="str">
        <f>[5]QFF!N49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[5]QFF!C50</f>
        <v>NIP.  19740203 199703 2 001</v>
      </c>
      <c r="N52" s="1" t="str">
        <f>[5]QFF!N50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60"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F1:L1"/>
    <mergeCell ref="Y1:AE1"/>
    <mergeCell ref="AR1:AX1"/>
    <mergeCell ref="G4:K4"/>
    <mergeCell ref="O4:Q4"/>
    <mergeCell ref="Z4:AD4"/>
    <mergeCell ref="AH4:AJ4"/>
    <mergeCell ref="AS4:AW4"/>
  </mergeCells>
  <pageMargins left="2.2834645669291338" right="0.70866141732283472" top="0.74803149606299213" bottom="0.35433070866141736" header="0.31496062992125984" footer="0.31496062992125984"/>
  <pageSetup paperSize="9" scale="68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BE90"/>
  <sheetViews>
    <sheetView topLeftCell="AH25"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33" t="s">
        <v>29</v>
      </c>
      <c r="G1" s="33"/>
      <c r="H1" s="33"/>
      <c r="I1" s="33"/>
      <c r="J1" s="33"/>
      <c r="K1" s="33"/>
      <c r="L1" s="33"/>
      <c r="T1" s="1"/>
      <c r="Y1" s="93" t="str">
        <f>F1</f>
        <v>STASIUN KLIMATOLOGI KLAS IV D.I. YOGYAKARTA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KLAS IV D.I. YOGYAKARTA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4.25" customHeight="1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4.25" customHeight="1" x14ac:dyDescent="0.25">
      <c r="A4" s="2" t="s">
        <v>4</v>
      </c>
      <c r="C4" s="7"/>
      <c r="D4" s="4" t="str">
        <f>UPPER([1]QFE!C3)</f>
        <v>MEI 2022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MEI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MEI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4.25" customHeight="1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4.25" customHeight="1" thickBot="1" x14ac:dyDescent="0.3">
      <c r="K6" s="2" t="s">
        <v>7</v>
      </c>
      <c r="M6" s="8" t="str">
        <f>'[1]input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4.25" customHeight="1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4.25" customHeight="1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4.25" customHeight="1" thickTop="1" x14ac:dyDescent="0.25">
      <c r="A9" s="10">
        <v>1</v>
      </c>
      <c r="B9" s="11">
        <f>'[1]input data'!E6</f>
        <v>25.1</v>
      </c>
      <c r="C9" s="11">
        <f>'[1]input data'!E7</f>
        <v>27.4</v>
      </c>
      <c r="D9" s="11">
        <f>'[1]input data'!E8</f>
        <v>28.7</v>
      </c>
      <c r="E9" s="11">
        <f>'[1]input data'!E9</f>
        <v>29.8</v>
      </c>
      <c r="F9" s="11">
        <f>'[1]input data'!E10</f>
        <v>31.1</v>
      </c>
      <c r="G9" s="11">
        <f>'[1]input data'!E11</f>
        <v>31</v>
      </c>
      <c r="H9" s="11">
        <f>'[1]input data'!E12</f>
        <v>32.299999999999997</v>
      </c>
      <c r="I9" s="11">
        <f>'[1]input data'!E13</f>
        <v>32.6</v>
      </c>
      <c r="J9" s="11">
        <f>'[1]input data'!E14</f>
        <v>31.6</v>
      </c>
      <c r="K9" s="11">
        <f>'[1]input data'!E15</f>
        <v>28.8</v>
      </c>
      <c r="L9" s="11">
        <f>'[1]input data'!E16</f>
        <v>26.2</v>
      </c>
      <c r="M9" s="11">
        <f>'[1]input data'!E17</f>
        <v>25.6</v>
      </c>
      <c r="N9" s="11">
        <f>'[1]input data'!E18</f>
        <v>25.4</v>
      </c>
      <c r="O9" s="12">
        <f>MAX(B9:N9)</f>
        <v>32.6</v>
      </c>
      <c r="P9" s="13">
        <f t="shared" ref="P9:P39" si="0">MIN(B9:N9)</f>
        <v>25.1</v>
      </c>
      <c r="Q9" s="14">
        <f>AVERAGE(B9:N9)</f>
        <v>28.892307692307689</v>
      </c>
      <c r="T9" s="10">
        <v>1</v>
      </c>
      <c r="U9" s="11">
        <f>INDEX('[1]input data'!$F$1:$F$1108,U58,1)</f>
        <v>23.8</v>
      </c>
      <c r="V9" s="11">
        <f>INDEX('[1]input data'!$F$1:$F$1108,V58,1)</f>
        <v>24.3</v>
      </c>
      <c r="W9" s="11">
        <f>INDEX('[1]input data'!$F$1:$F$1108,W58,1)</f>
        <v>24.7</v>
      </c>
      <c r="X9" s="11">
        <f>INDEX('[1]input data'!$F$1:$F$1108,X58,1)</f>
        <v>25.1</v>
      </c>
      <c r="Y9" s="11">
        <f>INDEX('[1]input data'!$F$1:$F$1108,Y58,1)</f>
        <v>26.2</v>
      </c>
      <c r="Z9" s="11">
        <f>INDEX('[1]input data'!$F$1:$F$1108,Z58,1)</f>
        <v>26.6</v>
      </c>
      <c r="AA9" s="11">
        <f>INDEX('[1]input data'!$F$1:$F$1108,AA58,1)</f>
        <v>25.2</v>
      </c>
      <c r="AB9" s="11">
        <f>INDEX('[1]input data'!$F$1:$F$1108,AB58,1)</f>
        <v>25.2</v>
      </c>
      <c r="AC9" s="11">
        <f>INDEX('[1]input data'!$F$1:$F$1108,AC58,1)</f>
        <v>25.6</v>
      </c>
      <c r="AD9" s="11">
        <f>INDEX('[1]input data'!$F$1:$F$1108,AD58,1)</f>
        <v>25.6</v>
      </c>
      <c r="AE9" s="11">
        <f>INDEX('[1]input data'!$F$1:$F$1108,AE58,1)</f>
        <v>25</v>
      </c>
      <c r="AF9" s="11">
        <f>INDEX('[1]input data'!$F$1:$F$1108,AF58,1)</f>
        <v>24.4</v>
      </c>
      <c r="AG9" s="11">
        <f>INDEX('[1]input data'!$F$1:$F$1108,AG58,1)</f>
        <v>24.4</v>
      </c>
      <c r="AH9" s="12">
        <f t="shared" ref="AH9:AH39" si="1">MAX(U9:AG9)</f>
        <v>26.6</v>
      </c>
      <c r="AI9" s="13">
        <f t="shared" ref="AI9:AI39" si="2">MIN(U9:AG9)</f>
        <v>23.8</v>
      </c>
      <c r="AJ9" s="14">
        <f>AVERAGE(U9:AG9)</f>
        <v>25.084615384615379</v>
      </c>
      <c r="AM9" s="10">
        <v>1</v>
      </c>
      <c r="AN9" s="11">
        <f>INDEX('[1]input data'!$G$1:$G$1108,AO58,1)</f>
        <v>23.108002021084449</v>
      </c>
      <c r="AO9" s="11">
        <f>INDEX('[1]input data'!$G$1:$G$1108,AP58,1)</f>
        <v>22.796069393403265</v>
      </c>
      <c r="AP9" s="11">
        <f>INDEX('[1]input data'!$G$1:$G$1108,AQ58,1)</f>
        <v>22.808324970948835</v>
      </c>
      <c r="AQ9" s="11">
        <f>INDEX('[1]input data'!$G$1:$G$1108,AR58,1)</f>
        <v>22.923312230764488</v>
      </c>
      <c r="AR9" s="11">
        <f>INDEX('[1]input data'!$G$1:$G$1108,AS58,1)</f>
        <v>24.05757050152333</v>
      </c>
      <c r="AS9" s="11">
        <f>INDEX('[1]input data'!$G$1:$G$1108,AT58,1)</f>
        <v>24.715454083602051</v>
      </c>
      <c r="AT9" s="11">
        <f>INDEX('[1]input data'!$G$1:$G$1108,AU58,1)</f>
        <v>21.886741200021163</v>
      </c>
      <c r="AU9" s="11">
        <f>INDEX('[1]input data'!$G$1:$G$1108,AV58,1)</f>
        <v>21.738181241058303</v>
      </c>
      <c r="AV9" s="11">
        <f>INDEX('[1]input data'!$G$1:$G$1108,AW58,1)</f>
        <v>22.881196397786919</v>
      </c>
      <c r="AW9" s="11">
        <f>INDEX('[1]input data'!$G$1:$G$1108,AX58,1)</f>
        <v>24.148033521051371</v>
      </c>
      <c r="AX9" s="11">
        <f>INDEX('[1]input data'!$G$1:$G$1108,AY58,1)</f>
        <v>24.388027271235554</v>
      </c>
      <c r="AY9" s="11">
        <f>INDEX('[1]input data'!$G$1:$G$1108,AZ58,1)</f>
        <v>23.771410936659056</v>
      </c>
      <c r="AZ9" s="11">
        <f>INDEX('[1]input data'!$G$1:$G$1108,BA58,1)</f>
        <v>23.860484247779919</v>
      </c>
      <c r="BA9" s="12">
        <f t="shared" ref="BA9:BA39" si="3">MAX(AN9:AZ9)</f>
        <v>24.715454083602051</v>
      </c>
      <c r="BB9" s="13">
        <f t="shared" ref="BB9:BB39" si="4">MIN(AN9:AZ9)</f>
        <v>21.738181241058303</v>
      </c>
      <c r="BC9" s="14">
        <f>AVERAGE(AN9:AZ9)</f>
        <v>23.314062155147592</v>
      </c>
    </row>
    <row r="10" spans="1:57" ht="14.25" customHeight="1" x14ac:dyDescent="0.25">
      <c r="A10" s="15">
        <v>2</v>
      </c>
      <c r="B10" s="11">
        <f>'[1]input data'!E42</f>
        <v>26.2</v>
      </c>
      <c r="C10" s="11">
        <f>'[1]input data'!E43</f>
        <v>27.2</v>
      </c>
      <c r="D10" s="11">
        <f>'[1]input data'!E44</f>
        <v>28.5</v>
      </c>
      <c r="E10" s="11">
        <f>'[1]input data'!E45</f>
        <v>29.4</v>
      </c>
      <c r="F10" s="11">
        <f>'[1]input data'!E46</f>
        <v>30.4</v>
      </c>
      <c r="G10" s="11">
        <f>'[1]input data'!E47</f>
        <v>31.6</v>
      </c>
      <c r="H10" s="11">
        <f>'[1]input data'!E48</f>
        <v>32</v>
      </c>
      <c r="I10" s="11">
        <f>'[1]input data'!E49</f>
        <v>32.799999999999997</v>
      </c>
      <c r="J10" s="11">
        <f>'[1]input data'!E50</f>
        <v>31.6</v>
      </c>
      <c r="K10" s="11">
        <f>'[1]input data'!E51</f>
        <v>24.8</v>
      </c>
      <c r="L10" s="11">
        <f>'[1]input data'!E52</f>
        <v>27.8</v>
      </c>
      <c r="M10" s="11">
        <f>'[1]input data'!E53</f>
        <v>27.4</v>
      </c>
      <c r="N10" s="11">
        <f>'[1]input data'!E54</f>
        <v>26.6</v>
      </c>
      <c r="O10" s="12">
        <f t="shared" ref="O10:O39" si="5">MAX(B10:N10)</f>
        <v>32.799999999999997</v>
      </c>
      <c r="P10" s="13">
        <f t="shared" si="0"/>
        <v>24.8</v>
      </c>
      <c r="Q10" s="16">
        <f t="shared" ref="Q10:Q39" si="6">AVERAGE(B10:N10)</f>
        <v>28.946153846153852</v>
      </c>
      <c r="T10" s="15">
        <v>2</v>
      </c>
      <c r="U10" s="11">
        <f>INDEX('[1]input data'!$F$1:$F$1108,U59,1)</f>
        <v>24.8</v>
      </c>
      <c r="V10" s="11">
        <f>INDEX('[1]input data'!$F$1:$F$1108,V59,1)</f>
        <v>25.2</v>
      </c>
      <c r="W10" s="11">
        <f>INDEX('[1]input data'!$F$1:$F$1108,W59,1)</f>
        <v>25.6</v>
      </c>
      <c r="X10" s="11">
        <f>INDEX('[1]input data'!$F$1:$F$1108,X59,1)</f>
        <v>26.6</v>
      </c>
      <c r="Y10" s="11">
        <f>INDEX('[1]input data'!$F$1:$F$1108,Y59,1)</f>
        <v>26.3</v>
      </c>
      <c r="Z10" s="11">
        <f>INDEX('[1]input data'!$F$1:$F$1108,Z59,1)</f>
        <v>26.2</v>
      </c>
      <c r="AA10" s="11">
        <f>INDEX('[1]input data'!$F$1:$F$1108,AA59,1)</f>
        <v>25.6</v>
      </c>
      <c r="AB10" s="11">
        <f>INDEX('[1]input data'!$F$1:$F$1108,AB59,1)</f>
        <v>26.2</v>
      </c>
      <c r="AC10" s="11">
        <f>INDEX('[1]input data'!$F$1:$F$1108,AC59,1)</f>
        <v>27.2</v>
      </c>
      <c r="AD10" s="11">
        <f>INDEX('[1]input data'!$F$1:$F$1108,AD59,1)</f>
        <v>23.6</v>
      </c>
      <c r="AE10" s="11">
        <f>INDEX('[1]input data'!$F$1:$F$1108,AE59,1)</f>
        <v>24.6</v>
      </c>
      <c r="AF10" s="11">
        <f>INDEX('[1]input data'!$F$1:$F$1108,AF59,1)</f>
        <v>24.4</v>
      </c>
      <c r="AG10" s="11">
        <f>INDEX('[1]input data'!$F$1:$F$1108,AG59,1)</f>
        <v>24</v>
      </c>
      <c r="AH10" s="12">
        <f t="shared" si="1"/>
        <v>27.2</v>
      </c>
      <c r="AI10" s="13">
        <f t="shared" si="2"/>
        <v>23.6</v>
      </c>
      <c r="AJ10" s="16">
        <f t="shared" ref="AJ10:AJ39" si="7">AVERAGE(U10:AG10)</f>
        <v>25.407692307692304</v>
      </c>
      <c r="AM10" s="15">
        <v>2</v>
      </c>
      <c r="AN10" s="11">
        <f>INDEX('[1]input data'!$G$1:$G$1108,AO59,1)</f>
        <v>24.09497496904363</v>
      </c>
      <c r="AO10" s="11">
        <f>INDEX('[1]input data'!$G$1:$G$1108,AP59,1)</f>
        <v>24.248231050640438</v>
      </c>
      <c r="AP10" s="11">
        <f>INDEX('[1]input data'!$G$1:$G$1108,AQ59,1)</f>
        <v>24.278899833422276</v>
      </c>
      <c r="AQ10" s="11">
        <f>INDEX('[1]input data'!$G$1:$G$1108,AR59,1)</f>
        <v>25.383655494177017</v>
      </c>
      <c r="AR10" s="11">
        <f>INDEX('[1]input data'!$G$1:$G$1108,AS59,1)</f>
        <v>24.515386240018543</v>
      </c>
      <c r="AS10" s="11">
        <f>INDEX('[1]input data'!$G$1:$G$1108,AT59,1)</f>
        <v>23.836385843550101</v>
      </c>
      <c r="AT10" s="11">
        <f>INDEX('[1]input data'!$G$1:$G$1108,AU59,1)</f>
        <v>22.693108806731502</v>
      </c>
      <c r="AU10" s="11">
        <f>INDEX('[1]input data'!$G$1:$G$1108,AV59,1)</f>
        <v>23.294818096606175</v>
      </c>
      <c r="AV10" s="11">
        <f>INDEX('[1]input data'!$G$1:$G$1108,AW59,1)</f>
        <v>25.372415932046216</v>
      </c>
      <c r="AW10" s="11">
        <f>INDEX('[1]input data'!$G$1:$G$1108,AX59,1)</f>
        <v>22.948281918843517</v>
      </c>
      <c r="AX10" s="11">
        <f>INDEX('[1]input data'!$G$1:$G$1108,AY59,1)</f>
        <v>23.072611503492613</v>
      </c>
      <c r="AY10" s="11">
        <f>INDEX('[1]input data'!$G$1:$G$1108,AZ59,1)</f>
        <v>22.950390620266091</v>
      </c>
      <c r="AZ10" s="11">
        <f>INDEX('[1]input data'!$G$1:$G$1108,BA59,1)</f>
        <v>22.710351727825326</v>
      </c>
      <c r="BA10" s="12">
        <f t="shared" si="3"/>
        <v>25.383655494177017</v>
      </c>
      <c r="BB10" s="13">
        <f t="shared" si="4"/>
        <v>22.693108806731502</v>
      </c>
      <c r="BC10" s="16">
        <f t="shared" ref="BC10:BC39" si="8">AVERAGE(AN10:AZ10)</f>
        <v>23.799962464358732</v>
      </c>
    </row>
    <row r="11" spans="1:57" ht="14.25" customHeight="1" x14ac:dyDescent="0.25">
      <c r="A11" s="15">
        <v>3</v>
      </c>
      <c r="B11" s="11">
        <f>'[1]input data'!E78</f>
        <v>26.4</v>
      </c>
      <c r="C11" s="11">
        <f>'[1]input data'!E79</f>
        <v>27.4</v>
      </c>
      <c r="D11" s="11">
        <f>'[1]input data'!E80</f>
        <v>28.6</v>
      </c>
      <c r="E11" s="11">
        <f>'[1]input data'!E81</f>
        <v>29.8</v>
      </c>
      <c r="F11" s="11">
        <f>'[1]input data'!E82</f>
        <v>30.8</v>
      </c>
      <c r="G11" s="11">
        <f>'[1]input data'!E83</f>
        <v>32.4</v>
      </c>
      <c r="H11" s="11">
        <f>'[1]input data'!E84</f>
        <v>33.6</v>
      </c>
      <c r="I11" s="11">
        <f>'[1]input data'!E85</f>
        <v>33.4</v>
      </c>
      <c r="J11" s="11">
        <f>'[1]input data'!E86</f>
        <v>32</v>
      </c>
      <c r="K11" s="11">
        <f>'[1]input data'!E87</f>
        <v>32</v>
      </c>
      <c r="L11" s="11">
        <f>'[1]input data'!E88</f>
        <v>30</v>
      </c>
      <c r="M11" s="11">
        <f>'[1]input data'!E89</f>
        <v>28.6</v>
      </c>
      <c r="N11" s="11">
        <f>'[1]input data'!E90</f>
        <v>28</v>
      </c>
      <c r="O11" s="12">
        <f t="shared" si="5"/>
        <v>33.6</v>
      </c>
      <c r="P11" s="13">
        <f t="shared" si="0"/>
        <v>26.4</v>
      </c>
      <c r="Q11" s="16">
        <f t="shared" si="6"/>
        <v>30.23076923076923</v>
      </c>
      <c r="T11" s="15">
        <v>3</v>
      </c>
      <c r="U11" s="11">
        <f>INDEX('[1]input data'!$F$1:$F$1108,U60,1)</f>
        <v>24.4</v>
      </c>
      <c r="V11" s="11">
        <f>INDEX('[1]input data'!$F$1:$F$1108,V60,1)</f>
        <v>24.6</v>
      </c>
      <c r="W11" s="11">
        <f>INDEX('[1]input data'!$F$1:$F$1108,W60,1)</f>
        <v>25</v>
      </c>
      <c r="X11" s="11">
        <f>INDEX('[1]input data'!$F$1:$F$1108,X60,1)</f>
        <v>25</v>
      </c>
      <c r="Y11" s="11">
        <f>INDEX('[1]input data'!$F$1:$F$1108,Y60,1)</f>
        <v>25</v>
      </c>
      <c r="Z11" s="11">
        <f>INDEX('[1]input data'!$F$1:$F$1108,Z60,1)</f>
        <v>25</v>
      </c>
      <c r="AA11" s="11">
        <f>INDEX('[1]input data'!$F$1:$F$1108,AA60,1)</f>
        <v>25.2</v>
      </c>
      <c r="AB11" s="11">
        <f>INDEX('[1]input data'!$F$1:$F$1108,AB60,1)</f>
        <v>26.2</v>
      </c>
      <c r="AC11" s="11">
        <f>INDEX('[1]input data'!$F$1:$F$1108,AC60,1)</f>
        <v>26.6</v>
      </c>
      <c r="AD11" s="11">
        <f>INDEX('[1]input data'!$F$1:$F$1108,AD60,1)</f>
        <v>26.6</v>
      </c>
      <c r="AE11" s="11">
        <f>INDEX('[1]input data'!$F$1:$F$1108,AE60,1)</f>
        <v>26.6</v>
      </c>
      <c r="AF11" s="11">
        <f>INDEX('[1]input data'!$F$1:$F$1108,AF60,1)</f>
        <v>26.4</v>
      </c>
      <c r="AG11" s="11">
        <f>INDEX('[1]input data'!$F$1:$F$1108,AG60,1)</f>
        <v>25.8</v>
      </c>
      <c r="AH11" s="12">
        <f t="shared" si="1"/>
        <v>26.6</v>
      </c>
      <c r="AI11" s="13">
        <f t="shared" si="2"/>
        <v>24.4</v>
      </c>
      <c r="AJ11" s="16">
        <f t="shared" si="7"/>
        <v>25.569230769230767</v>
      </c>
      <c r="AM11" s="15">
        <v>3</v>
      </c>
      <c r="AN11" s="11">
        <f>INDEX('[1]input data'!$G$1:$G$1108,AO60,1)</f>
        <v>23.41088917767016</v>
      </c>
      <c r="AO11" s="11">
        <f>INDEX('[1]input data'!$G$1:$G$1108,AP60,1)</f>
        <v>23.256970699803183</v>
      </c>
      <c r="AP11" s="11">
        <f>INDEX('[1]input data'!$G$1:$G$1108,AQ60,1)</f>
        <v>23.321392650725961</v>
      </c>
      <c r="AQ11" s="11">
        <f>INDEX('[1]input data'!$G$1:$G$1108,AR60,1)</f>
        <v>22.764750111093644</v>
      </c>
      <c r="AR11" s="11">
        <f>INDEX('[1]input data'!$G$1:$G$1108,AS60,1)</f>
        <v>22.288017674935872</v>
      </c>
      <c r="AS11" s="11">
        <f>INDEX('[1]input data'!$G$1:$G$1108,AT60,1)</f>
        <v>21.49917598577947</v>
      </c>
      <c r="AT11" s="11">
        <f>INDEX('[1]input data'!$G$1:$G$1108,AU60,1)</f>
        <v>21.234288712855516</v>
      </c>
      <c r="AU11" s="11">
        <f>INDEX('[1]input data'!$G$1:$G$1108,AV60,1)</f>
        <v>23.018129363511846</v>
      </c>
      <c r="AV11" s="11">
        <f>INDEX('[1]input data'!$G$1:$G$1108,AW60,1)</f>
        <v>24.285705103391685</v>
      </c>
      <c r="AW11" s="11">
        <f>INDEX('[1]input data'!$G$1:$G$1108,AX60,1)</f>
        <v>24.285705103391685</v>
      </c>
      <c r="AX11" s="11">
        <f>INDEX('[1]input data'!$G$1:$G$1108,AY60,1)</f>
        <v>25.135790377940566</v>
      </c>
      <c r="AY11" s="11">
        <f>INDEX('[1]input data'!$G$1:$G$1108,AZ60,1)</f>
        <v>25.419099587645718</v>
      </c>
      <c r="AZ11" s="11">
        <f>INDEX('[1]input data'!$G$1:$G$1108,BA60,1)</f>
        <v>24.790567712284382</v>
      </c>
      <c r="BA11" s="12">
        <f t="shared" si="3"/>
        <v>25.419099587645718</v>
      </c>
      <c r="BB11" s="13">
        <f t="shared" si="4"/>
        <v>21.234288712855516</v>
      </c>
      <c r="BC11" s="16">
        <f t="shared" si="8"/>
        <v>23.439267866233049</v>
      </c>
    </row>
    <row r="12" spans="1:57" ht="14.25" customHeight="1" x14ac:dyDescent="0.25">
      <c r="A12" s="15">
        <v>4</v>
      </c>
      <c r="B12" s="11">
        <f>'[1]input data'!E114</f>
        <v>25.2</v>
      </c>
      <c r="C12" s="11">
        <f>'[1]input data'!E115</f>
        <v>27.7</v>
      </c>
      <c r="D12" s="11">
        <f>'[1]input data'!E116</f>
        <v>29.8</v>
      </c>
      <c r="E12" s="11">
        <f>'[1]input data'!E117</f>
        <v>30.6</v>
      </c>
      <c r="F12" s="11">
        <f>'[1]input data'!E118</f>
        <v>31</v>
      </c>
      <c r="G12" s="11">
        <f>'[1]input data'!E119</f>
        <v>32</v>
      </c>
      <c r="H12" s="11">
        <f>'[1]input data'!E120</f>
        <v>31.8</v>
      </c>
      <c r="I12" s="11">
        <f>'[1]input data'!E121</f>
        <v>32.5</v>
      </c>
      <c r="J12" s="11">
        <f>'[1]input data'!E122</f>
        <v>32.1</v>
      </c>
      <c r="K12" s="11">
        <f>'[1]input data'!E123</f>
        <v>30.9</v>
      </c>
      <c r="L12" s="11">
        <f>'[1]input data'!E124</f>
        <v>29.5</v>
      </c>
      <c r="M12" s="11">
        <f>'[1]input data'!E125</f>
        <v>27.9</v>
      </c>
      <c r="N12" s="11">
        <f>'[1]input data'!E126</f>
        <v>27.3</v>
      </c>
      <c r="O12" s="12">
        <f t="shared" si="5"/>
        <v>32.5</v>
      </c>
      <c r="P12" s="13">
        <f t="shared" si="0"/>
        <v>25.2</v>
      </c>
      <c r="Q12" s="16">
        <f t="shared" si="6"/>
        <v>29.869230769230771</v>
      </c>
      <c r="T12" s="15">
        <v>4</v>
      </c>
      <c r="U12" s="11">
        <f>INDEX('[1]input data'!$F$1:$F$1108,U61,1)</f>
        <v>24.6</v>
      </c>
      <c r="V12" s="11">
        <f>INDEX('[1]input data'!$F$1:$F$1108,V61,1)</f>
        <v>25.2</v>
      </c>
      <c r="W12" s="11">
        <f>INDEX('[1]input data'!$F$1:$F$1108,W61,1)</f>
        <v>25.3</v>
      </c>
      <c r="X12" s="11">
        <f>INDEX('[1]input data'!$F$1:$F$1108,X61,1)</f>
        <v>25</v>
      </c>
      <c r="Y12" s="11">
        <f>INDEX('[1]input data'!$F$1:$F$1108,Y61,1)</f>
        <v>24.6</v>
      </c>
      <c r="Z12" s="11">
        <f>INDEX('[1]input data'!$F$1:$F$1108,Z61,1)</f>
        <v>25.6</v>
      </c>
      <c r="AA12" s="11">
        <f>INDEX('[1]input data'!$F$1:$F$1108,AA61,1)</f>
        <v>25.6</v>
      </c>
      <c r="AB12" s="11">
        <f>INDEX('[1]input data'!$F$1:$F$1108,AB61,1)</f>
        <v>25.2</v>
      </c>
      <c r="AC12" s="11">
        <f>INDEX('[1]input data'!$F$1:$F$1108,AC61,1)</f>
        <v>24.7</v>
      </c>
      <c r="AD12" s="11">
        <f>INDEX('[1]input data'!$F$1:$F$1108,AD61,1)</f>
        <v>27.1</v>
      </c>
      <c r="AE12" s="11">
        <f>INDEX('[1]input data'!$F$1:$F$1108,AE61,1)</f>
        <v>26</v>
      </c>
      <c r="AF12" s="11">
        <f>INDEX('[1]input data'!$F$1:$F$1108,AF61,1)</f>
        <v>25.8</v>
      </c>
      <c r="AG12" s="11">
        <f>INDEX('[1]input data'!$F$1:$F$1108,AG61,1)</f>
        <v>26.1</v>
      </c>
      <c r="AH12" s="12">
        <f t="shared" si="1"/>
        <v>27.1</v>
      </c>
      <c r="AI12" s="13">
        <f t="shared" si="2"/>
        <v>24.6</v>
      </c>
      <c r="AJ12" s="16">
        <f t="shared" si="7"/>
        <v>25.446153846153848</v>
      </c>
      <c r="AM12" s="15">
        <v>4</v>
      </c>
      <c r="AN12" s="11">
        <f>INDEX('[1]input data'!$G$1:$G$1108,AO61,1)</f>
        <v>24.240171052708501</v>
      </c>
      <c r="AO12" s="11">
        <f>INDEX('[1]input data'!$G$1:$G$1108,AP61,1)</f>
        <v>24.029272851593944</v>
      </c>
      <c r="AP12" s="11">
        <f>INDEX('[1]input data'!$G$1:$G$1108,AQ61,1)</f>
        <v>23.238220957061539</v>
      </c>
      <c r="AQ12" s="11">
        <f>INDEX('[1]input data'!$G$1:$G$1108,AR61,1)</f>
        <v>22.384333702710158</v>
      </c>
      <c r="AR12" s="11">
        <f>INDEX('[1]input data'!$G$1:$G$1108,AS61,1)</f>
        <v>21.529064030477215</v>
      </c>
      <c r="AS12" s="11">
        <f>INDEX('[1]input data'!$G$1:$G$1108,AT61,1)</f>
        <v>22.693108806731502</v>
      </c>
      <c r="AT12" s="11">
        <f>INDEX('[1]input data'!$G$1:$G$1108,AU61,1)</f>
        <v>22.787386628827527</v>
      </c>
      <c r="AU12" s="11">
        <f>INDEX('[1]input data'!$G$1:$G$1108,AV61,1)</f>
        <v>21.787832160431243</v>
      </c>
      <c r="AV12" s="11">
        <f>INDEX('[1]input data'!$G$1:$G$1108,AW61,1)</f>
        <v>21.13959302807228</v>
      </c>
      <c r="AW12" s="11">
        <f>INDEX('[1]input data'!$G$1:$G$1108,AX61,1)</f>
        <v>25.509330031977925</v>
      </c>
      <c r="AX12" s="11">
        <f>INDEX('[1]input data'!$G$1:$G$1108,AY61,1)</f>
        <v>24.448028104251726</v>
      </c>
      <c r="AY12" s="11">
        <f>INDEX('[1]input data'!$G$1:$G$1108,AZ61,1)</f>
        <v>24.83284948699842</v>
      </c>
      <c r="AZ12" s="11">
        <f>INDEX('[1]input data'!$G$1:$G$1108,BA61,1)</f>
        <v>25.516958861934871</v>
      </c>
      <c r="BA12" s="12">
        <f t="shared" si="3"/>
        <v>25.516958861934871</v>
      </c>
      <c r="BB12" s="13">
        <f t="shared" si="4"/>
        <v>21.13959302807228</v>
      </c>
      <c r="BC12" s="16">
        <f t="shared" si="8"/>
        <v>23.395088438752069</v>
      </c>
    </row>
    <row r="13" spans="1:57" ht="14.25" customHeight="1" x14ac:dyDescent="0.25">
      <c r="A13" s="15">
        <v>5</v>
      </c>
      <c r="B13" s="11">
        <f>'[1]input data'!E150</f>
        <v>25.6</v>
      </c>
      <c r="C13" s="11">
        <f>'[1]input data'!E151</f>
        <v>26.8</v>
      </c>
      <c r="D13" s="11">
        <f>'[1]input data'!E152</f>
        <v>28.4</v>
      </c>
      <c r="E13" s="11">
        <f>'[1]input data'!E153</f>
        <v>29.3</v>
      </c>
      <c r="F13" s="11">
        <f>'[1]input data'!E154</f>
        <v>30</v>
      </c>
      <c r="G13" s="11">
        <f>'[1]input data'!E155</f>
        <v>30.6</v>
      </c>
      <c r="H13" s="11">
        <f>'[1]input data'!E156</f>
        <v>31.2</v>
      </c>
      <c r="I13" s="11">
        <f>'[1]input data'!E157</f>
        <v>30.1</v>
      </c>
      <c r="J13" s="11">
        <f>'[1]input data'!E158</f>
        <v>29.8</v>
      </c>
      <c r="K13" s="11">
        <f>'[1]input data'!E159</f>
        <v>26.3</v>
      </c>
      <c r="L13" s="11">
        <f>'[1]input data'!E160</f>
        <v>26.7</v>
      </c>
      <c r="M13" s="11">
        <f>'[1]input data'!E161</f>
        <v>26.5</v>
      </c>
      <c r="N13" s="11">
        <f>'[1]input data'!E162</f>
        <v>26.2</v>
      </c>
      <c r="O13" s="12">
        <f t="shared" si="5"/>
        <v>31.2</v>
      </c>
      <c r="P13" s="13">
        <f t="shared" si="0"/>
        <v>25.6</v>
      </c>
      <c r="Q13" s="16">
        <f t="shared" si="6"/>
        <v>28.26923076923077</v>
      </c>
      <c r="T13" s="15">
        <v>5</v>
      </c>
      <c r="U13" s="11">
        <f>INDEX('[1]input data'!$F$1:$F$1108,U62,1)</f>
        <v>24.9</v>
      </c>
      <c r="V13" s="11">
        <f>INDEX('[1]input data'!$F$1:$F$1108,V62,1)</f>
        <v>24.8</v>
      </c>
      <c r="W13" s="11">
        <f>INDEX('[1]input data'!$F$1:$F$1108,W62,1)</f>
        <v>25.6</v>
      </c>
      <c r="X13" s="11">
        <f>INDEX('[1]input data'!$F$1:$F$1108,X62,1)</f>
        <v>25.8</v>
      </c>
      <c r="Y13" s="11">
        <f>INDEX('[1]input data'!$F$1:$F$1108,Y62,1)</f>
        <v>25.8</v>
      </c>
      <c r="Z13" s="11">
        <f>INDEX('[1]input data'!$F$1:$F$1108,Z62,1)</f>
        <v>25.7</v>
      </c>
      <c r="AA13" s="11">
        <f>INDEX('[1]input data'!$F$1:$F$1108,AA62,1)</f>
        <v>26.4</v>
      </c>
      <c r="AB13" s="11">
        <f>INDEX('[1]input data'!$F$1:$F$1108,AB62,1)</f>
        <v>26.4</v>
      </c>
      <c r="AC13" s="11">
        <f>INDEX('[1]input data'!$F$1:$F$1108,AC62,1)</f>
        <v>25.4</v>
      </c>
      <c r="AD13" s="11">
        <f>INDEX('[1]input data'!$F$1:$F$1108,AD62,1)</f>
        <v>24.6</v>
      </c>
      <c r="AE13" s="11">
        <f>INDEX('[1]input data'!$F$1:$F$1108,AE62,1)</f>
        <v>25</v>
      </c>
      <c r="AF13" s="11">
        <f>INDEX('[1]input data'!$F$1:$F$1108,AF62,1)</f>
        <v>24.9</v>
      </c>
      <c r="AG13" s="11">
        <f>INDEX('[1]input data'!$F$1:$F$1108,AG62,1)</f>
        <v>24.8</v>
      </c>
      <c r="AH13" s="12">
        <f t="shared" si="1"/>
        <v>26.4</v>
      </c>
      <c r="AI13" s="13">
        <f t="shared" si="2"/>
        <v>24.6</v>
      </c>
      <c r="AJ13" s="16">
        <f t="shared" si="7"/>
        <v>25.392307692307689</v>
      </c>
      <c r="AM13" s="15">
        <v>5</v>
      </c>
      <c r="AN13" s="11">
        <f>INDEX('[1]input data'!$G$1:$G$1108,AO62,1)</f>
        <v>24.50135780969012</v>
      </c>
      <c r="AO13" s="11">
        <f>INDEX('[1]input data'!$G$1:$G$1108,AP62,1)</f>
        <v>23.829794165744062</v>
      </c>
      <c r="AP13" s="11">
        <f>INDEX('[1]input data'!$G$1:$G$1108,AQ62,1)</f>
        <v>24.32232363916911</v>
      </c>
      <c r="AQ13" s="11">
        <f>INDEX('[1]input data'!$G$1:$G$1108,AR62,1)</f>
        <v>24.232248791878977</v>
      </c>
      <c r="AR13" s="11">
        <f>INDEX('[1]input data'!$G$1:$G$1108,AS62,1)</f>
        <v>23.924726871474732</v>
      </c>
      <c r="AS13" s="11">
        <f>INDEX('[1]input data'!$G$1:$G$1108,AT62,1)</f>
        <v>23.500621985768088</v>
      </c>
      <c r="AT13" s="11">
        <f>INDEX('[1]input data'!$G$1:$G$1108,AU62,1)</f>
        <v>24.323248278322577</v>
      </c>
      <c r="AU13" s="11">
        <f>INDEX('[1]input data'!$G$1:$G$1108,AV62,1)</f>
        <v>24.794527482178328</v>
      </c>
      <c r="AV13" s="11">
        <f>INDEX('[1]input data'!$G$1:$G$1108,AW62,1)</f>
        <v>23.394590685489504</v>
      </c>
      <c r="AW13" s="11">
        <f>INDEX('[1]input data'!$G$1:$G$1108,AX62,1)</f>
        <v>23.754915932393299</v>
      </c>
      <c r="AX13" s="11">
        <f>INDEX('[1]input data'!$G$1:$G$1108,AY62,1)</f>
        <v>24.170676959407547</v>
      </c>
      <c r="AY13" s="11">
        <f>INDEX('[1]input data'!$G$1:$G$1108,AZ62,1)</f>
        <v>24.110679096015026</v>
      </c>
      <c r="AZ13" s="11">
        <f>INDEX('[1]input data'!$G$1:$G$1108,BA62,1)</f>
        <v>24.09497496904363</v>
      </c>
      <c r="BA13" s="12">
        <f t="shared" si="3"/>
        <v>24.794527482178328</v>
      </c>
      <c r="BB13" s="13">
        <f t="shared" si="4"/>
        <v>23.394590685489504</v>
      </c>
      <c r="BC13" s="16">
        <f t="shared" si="8"/>
        <v>24.07343743589038</v>
      </c>
    </row>
    <row r="14" spans="1:57" ht="14.25" customHeight="1" x14ac:dyDescent="0.25">
      <c r="A14" s="15">
        <v>6</v>
      </c>
      <c r="B14" s="11">
        <f>'[1]input data'!E186</f>
        <v>25.8</v>
      </c>
      <c r="C14" s="11">
        <f>'[1]input data'!E187</f>
        <v>27.3</v>
      </c>
      <c r="D14" s="11">
        <f>'[1]input data'!E188</f>
        <v>29</v>
      </c>
      <c r="E14" s="11">
        <f>'[1]input data'!E189</f>
        <v>29.6</v>
      </c>
      <c r="F14" s="11">
        <f>'[1]input data'!E190</f>
        <v>31</v>
      </c>
      <c r="G14" s="11">
        <f>'[1]input data'!E191</f>
        <v>30.9</v>
      </c>
      <c r="H14" s="11">
        <f>'[1]input data'!E192</f>
        <v>31.5</v>
      </c>
      <c r="I14" s="11">
        <f>'[1]input data'!E193</f>
        <v>24.8</v>
      </c>
      <c r="J14" s="11">
        <f>'[1]input data'!E194</f>
        <v>25.6</v>
      </c>
      <c r="K14" s="11">
        <f>'[1]input data'!E195</f>
        <v>26.6</v>
      </c>
      <c r="L14" s="11">
        <f>'[1]input data'!E196</f>
        <v>24.2</v>
      </c>
      <c r="M14" s="11">
        <f>'[1]input data'!E197</f>
        <v>23.8</v>
      </c>
      <c r="N14" s="11">
        <f>'[1]input data'!E198</f>
        <v>24</v>
      </c>
      <c r="O14" s="12">
        <f t="shared" si="5"/>
        <v>31.5</v>
      </c>
      <c r="P14" s="13">
        <f t="shared" si="0"/>
        <v>23.8</v>
      </c>
      <c r="Q14" s="16">
        <f t="shared" si="6"/>
        <v>27.238461538461539</v>
      </c>
      <c r="T14" s="15">
        <v>6</v>
      </c>
      <c r="U14" s="11">
        <f>INDEX('[1]input data'!$F$1:$F$1108,U63,1)</f>
        <v>24.2</v>
      </c>
      <c r="V14" s="11">
        <f>INDEX('[1]input data'!$F$1:$F$1108,V63,1)</f>
        <v>25</v>
      </c>
      <c r="W14" s="11">
        <f>INDEX('[1]input data'!$F$1:$F$1108,W63,1)</f>
        <v>25.8</v>
      </c>
      <c r="X14" s="11">
        <f>INDEX('[1]input data'!$F$1:$F$1108,X63,1)</f>
        <v>25.8</v>
      </c>
      <c r="Y14" s="11">
        <f>INDEX('[1]input data'!$F$1:$F$1108,Y63,1)</f>
        <v>26</v>
      </c>
      <c r="Z14" s="11">
        <f>INDEX('[1]input data'!$F$1:$F$1108,Z63,1)</f>
        <v>26.2</v>
      </c>
      <c r="AA14" s="11">
        <f>INDEX('[1]input data'!$F$1:$F$1108,AA63,1)</f>
        <v>26.8</v>
      </c>
      <c r="AB14" s="11">
        <f>INDEX('[1]input data'!$F$1:$F$1108,AB63,1)</f>
        <v>24.4</v>
      </c>
      <c r="AC14" s="11">
        <f>INDEX('[1]input data'!$F$1:$F$1108,AC63,1)</f>
        <v>24.4</v>
      </c>
      <c r="AD14" s="11">
        <f>INDEX('[1]input data'!$F$1:$F$1108,AD63,1)</f>
        <v>25.2</v>
      </c>
      <c r="AE14" s="11">
        <f>INDEX('[1]input data'!$F$1:$F$1108,AE63,1)</f>
        <v>23.6</v>
      </c>
      <c r="AF14" s="11">
        <f>INDEX('[1]input data'!$F$1:$F$1108,AF63,1)</f>
        <v>23.4</v>
      </c>
      <c r="AG14" s="11">
        <f>INDEX('[1]input data'!$F$1:$F$1108,AG63,1)</f>
        <v>23.2</v>
      </c>
      <c r="AH14" s="12">
        <f t="shared" si="1"/>
        <v>26.8</v>
      </c>
      <c r="AI14" s="13">
        <f t="shared" si="2"/>
        <v>23.2</v>
      </c>
      <c r="AJ14" s="16">
        <f t="shared" si="7"/>
        <v>24.923076923076923</v>
      </c>
      <c r="AM14" s="15">
        <v>6</v>
      </c>
      <c r="AN14" s="11">
        <f>INDEX('[1]input data'!$G$1:$G$1108,AO63,1)</f>
        <v>23.384370540910407</v>
      </c>
      <c r="AO14" s="11">
        <f>INDEX('[1]input data'!$G$1:$G$1108,AP63,1)</f>
        <v>23.906549780904818</v>
      </c>
      <c r="AP14" s="11">
        <f>INDEX('[1]input data'!$G$1:$G$1108,AQ63,1)</f>
        <v>24.362543776675032</v>
      </c>
      <c r="AQ14" s="11">
        <f>INDEX('[1]input data'!$G$1:$G$1108,AR63,1)</f>
        <v>24.1010596629962</v>
      </c>
      <c r="AR14" s="11">
        <f>INDEX('[1]input data'!$G$1:$G$1108,AS63,1)</f>
        <v>23.79046980665996</v>
      </c>
      <c r="AS14" s="11">
        <f>INDEX('[1]input data'!$G$1:$G$1108,AT63,1)</f>
        <v>24.145331528903299</v>
      </c>
      <c r="AT14" s="11">
        <f>INDEX('[1]input data'!$G$1:$G$1108,AU63,1)</f>
        <v>24.808228369146487</v>
      </c>
      <c r="AU14" s="11">
        <f>INDEX('[1]input data'!$G$1:$G$1108,AV63,1)</f>
        <v>24.125234420920101</v>
      </c>
      <c r="AV14" s="11">
        <f>INDEX('[1]input data'!$G$1:$G$1108,AW63,1)</f>
        <v>23.771410936659056</v>
      </c>
      <c r="AW14" s="11">
        <f>INDEX('[1]input data'!$G$1:$G$1108,AX63,1)</f>
        <v>24.507713530973501</v>
      </c>
      <c r="AX14" s="11">
        <f>INDEX('[1]input data'!$G$1:$G$1108,AY63,1)</f>
        <v>23.225937351919136</v>
      </c>
      <c r="AY14" s="11">
        <f>INDEX('[1]input data'!$G$1:$G$1108,AZ63,1)</f>
        <v>23.115625074420976</v>
      </c>
      <c r="AZ14" s="11">
        <f>INDEX('[1]input data'!$G$1:$G$1108,BA63,1)</f>
        <v>22.725900467116261</v>
      </c>
      <c r="BA14" s="12">
        <f t="shared" si="3"/>
        <v>24.808228369146487</v>
      </c>
      <c r="BB14" s="13">
        <f t="shared" si="4"/>
        <v>22.725900467116261</v>
      </c>
      <c r="BC14" s="16">
        <f t="shared" si="8"/>
        <v>23.84387501909271</v>
      </c>
    </row>
    <row r="15" spans="1:57" ht="14.25" customHeight="1" x14ac:dyDescent="0.25">
      <c r="A15" s="15">
        <v>7</v>
      </c>
      <c r="B15" s="11">
        <f>'[1]input data'!E222</f>
        <v>25.6</v>
      </c>
      <c r="C15" s="11">
        <f>'[1]input data'!E223</f>
        <v>27.2</v>
      </c>
      <c r="D15" s="11">
        <f>'[1]input data'!E224</f>
        <v>28.2</v>
      </c>
      <c r="E15" s="11">
        <f>'[1]input data'!E225</f>
        <v>29.8</v>
      </c>
      <c r="F15" s="11">
        <f>'[1]input data'!E226</f>
        <v>30.4</v>
      </c>
      <c r="G15" s="11">
        <f>'[1]input data'!E227</f>
        <v>31.2</v>
      </c>
      <c r="H15" s="11">
        <f>'[1]input data'!E228</f>
        <v>31.2</v>
      </c>
      <c r="I15" s="11">
        <f>'[1]input data'!E229</f>
        <v>30.6</v>
      </c>
      <c r="J15" s="11">
        <f>'[1]input data'!E230</f>
        <v>29.4</v>
      </c>
      <c r="K15" s="11">
        <f>'[1]input data'!E231</f>
        <v>27.4</v>
      </c>
      <c r="L15" s="11">
        <f>'[1]input data'!E232</f>
        <v>24.6</v>
      </c>
      <c r="M15" s="11">
        <f>'[1]input data'!E233</f>
        <v>24</v>
      </c>
      <c r="N15" s="11">
        <f>'[1]input data'!E234</f>
        <v>24</v>
      </c>
      <c r="O15" s="12">
        <f t="shared" si="5"/>
        <v>31.2</v>
      </c>
      <c r="P15" s="13">
        <f t="shared" si="0"/>
        <v>24</v>
      </c>
      <c r="Q15" s="16">
        <f t="shared" si="6"/>
        <v>27.969230769230766</v>
      </c>
      <c r="T15" s="15">
        <v>7</v>
      </c>
      <c r="U15" s="11">
        <f>INDEX('[1]input data'!$F$1:$F$1108,U64,1)</f>
        <v>25</v>
      </c>
      <c r="V15" s="11">
        <f>INDEX('[1]input data'!$F$1:$F$1108,V64,1)</f>
        <v>25.2</v>
      </c>
      <c r="W15" s="11">
        <f>INDEX('[1]input data'!$F$1:$F$1108,W64,1)</f>
        <v>25.6</v>
      </c>
      <c r="X15" s="11">
        <f>INDEX('[1]input data'!$F$1:$F$1108,X64,1)</f>
        <v>26.2</v>
      </c>
      <c r="Y15" s="11">
        <f>INDEX('[1]input data'!$F$1:$F$1108,Y64,1)</f>
        <v>26.4</v>
      </c>
      <c r="Z15" s="11">
        <f>INDEX('[1]input data'!$F$1:$F$1108,Z64,1)</f>
        <v>27</v>
      </c>
      <c r="AA15" s="11">
        <f>INDEX('[1]input data'!$F$1:$F$1108,AA64,1)</f>
        <v>26.6</v>
      </c>
      <c r="AB15" s="11">
        <f>INDEX('[1]input data'!$F$1:$F$1108,AB64,1)</f>
        <v>26.6</v>
      </c>
      <c r="AC15" s="11">
        <f>INDEX('[1]input data'!$F$1:$F$1108,AC64,1)</f>
        <v>26</v>
      </c>
      <c r="AD15" s="11">
        <f>INDEX('[1]input data'!$F$1:$F$1108,AD64,1)</f>
        <v>25.6</v>
      </c>
      <c r="AE15" s="11">
        <f>INDEX('[1]input data'!$F$1:$F$1108,AE64,1)</f>
        <v>24</v>
      </c>
      <c r="AF15" s="11">
        <f>INDEX('[1]input data'!$F$1:$F$1108,AF64,1)</f>
        <v>23.4</v>
      </c>
      <c r="AG15" s="11">
        <f>INDEX('[1]input data'!$F$1:$F$1108,AG64,1)</f>
        <v>23.4</v>
      </c>
      <c r="AH15" s="12">
        <f t="shared" si="1"/>
        <v>27</v>
      </c>
      <c r="AI15" s="13">
        <f t="shared" si="2"/>
        <v>23.4</v>
      </c>
      <c r="AJ15" s="16">
        <f t="shared" si="7"/>
        <v>25.461538461538456</v>
      </c>
      <c r="AM15" s="15">
        <v>7</v>
      </c>
      <c r="AN15" s="11">
        <f>INDEX('[1]input data'!$G$1:$G$1108,AO64,1)</f>
        <v>24.645631305674684</v>
      </c>
      <c r="AO15" s="11">
        <f>INDEX('[1]input data'!$G$1:$G$1108,AP64,1)</f>
        <v>24.248231050640438</v>
      </c>
      <c r="AP15" s="11">
        <f>INDEX('[1]input data'!$G$1:$G$1108,AQ64,1)</f>
        <v>24.408876700109047</v>
      </c>
      <c r="AQ15" s="11">
        <f>INDEX('[1]input data'!$G$1:$G$1108,AR64,1)</f>
        <v>24.62094772066326</v>
      </c>
      <c r="AR15" s="11">
        <f>INDEX('[1]input data'!$G$1:$G$1108,AS64,1)</f>
        <v>24.667141319943219</v>
      </c>
      <c r="AS15" s="11">
        <f>INDEX('[1]input data'!$G$1:$G$1108,AT64,1)</f>
        <v>25.236576951642508</v>
      </c>
      <c r="AT15" s="11">
        <f>INDEX('[1]input data'!$G$1:$G$1108,AU64,1)</f>
        <v>24.630271718829672</v>
      </c>
      <c r="AU15" s="11">
        <f>INDEX('[1]input data'!$G$1:$G$1108,AV64,1)</f>
        <v>24.884693169763537</v>
      </c>
      <c r="AV15" s="11">
        <f>INDEX('[1]input data'!$G$1:$G$1108,AW64,1)</f>
        <v>24.491071560371971</v>
      </c>
      <c r="AW15" s="11">
        <f>INDEX('[1]input data'!$G$1:$G$1108,AX64,1)</f>
        <v>24.751230598214192</v>
      </c>
      <c r="AX15" s="11">
        <f>INDEX('[1]input data'!$G$1:$G$1108,AY64,1)</f>
        <v>23.631733166285724</v>
      </c>
      <c r="AY15" s="11">
        <f>INDEX('[1]input data'!$G$1:$G$1108,AZ64,1)</f>
        <v>23.022986804446777</v>
      </c>
      <c r="AZ15" s="11">
        <f>INDEX('[1]input data'!$G$1:$G$1108,BA64,1)</f>
        <v>23.022986804446777</v>
      </c>
      <c r="BA15" s="12">
        <f t="shared" si="3"/>
        <v>25.236576951642508</v>
      </c>
      <c r="BB15" s="13">
        <f t="shared" si="4"/>
        <v>23.022986804446777</v>
      </c>
      <c r="BC15" s="16">
        <f t="shared" si="8"/>
        <v>24.327875297771676</v>
      </c>
    </row>
    <row r="16" spans="1:57" ht="14.25" customHeight="1" x14ac:dyDescent="0.25">
      <c r="A16" s="15">
        <v>8</v>
      </c>
      <c r="B16" s="11">
        <f>'[1]input data'!E258</f>
        <v>25.5</v>
      </c>
      <c r="C16" s="11">
        <f>'[1]input data'!E259</f>
        <v>27</v>
      </c>
      <c r="D16" s="11">
        <f>'[1]input data'!E260</f>
        <v>28.2</v>
      </c>
      <c r="E16" s="11">
        <f>'[1]input data'!E261</f>
        <v>29.6</v>
      </c>
      <c r="F16" s="11">
        <f>'[1]input data'!E262</f>
        <v>29.8</v>
      </c>
      <c r="G16" s="11">
        <f>'[1]input data'!E263</f>
        <v>30.6</v>
      </c>
      <c r="H16" s="11">
        <f>'[1]input data'!E264</f>
        <v>30.4</v>
      </c>
      <c r="I16" s="11">
        <f>'[1]input data'!E265</f>
        <v>29.6</v>
      </c>
      <c r="J16" s="11">
        <f>'[1]input data'!E266</f>
        <v>28.3</v>
      </c>
      <c r="K16" s="11">
        <f>'[1]input data'!E267</f>
        <v>27.7</v>
      </c>
      <c r="L16" s="11">
        <f>'[1]input data'!E268</f>
        <v>26.9</v>
      </c>
      <c r="M16" s="11">
        <f>'[1]input data'!E269</f>
        <v>26.2</v>
      </c>
      <c r="N16" s="11">
        <f>'[1]input data'!E270</f>
        <v>26.2</v>
      </c>
      <c r="O16" s="12">
        <f t="shared" si="5"/>
        <v>30.6</v>
      </c>
      <c r="P16" s="13">
        <f t="shared" si="0"/>
        <v>25.5</v>
      </c>
      <c r="Q16" s="16">
        <f t="shared" si="6"/>
        <v>28.15384615384615</v>
      </c>
      <c r="T16" s="15">
        <v>8</v>
      </c>
      <c r="U16" s="11">
        <f>INDEX('[1]input data'!$F$1:$F$1108,U65,1)</f>
        <v>24.2</v>
      </c>
      <c r="V16" s="11">
        <f>INDEX('[1]input data'!$F$1:$F$1108,V65,1)</f>
        <v>25.2</v>
      </c>
      <c r="W16" s="11">
        <f>INDEX('[1]input data'!$F$1:$F$1108,W65,1)</f>
        <v>25.6</v>
      </c>
      <c r="X16" s="11">
        <f>INDEX('[1]input data'!$F$1:$F$1108,X65,1)</f>
        <v>26.2</v>
      </c>
      <c r="Y16" s="11">
        <f>INDEX('[1]input data'!$F$1:$F$1108,Y65,1)</f>
        <v>26.4</v>
      </c>
      <c r="Z16" s="11">
        <f>INDEX('[1]input data'!$F$1:$F$1108,Z65,1)</f>
        <v>26.4</v>
      </c>
      <c r="AA16" s="11">
        <f>INDEX('[1]input data'!$F$1:$F$1108,AA65,1)</f>
        <v>26.4</v>
      </c>
      <c r="AB16" s="11">
        <f>INDEX('[1]input data'!$F$1:$F$1108,AB65,1)</f>
        <v>25.6</v>
      </c>
      <c r="AC16" s="11">
        <f>INDEX('[1]input data'!$F$1:$F$1108,AC65,1)</f>
        <v>26.1</v>
      </c>
      <c r="AD16" s="11">
        <f>INDEX('[1]input data'!$F$1:$F$1108,AD65,1)</f>
        <v>26.7</v>
      </c>
      <c r="AE16" s="11">
        <f>INDEX('[1]input data'!$F$1:$F$1108,AE65,1)</f>
        <v>25.4</v>
      </c>
      <c r="AF16" s="11">
        <f>INDEX('[1]input data'!$F$1:$F$1108,AF65,1)</f>
        <v>25.3</v>
      </c>
      <c r="AG16" s="11">
        <f>INDEX('[1]input data'!$F$1:$F$1108,AG65,1)</f>
        <v>25.6</v>
      </c>
      <c r="AH16" s="12">
        <f t="shared" si="1"/>
        <v>26.7</v>
      </c>
      <c r="AI16" s="13">
        <f t="shared" si="2"/>
        <v>24.2</v>
      </c>
      <c r="AJ16" s="16">
        <f t="shared" si="7"/>
        <v>25.776923076923079</v>
      </c>
      <c r="AM16" s="15">
        <v>8</v>
      </c>
      <c r="AN16" s="11">
        <f>INDEX('[1]input data'!$G$1:$G$1108,AO65,1)</f>
        <v>23.520555948119188</v>
      </c>
      <c r="AO16" s="11">
        <f>INDEX('[1]input data'!$G$1:$G$1108,AP65,1)</f>
        <v>24.335116740668042</v>
      </c>
      <c r="AP16" s="11">
        <f>INDEX('[1]input data'!$G$1:$G$1108,AQ65,1)</f>
        <v>24.408876700109047</v>
      </c>
      <c r="AQ16" s="11">
        <f>INDEX('[1]input data'!$G$1:$G$1108,AR65,1)</f>
        <v>24.706168921549796</v>
      </c>
      <c r="AR16" s="11">
        <f>INDEX('[1]input data'!$G$1:$G$1108,AS65,1)</f>
        <v>24.921074218465066</v>
      </c>
      <c r="AS16" s="11">
        <f>INDEX('[1]input data'!$G$1:$G$1108,AT65,1)</f>
        <v>24.581744907935423</v>
      </c>
      <c r="AT16" s="11">
        <f>INDEX('[1]input data'!$G$1:$G$1108,AU65,1)</f>
        <v>24.667141319943219</v>
      </c>
      <c r="AU16" s="11">
        <f>INDEX('[1]input data'!$G$1:$G$1108,AV65,1)</f>
        <v>23.79460686035754</v>
      </c>
      <c r="AV16" s="11">
        <f>INDEX('[1]input data'!$G$1:$G$1108,AW65,1)</f>
        <v>25.104966552624049</v>
      </c>
      <c r="AW16" s="11">
        <f>INDEX('[1]input data'!$G$1:$G$1108,AX65,1)</f>
        <v>26.210768381032615</v>
      </c>
      <c r="AX16" s="11">
        <f>INDEX('[1]input data'!$G$1:$G$1108,AY65,1)</f>
        <v>24.671423157602952</v>
      </c>
      <c r="AY16" s="11">
        <f>INDEX('[1]input data'!$G$1:$G$1108,AZ65,1)</f>
        <v>24.823294606953301</v>
      </c>
      <c r="AZ16" s="11">
        <f>INDEX('[1]input data'!$G$1:$G$1108,BA65,1)</f>
        <v>25.253583330602201</v>
      </c>
      <c r="BA16" s="12">
        <f t="shared" si="3"/>
        <v>26.210768381032615</v>
      </c>
      <c r="BB16" s="13">
        <f t="shared" si="4"/>
        <v>23.520555948119188</v>
      </c>
      <c r="BC16" s="16">
        <f t="shared" si="8"/>
        <v>24.692255511227877</v>
      </c>
    </row>
    <row r="17" spans="1:55" ht="14.25" customHeight="1" x14ac:dyDescent="0.25">
      <c r="A17" s="15">
        <v>9</v>
      </c>
      <c r="B17" s="11">
        <f>'[1]input data'!E294</f>
        <v>25.4</v>
      </c>
      <c r="C17" s="11">
        <f>'[1]input data'!E295</f>
        <v>27</v>
      </c>
      <c r="D17" s="11">
        <f>'[1]input data'!E296</f>
        <v>28.7</v>
      </c>
      <c r="E17" s="11">
        <f>'[1]input data'!E297</f>
        <v>29.7</v>
      </c>
      <c r="F17" s="11">
        <f>'[1]input data'!E298</f>
        <v>31.9</v>
      </c>
      <c r="G17" s="11">
        <f>'[1]input data'!E299</f>
        <v>31.5</v>
      </c>
      <c r="H17" s="11">
        <f>'[1]input data'!E300</f>
        <v>31.3</v>
      </c>
      <c r="I17" s="11">
        <f>'[1]input data'!E301</f>
        <v>25.9</v>
      </c>
      <c r="J17" s="11">
        <f>'[1]input data'!E302</f>
        <v>26.4</v>
      </c>
      <c r="K17" s="11">
        <f>'[1]input data'!E303</f>
        <v>27.4</v>
      </c>
      <c r="L17" s="11">
        <f>'[1]input data'!E304</f>
        <v>26.8</v>
      </c>
      <c r="M17" s="11">
        <f>'[1]input data'!E305</f>
        <v>26.8</v>
      </c>
      <c r="N17" s="11">
        <f>'[1]input data'!E306</f>
        <v>26.6</v>
      </c>
      <c r="O17" s="12">
        <f t="shared" si="5"/>
        <v>31.9</v>
      </c>
      <c r="P17" s="13">
        <f t="shared" si="0"/>
        <v>25.4</v>
      </c>
      <c r="Q17" s="16">
        <f t="shared" si="6"/>
        <v>28.107692307692311</v>
      </c>
      <c r="T17" s="15">
        <v>9</v>
      </c>
      <c r="U17" s="11">
        <f>INDEX('[1]input data'!$F$1:$F$1108,U66,1)</f>
        <v>24</v>
      </c>
      <c r="V17" s="11">
        <f>INDEX('[1]input data'!$F$1:$F$1108,V66,1)</f>
        <v>24.6</v>
      </c>
      <c r="W17" s="11">
        <f>INDEX('[1]input data'!$F$1:$F$1108,W66,1)</f>
        <v>25.6</v>
      </c>
      <c r="X17" s="11">
        <f>INDEX('[1]input data'!$F$1:$F$1108,X66,1)</f>
        <v>26.2</v>
      </c>
      <c r="Y17" s="11">
        <f>INDEX('[1]input data'!$F$1:$F$1108,Y66,1)</f>
        <v>26.5</v>
      </c>
      <c r="Z17" s="11">
        <f>INDEX('[1]input data'!$F$1:$F$1108,Z66,1)</f>
        <v>26.3</v>
      </c>
      <c r="AA17" s="11">
        <f>INDEX('[1]input data'!$F$1:$F$1108,AA66,1)</f>
        <v>27.4</v>
      </c>
      <c r="AB17" s="11">
        <f>INDEX('[1]input data'!$F$1:$F$1108,AB66,1)</f>
        <v>25.4</v>
      </c>
      <c r="AC17" s="11">
        <f>INDEX('[1]input data'!$F$1:$F$1108,AC66,1)</f>
        <v>25</v>
      </c>
      <c r="AD17" s="11">
        <f>INDEX('[1]input data'!$F$1:$F$1108,AD66,1)</f>
        <v>25.8</v>
      </c>
      <c r="AE17" s="11">
        <f>INDEX('[1]input data'!$F$1:$F$1108,AE66,1)</f>
        <v>25.6</v>
      </c>
      <c r="AF17" s="11">
        <f>INDEX('[1]input data'!$F$1:$F$1108,AF66,1)</f>
        <v>25.6</v>
      </c>
      <c r="AG17" s="11">
        <f>INDEX('[1]input data'!$F$1:$F$1108,AG66,1)</f>
        <v>25.6</v>
      </c>
      <c r="AH17" s="12">
        <f t="shared" si="1"/>
        <v>27.4</v>
      </c>
      <c r="AI17" s="13">
        <f t="shared" si="2"/>
        <v>24</v>
      </c>
      <c r="AJ17" s="16">
        <f t="shared" si="7"/>
        <v>25.661538461538466</v>
      </c>
      <c r="AM17" s="15">
        <v>9</v>
      </c>
      <c r="AN17" s="11">
        <f>INDEX('[1]input data'!$G$1:$G$1108,AO66,1)</f>
        <v>23.268536476619335</v>
      </c>
      <c r="AO17" s="11">
        <f>INDEX('[1]input data'!$G$1:$G$1108,AP66,1)</f>
        <v>23.439555090650348</v>
      </c>
      <c r="AP17" s="11">
        <f>INDEX('[1]input data'!$G$1:$G$1108,AQ66,1)</f>
        <v>24.191755261749357</v>
      </c>
      <c r="AQ17" s="11">
        <f>INDEX('[1]input data'!$G$1:$G$1108,AR66,1)</f>
        <v>24.663605644138098</v>
      </c>
      <c r="AR17" s="11">
        <f>INDEX('[1]input data'!$G$1:$G$1108,AS66,1)</f>
        <v>24.173499152649189</v>
      </c>
      <c r="AS17" s="11">
        <f>INDEX('[1]input data'!$G$1:$G$1108,AT66,1)</f>
        <v>24.037102005107748</v>
      </c>
      <c r="AT17" s="11">
        <f>INDEX('[1]input data'!$G$1:$G$1108,AU66,1)</f>
        <v>25.792911049944003</v>
      </c>
      <c r="AU17" s="11">
        <f>INDEX('[1]input data'!$G$1:$G$1108,AV66,1)</f>
        <v>25.092676193612377</v>
      </c>
      <c r="AV17" s="11">
        <f>INDEX('[1]input data'!$G$1:$G$1108,AW66,1)</f>
        <v>24.301383345836562</v>
      </c>
      <c r="AW17" s="11">
        <f>INDEX('[1]input data'!$G$1:$G$1108,AX66,1)</f>
        <v>25.042874125091561</v>
      </c>
      <c r="AX17" s="11">
        <f>INDEX('[1]input data'!$G$1:$G$1108,AY66,1)</f>
        <v>25.004046888190331</v>
      </c>
      <c r="AY17" s="11">
        <f>INDEX('[1]input data'!$G$1:$G$1108,AZ66,1)</f>
        <v>25.004046888190331</v>
      </c>
      <c r="AZ17" s="11">
        <f>INDEX('[1]input data'!$G$1:$G$1108,BA66,1)</f>
        <v>25.087585591806544</v>
      </c>
      <c r="BA17" s="12">
        <f t="shared" si="3"/>
        <v>25.792911049944003</v>
      </c>
      <c r="BB17" s="13">
        <f t="shared" si="4"/>
        <v>23.268536476619335</v>
      </c>
      <c r="BC17" s="16">
        <f t="shared" si="8"/>
        <v>24.54612136258352</v>
      </c>
    </row>
    <row r="18" spans="1:55" ht="14.25" customHeight="1" x14ac:dyDescent="0.25">
      <c r="A18" s="15">
        <v>10</v>
      </c>
      <c r="B18" s="11">
        <f>'[1]input data'!E330</f>
        <v>25.6</v>
      </c>
      <c r="C18" s="11">
        <f>'[1]input data'!E331</f>
        <v>27.2</v>
      </c>
      <c r="D18" s="11">
        <f>'[1]input data'!E332</f>
        <v>28.8</v>
      </c>
      <c r="E18" s="11">
        <f>'[1]input data'!E333</f>
        <v>30</v>
      </c>
      <c r="F18" s="11">
        <f>'[1]input data'!E334</f>
        <v>31</v>
      </c>
      <c r="G18" s="11">
        <f>'[1]input data'!E335</f>
        <v>32</v>
      </c>
      <c r="H18" s="11">
        <f>'[1]input data'!E336</f>
        <v>31.8</v>
      </c>
      <c r="I18" s="11">
        <f>'[1]input data'!E337</f>
        <v>31</v>
      </c>
      <c r="J18" s="11">
        <f>'[1]input data'!E338</f>
        <v>30.2</v>
      </c>
      <c r="K18" s="11">
        <f>'[1]input data'!E339</f>
        <v>29.3</v>
      </c>
      <c r="L18" s="11">
        <f>'[1]input data'!E340</f>
        <v>27.6</v>
      </c>
      <c r="M18" s="11">
        <f>'[1]input data'!E341</f>
        <v>26.6</v>
      </c>
      <c r="N18" s="11">
        <f>'[1]input data'!E342</f>
        <v>26.2</v>
      </c>
      <c r="O18" s="12">
        <f t="shared" si="5"/>
        <v>32</v>
      </c>
      <c r="P18" s="13">
        <f t="shared" si="0"/>
        <v>25.6</v>
      </c>
      <c r="Q18" s="16">
        <f t="shared" si="6"/>
        <v>29.023076923076928</v>
      </c>
      <c r="T18" s="15">
        <v>10</v>
      </c>
      <c r="U18" s="11">
        <f>INDEX('[1]input data'!$F$1:$F$1108,U67,1)</f>
        <v>24.6</v>
      </c>
      <c r="V18" s="11">
        <f>INDEX('[1]input data'!$F$1:$F$1108,V67,1)</f>
        <v>25.2</v>
      </c>
      <c r="W18" s="11">
        <f>INDEX('[1]input data'!$F$1:$F$1108,W67,1)</f>
        <v>25.6</v>
      </c>
      <c r="X18" s="11">
        <f>INDEX('[1]input data'!$F$1:$F$1108,X67,1)</f>
        <v>26</v>
      </c>
      <c r="Y18" s="11">
        <f>INDEX('[1]input data'!$F$1:$F$1108,Y67,1)</f>
        <v>26.3</v>
      </c>
      <c r="Z18" s="11">
        <f>INDEX('[1]input data'!$F$1:$F$1108,Z67,1)</f>
        <v>27</v>
      </c>
      <c r="AA18" s="11">
        <f>INDEX('[1]input data'!$F$1:$F$1108,AA67,1)</f>
        <v>27.2</v>
      </c>
      <c r="AB18" s="11">
        <f>INDEX('[1]input data'!$F$1:$F$1108,AB67,1)</f>
        <v>26.6</v>
      </c>
      <c r="AC18" s="11">
        <f>INDEX('[1]input data'!$F$1:$F$1108,AC67,1)</f>
        <v>26.6</v>
      </c>
      <c r="AD18" s="11">
        <f>INDEX('[1]input data'!$F$1:$F$1108,AD67,1)</f>
        <v>26.1</v>
      </c>
      <c r="AE18" s="11">
        <f>INDEX('[1]input data'!$F$1:$F$1108,AE67,1)</f>
        <v>24.5</v>
      </c>
      <c r="AF18" s="11">
        <f>INDEX('[1]input data'!$F$1:$F$1108,AF67,1)</f>
        <v>24.7</v>
      </c>
      <c r="AG18" s="11">
        <f>INDEX('[1]input data'!$F$1:$F$1108,AG67,1)</f>
        <v>24.9</v>
      </c>
      <c r="AH18" s="12">
        <f t="shared" si="1"/>
        <v>27.2</v>
      </c>
      <c r="AI18" s="13">
        <f t="shared" si="2"/>
        <v>24.5</v>
      </c>
      <c r="AJ18" s="16">
        <f t="shared" si="7"/>
        <v>25.792307692307688</v>
      </c>
      <c r="AM18" s="15">
        <v>10</v>
      </c>
      <c r="AN18" s="11">
        <f>INDEX('[1]input data'!$G$1:$G$1108,AO67,1)</f>
        <v>24.06513901073685</v>
      </c>
      <c r="AO18" s="11">
        <f>INDEX('[1]input data'!$G$1:$G$1108,AP67,1)</f>
        <v>24.248231050640438</v>
      </c>
      <c r="AP18" s="11">
        <f>INDEX('[1]input data'!$G$1:$G$1108,AQ67,1)</f>
        <v>24.148033521051371</v>
      </c>
      <c r="AQ18" s="11">
        <f>INDEX('[1]input data'!$G$1:$G$1108,AR67,1)</f>
        <v>24.231346865433</v>
      </c>
      <c r="AR18" s="11">
        <f>INDEX('[1]input data'!$G$1:$G$1108,AS67,1)</f>
        <v>24.255987917803285</v>
      </c>
      <c r="AS18" s="11">
        <f>INDEX('[1]input data'!$G$1:$G$1108,AT67,1)</f>
        <v>24.902805008943183</v>
      </c>
      <c r="AT18" s="11">
        <f>INDEX('[1]input data'!$G$1:$G$1108,AU67,1)</f>
        <v>25.2900960141349</v>
      </c>
      <c r="AU18" s="11">
        <f>INDEX('[1]input data'!$G$1:$G$1108,AV67,1)</f>
        <v>24.715454083602051</v>
      </c>
      <c r="AV18" s="11">
        <f>INDEX('[1]input data'!$G$1:$G$1108,AW67,1)</f>
        <v>25.052454898899356</v>
      </c>
      <c r="AW18" s="11">
        <f>INDEX('[1]input data'!$G$1:$G$1108,AX67,1)</f>
        <v>24.683963941731744</v>
      </c>
      <c r="AX18" s="11">
        <f>INDEX('[1]input data'!$G$1:$G$1108,AY67,1)</f>
        <v>23.011318918850375</v>
      </c>
      <c r="AY18" s="11">
        <f>INDEX('[1]input data'!$G$1:$G$1108,AZ67,1)</f>
        <v>23.769810379525076</v>
      </c>
      <c r="AZ18" s="11">
        <f>INDEX('[1]input data'!$G$1:$G$1108,BA67,1)</f>
        <v>24.241794125726216</v>
      </c>
      <c r="BA18" s="12">
        <f t="shared" si="3"/>
        <v>25.2900960141349</v>
      </c>
      <c r="BB18" s="13">
        <f t="shared" si="4"/>
        <v>23.011318918850375</v>
      </c>
      <c r="BC18" s="16">
        <f t="shared" si="8"/>
        <v>24.355110441313681</v>
      </c>
    </row>
    <row r="19" spans="1:55" ht="14.25" customHeight="1" x14ac:dyDescent="0.25">
      <c r="A19" s="15">
        <v>11</v>
      </c>
      <c r="B19" s="11">
        <f>'[1]input data'!E366</f>
        <v>26</v>
      </c>
      <c r="C19" s="11">
        <f>'[1]input data'!E367</f>
        <v>27.6</v>
      </c>
      <c r="D19" s="11">
        <f>'[1]input data'!E368</f>
        <v>29.5</v>
      </c>
      <c r="E19" s="11">
        <f>'[1]input data'!E369</f>
        <v>30.4</v>
      </c>
      <c r="F19" s="11">
        <f>'[1]input data'!E370</f>
        <v>31.5</v>
      </c>
      <c r="G19" s="11">
        <f>'[1]input data'!E371</f>
        <v>31.8</v>
      </c>
      <c r="H19" s="11">
        <f>'[1]input data'!E372</f>
        <v>31.8</v>
      </c>
      <c r="I19" s="11">
        <f>'[1]input data'!E373</f>
        <v>32.6</v>
      </c>
      <c r="J19" s="11">
        <f>'[1]input data'!E374</f>
        <v>32.4</v>
      </c>
      <c r="K19" s="11">
        <f>'[1]input data'!E375</f>
        <v>30.2</v>
      </c>
      <c r="L19" s="11">
        <f>'[1]input data'!E376</f>
        <v>29.4</v>
      </c>
      <c r="M19" s="11">
        <f>'[1]input data'!E377</f>
        <v>28.2</v>
      </c>
      <c r="N19" s="11">
        <f>'[1]input data'!E378</f>
        <v>27.6</v>
      </c>
      <c r="O19" s="12">
        <f t="shared" si="5"/>
        <v>32.6</v>
      </c>
      <c r="P19" s="13">
        <f t="shared" si="0"/>
        <v>26</v>
      </c>
      <c r="Q19" s="16">
        <f t="shared" si="6"/>
        <v>29.923076923076923</v>
      </c>
      <c r="T19" s="15">
        <v>11</v>
      </c>
      <c r="U19" s="11">
        <f>INDEX('[1]input data'!$F$1:$F$1108,U68,1)</f>
        <v>24.3</v>
      </c>
      <c r="V19" s="11">
        <f>INDEX('[1]input data'!$F$1:$F$1108,V68,1)</f>
        <v>25</v>
      </c>
      <c r="W19" s="11">
        <f>INDEX('[1]input data'!$F$1:$F$1108,W68,1)</f>
        <v>26</v>
      </c>
      <c r="X19" s="11">
        <f>INDEX('[1]input data'!$F$1:$F$1108,X68,1)</f>
        <v>26</v>
      </c>
      <c r="Y19" s="11">
        <f>INDEX('[1]input data'!$F$1:$F$1108,Y68,1)</f>
        <v>26.3</v>
      </c>
      <c r="Z19" s="11">
        <f>INDEX('[1]input data'!$F$1:$F$1108,Z68,1)</f>
        <v>26.8</v>
      </c>
      <c r="AA19" s="11">
        <f>INDEX('[1]input data'!$F$1:$F$1108,AA68,1)</f>
        <v>26.4</v>
      </c>
      <c r="AB19" s="11">
        <f>INDEX('[1]input data'!$F$1:$F$1108,AB68,1)</f>
        <v>26.8</v>
      </c>
      <c r="AC19" s="11">
        <f>INDEX('[1]input data'!$F$1:$F$1108,AC68,1)</f>
        <v>26</v>
      </c>
      <c r="AD19" s="11">
        <f>INDEX('[1]input data'!$F$1:$F$1108,AD68,1)</f>
        <v>27.2</v>
      </c>
      <c r="AE19" s="11">
        <f>INDEX('[1]input data'!$F$1:$F$1108,AE68,1)</f>
        <v>27</v>
      </c>
      <c r="AF19" s="11">
        <f>INDEX('[1]input data'!$F$1:$F$1108,AF68,1)</f>
        <v>26.2</v>
      </c>
      <c r="AG19" s="11">
        <f>INDEX('[1]input data'!$F$1:$F$1108,AG68,1)</f>
        <v>25.8</v>
      </c>
      <c r="AH19" s="12">
        <f t="shared" si="1"/>
        <v>27.2</v>
      </c>
      <c r="AI19" s="13">
        <f t="shared" si="2"/>
        <v>24.3</v>
      </c>
      <c r="AJ19" s="16">
        <f t="shared" si="7"/>
        <v>26.138461538461538</v>
      </c>
      <c r="AM19" s="15">
        <v>11</v>
      </c>
      <c r="AN19" s="11">
        <f>INDEX('[1]input data'!$G$1:$G$1108,AO68,1)</f>
        <v>23.442835009620829</v>
      </c>
      <c r="AO19" s="11">
        <f>INDEX('[1]input data'!$G$1:$G$1108,AP68,1)</f>
        <v>23.773101758937997</v>
      </c>
      <c r="AP19" s="11">
        <f>INDEX('[1]input data'!$G$1:$G$1108,AQ68,1)</f>
        <v>24.448028104251726</v>
      </c>
      <c r="AQ19" s="11">
        <f>INDEX('[1]input data'!$G$1:$G$1108,AR68,1)</f>
        <v>24.056216238791031</v>
      </c>
      <c r="AR19" s="11">
        <f>INDEX('[1]input data'!$G$1:$G$1108,AS68,1)</f>
        <v>24.037102005107748</v>
      </c>
      <c r="AS19" s="11">
        <f>INDEX('[1]input data'!$G$1:$G$1108,AT68,1)</f>
        <v>24.680929651635907</v>
      </c>
      <c r="AT19" s="11">
        <f>INDEX('[1]input data'!$G$1:$G$1108,AU68,1)</f>
        <v>24.061211082431299</v>
      </c>
      <c r="AU19" s="11">
        <f>INDEX('[1]input data'!$G$1:$G$1108,AV68,1)</f>
        <v>24.33727618667562</v>
      </c>
      <c r="AV19" s="11">
        <f>INDEX('[1]input data'!$G$1:$G$1108,AW68,1)</f>
        <v>23.155571451496382</v>
      </c>
      <c r="AW19" s="11">
        <f>INDEX('[1]input data'!$G$1:$G$1108,AX68,1)</f>
        <v>25.939038024195355</v>
      </c>
      <c r="AX19" s="11">
        <f>INDEX('[1]input data'!$G$1:$G$1108,AY68,1)</f>
        <v>25.967098619065382</v>
      </c>
      <c r="AY19" s="11">
        <f>INDEX('[1]input data'!$G$1:$G$1108,AZ68,1)</f>
        <v>25.292363705718824</v>
      </c>
      <c r="AZ19" s="11">
        <f>INDEX('[1]input data'!$G$1:$G$1108,BA68,1)</f>
        <v>24.959139380333962</v>
      </c>
      <c r="BA19" s="12">
        <f t="shared" si="3"/>
        <v>25.967098619065382</v>
      </c>
      <c r="BB19" s="13">
        <f t="shared" si="4"/>
        <v>23.155571451496382</v>
      </c>
      <c r="BC19" s="16">
        <f t="shared" si="8"/>
        <v>24.473070093712465</v>
      </c>
    </row>
    <row r="20" spans="1:55" ht="14.25" customHeight="1" x14ac:dyDescent="0.25">
      <c r="A20" s="15">
        <v>12</v>
      </c>
      <c r="B20" s="11">
        <f>'[1]input data'!E402</f>
        <v>25.7</v>
      </c>
      <c r="C20" s="11">
        <f>'[1]input data'!E403</f>
        <v>26.3</v>
      </c>
      <c r="D20" s="11">
        <f>'[1]input data'!E404</f>
        <v>28.3</v>
      </c>
      <c r="E20" s="11">
        <f>'[1]input data'!E405</f>
        <v>29.8</v>
      </c>
      <c r="F20" s="11">
        <f>'[1]input data'!E406</f>
        <v>29.9</v>
      </c>
      <c r="G20" s="11">
        <f>'[1]input data'!E407</f>
        <v>31.1</v>
      </c>
      <c r="H20" s="11">
        <f>'[1]input data'!E408</f>
        <v>30.9</v>
      </c>
      <c r="I20" s="11">
        <f>'[1]input data'!E409</f>
        <v>32.200000000000003</v>
      </c>
      <c r="J20" s="11">
        <f>'[1]input data'!E410</f>
        <v>32.5</v>
      </c>
      <c r="K20" s="11">
        <f>'[1]input data'!E411</f>
        <v>31.8</v>
      </c>
      <c r="L20" s="11">
        <f>'[1]input data'!E412</f>
        <v>29.4</v>
      </c>
      <c r="M20" s="11">
        <f>'[1]input data'!E413</f>
        <v>27.6</v>
      </c>
      <c r="N20" s="11">
        <f>'[1]input data'!E414</f>
        <v>26.6</v>
      </c>
      <c r="O20" s="12">
        <f t="shared" si="5"/>
        <v>32.5</v>
      </c>
      <c r="P20" s="13">
        <f t="shared" si="0"/>
        <v>25.7</v>
      </c>
      <c r="Q20" s="16">
        <f t="shared" si="6"/>
        <v>29.392307692307693</v>
      </c>
      <c r="T20" s="15">
        <v>12</v>
      </c>
      <c r="U20" s="11">
        <f>INDEX('[1]input data'!$F$1:$F$1108,U69,1)</f>
        <v>24.7</v>
      </c>
      <c r="V20" s="11">
        <f>INDEX('[1]input data'!$F$1:$F$1108,V69,1)</f>
        <v>25.3</v>
      </c>
      <c r="W20" s="11">
        <f>INDEX('[1]input data'!$F$1:$F$1108,W69,1)</f>
        <v>25.5</v>
      </c>
      <c r="X20" s="11">
        <f>INDEX('[1]input data'!$F$1:$F$1108,X69,1)</f>
        <v>25.4</v>
      </c>
      <c r="Y20" s="11">
        <f>INDEX('[1]input data'!$F$1:$F$1108,Y69,1)</f>
        <v>26.1</v>
      </c>
      <c r="Z20" s="11">
        <f>INDEX('[1]input data'!$F$1:$F$1108,Z69,1)</f>
        <v>27</v>
      </c>
      <c r="AA20" s="11">
        <f>INDEX('[1]input data'!$F$1:$F$1108,AA69,1)</f>
        <v>26.5</v>
      </c>
      <c r="AB20" s="11">
        <f>INDEX('[1]input data'!$F$1:$F$1108,AB69,1)</f>
        <v>26.6</v>
      </c>
      <c r="AC20" s="11">
        <f>INDEX('[1]input data'!$F$1:$F$1108,AC69,1)</f>
        <v>27.3</v>
      </c>
      <c r="AD20" s="11">
        <f>INDEX('[1]input data'!$F$1:$F$1108,AD69,1)</f>
        <v>27</v>
      </c>
      <c r="AE20" s="11">
        <f>INDEX('[1]input data'!$F$1:$F$1108,AE69,1)</f>
        <v>26.6</v>
      </c>
      <c r="AF20" s="11">
        <f>INDEX('[1]input data'!$F$1:$F$1108,AF69,1)</f>
        <v>25.6</v>
      </c>
      <c r="AG20" s="11">
        <f>INDEX('[1]input data'!$F$1:$F$1108,AG69,1)</f>
        <v>25</v>
      </c>
      <c r="AH20" s="12">
        <f t="shared" si="1"/>
        <v>27.3</v>
      </c>
      <c r="AI20" s="13">
        <f t="shared" si="2"/>
        <v>24.7</v>
      </c>
      <c r="AJ20" s="16">
        <f t="shared" si="7"/>
        <v>26.04615384615385</v>
      </c>
      <c r="AM20" s="15">
        <v>12</v>
      </c>
      <c r="AN20" s="11">
        <f>INDEX('[1]input data'!$G$1:$G$1108,AO69,1)</f>
        <v>24.167445267370841</v>
      </c>
      <c r="AO20" s="11">
        <f>INDEX('[1]input data'!$G$1:$G$1108,AP69,1)</f>
        <v>24.780993312524082</v>
      </c>
      <c r="AP20" s="11">
        <f>INDEX('[1]input data'!$G$1:$G$1108,AQ69,1)</f>
        <v>24.215974330546651</v>
      </c>
      <c r="AQ20" s="11">
        <f>INDEX('[1]input data'!$G$1:$G$1108,AR69,1)</f>
        <v>23.394590685489504</v>
      </c>
      <c r="AR20" s="11">
        <f>INDEX('[1]input data'!$G$1:$G$1108,AS69,1)</f>
        <v>24.426857660366935</v>
      </c>
      <c r="AS20" s="11">
        <f>INDEX('[1]input data'!$G$1:$G$1108,AT69,1)</f>
        <v>25.277894615753311</v>
      </c>
      <c r="AT20" s="11">
        <f>INDEX('[1]input data'!$G$1:$G$1108,AU69,1)</f>
        <v>24.605742101324182</v>
      </c>
      <c r="AU20" s="11">
        <f>INDEX('[1]input data'!$G$1:$G$1108,AV69,1)</f>
        <v>24.198585396896078</v>
      </c>
      <c r="AV20" s="11">
        <f>INDEX('[1]input data'!$G$1:$G$1108,AW69,1)</f>
        <v>25.152172182732507</v>
      </c>
      <c r="AW20" s="11">
        <f>INDEX('[1]input data'!$G$1:$G$1108,AX69,1)</f>
        <v>24.986792312097581</v>
      </c>
      <c r="AX20" s="11">
        <f>INDEX('[1]input data'!$G$1:$G$1108,AY69,1)</f>
        <v>25.383655494177017</v>
      </c>
      <c r="AY20" s="11">
        <f>INDEX('[1]input data'!$G$1:$G$1108,AZ69,1)</f>
        <v>24.666213473453418</v>
      </c>
      <c r="AZ20" s="11">
        <f>INDEX('[1]input data'!$G$1:$G$1108,BA69,1)</f>
        <v>24.214345134056124</v>
      </c>
      <c r="BA20" s="12">
        <f t="shared" si="3"/>
        <v>25.383655494177017</v>
      </c>
      <c r="BB20" s="13">
        <f t="shared" si="4"/>
        <v>23.394590685489504</v>
      </c>
      <c r="BC20" s="16">
        <f t="shared" si="8"/>
        <v>24.574712458983711</v>
      </c>
    </row>
    <row r="21" spans="1:55" ht="14.25" customHeight="1" x14ac:dyDescent="0.25">
      <c r="A21" s="15">
        <v>13</v>
      </c>
      <c r="B21" s="11">
        <f>'[1]input data'!E438</f>
        <v>27.9</v>
      </c>
      <c r="C21" s="11">
        <f>'[1]input data'!E439</f>
        <v>28.8</v>
      </c>
      <c r="D21" s="11">
        <f>'[1]input data'!E440</f>
        <v>29.8</v>
      </c>
      <c r="E21" s="11">
        <f>'[1]input data'!E441</f>
        <v>31</v>
      </c>
      <c r="F21" s="11">
        <f>'[1]input data'!E442</f>
        <v>32.200000000000003</v>
      </c>
      <c r="G21" s="11">
        <f>'[1]input data'!E443</f>
        <v>33.200000000000003</v>
      </c>
      <c r="H21" s="11">
        <f>'[1]input data'!E444</f>
        <v>33.4</v>
      </c>
      <c r="I21" s="11">
        <f>'[1]input data'!E445</f>
        <v>33.700000000000003</v>
      </c>
      <c r="J21" s="11">
        <f>'[1]input data'!E446</f>
        <v>32.5</v>
      </c>
      <c r="K21" s="11">
        <f>'[1]input data'!E447</f>
        <v>30.3</v>
      </c>
      <c r="L21" s="11">
        <f>'[1]input data'!E448</f>
        <v>28.7</v>
      </c>
      <c r="M21" s="11">
        <f>'[1]input data'!E449</f>
        <v>26.9</v>
      </c>
      <c r="N21" s="11">
        <f>'[1]input data'!E450</f>
        <v>25.1</v>
      </c>
      <c r="O21" s="12">
        <f t="shared" si="5"/>
        <v>33.700000000000003</v>
      </c>
      <c r="P21" s="13">
        <f t="shared" si="0"/>
        <v>25.1</v>
      </c>
      <c r="Q21" s="16">
        <f t="shared" si="6"/>
        <v>30.26923076923077</v>
      </c>
      <c r="T21" s="15">
        <v>13</v>
      </c>
      <c r="U21" s="11">
        <f>INDEX('[1]input data'!$F$1:$F$1108,U70,1)</f>
        <v>24.8</v>
      </c>
      <c r="V21" s="11">
        <f>INDEX('[1]input data'!$F$1:$F$1108,V70,1)</f>
        <v>25.4</v>
      </c>
      <c r="W21" s="11">
        <f>INDEX('[1]input data'!$F$1:$F$1108,W70,1)</f>
        <v>25.6</v>
      </c>
      <c r="X21" s="11">
        <f>INDEX('[1]input data'!$F$1:$F$1108,X70,1)</f>
        <v>26</v>
      </c>
      <c r="Y21" s="11">
        <f>INDEX('[1]input data'!$F$1:$F$1108,Y70,1)</f>
        <v>25.6</v>
      </c>
      <c r="Z21" s="11">
        <f>INDEX('[1]input data'!$F$1:$F$1108,Z70,1)</f>
        <v>26.4</v>
      </c>
      <c r="AA21" s="11">
        <f>INDEX('[1]input data'!$F$1:$F$1108,AA70,1)</f>
        <v>25.6</v>
      </c>
      <c r="AB21" s="11">
        <f>INDEX('[1]input data'!$F$1:$F$1108,AB70,1)</f>
        <v>26.7</v>
      </c>
      <c r="AC21" s="11">
        <f>INDEX('[1]input data'!$F$1:$F$1108,AC70,1)</f>
        <v>27.6</v>
      </c>
      <c r="AD21" s="11">
        <f>INDEX('[1]input data'!$F$1:$F$1108,AD70,1)</f>
        <v>26.4</v>
      </c>
      <c r="AE21" s="11">
        <f>INDEX('[1]input data'!$F$1:$F$1108,AE70,1)</f>
        <v>25.9</v>
      </c>
      <c r="AF21" s="11">
        <f>INDEX('[1]input data'!$F$1:$F$1108,AF70,1)</f>
        <v>24.4</v>
      </c>
      <c r="AG21" s="11">
        <f>INDEX('[1]input data'!$F$1:$F$1108,AG70,1)</f>
        <v>24.2</v>
      </c>
      <c r="AH21" s="12">
        <f t="shared" si="1"/>
        <v>27.6</v>
      </c>
      <c r="AI21" s="13">
        <f t="shared" si="2"/>
        <v>24.2</v>
      </c>
      <c r="AJ21" s="16">
        <f t="shared" si="7"/>
        <v>25.738461538461532</v>
      </c>
      <c r="AM21" s="15">
        <v>13</v>
      </c>
      <c r="AN21" s="11">
        <f>INDEX('[1]input data'!$G$1:$G$1108,AO70,1)</f>
        <v>23.333825326586801</v>
      </c>
      <c r="AO21" s="11">
        <f>INDEX('[1]input data'!$G$1:$G$1108,AP70,1)</f>
        <v>23.844597001278153</v>
      </c>
      <c r="AP21" s="11">
        <f>INDEX('[1]input data'!$G$1:$G$1108,AQ70,1)</f>
        <v>23.705216804198258</v>
      </c>
      <c r="AQ21" s="11">
        <f>INDEX('[1]input data'!$G$1:$G$1108,AR70,1)</f>
        <v>23.79046980665996</v>
      </c>
      <c r="AR21" s="11">
        <f>INDEX('[1]input data'!$G$1:$G$1108,AS70,1)</f>
        <v>22.598357875156712</v>
      </c>
      <c r="AS21" s="11">
        <f>INDEX('[1]input data'!$G$1:$G$1108,AT70,1)</f>
        <v>23.435416767588233</v>
      </c>
      <c r="AT21" s="11">
        <f>INDEX('[1]input data'!$G$1:$G$1108,AU70,1)</f>
        <v>22.019622968133277</v>
      </c>
      <c r="AU21" s="11">
        <f>INDEX('[1]input data'!$G$1:$G$1108,AV70,1)</f>
        <v>23.693699079421691</v>
      </c>
      <c r="AV21" s="11">
        <f>INDEX('[1]input data'!$G$1:$G$1108,AW70,1)</f>
        <v>25.607350669558613</v>
      </c>
      <c r="AW21" s="11">
        <f>INDEX('[1]input data'!$G$1:$G$1108,AX70,1)</f>
        <v>24.709697383998805</v>
      </c>
      <c r="AX21" s="11">
        <f>INDEX('[1]input data'!$G$1:$G$1108,AY70,1)</f>
        <v>24.64113164449801</v>
      </c>
      <c r="AY21" s="11">
        <f>INDEX('[1]input data'!$G$1:$G$1108,AZ70,1)</f>
        <v>23.182038337621304</v>
      </c>
      <c r="AZ21" s="11">
        <f>INDEX('[1]input data'!$G$1:$G$1108,BA70,1)</f>
        <v>23.700631898461467</v>
      </c>
      <c r="BA21" s="12">
        <f t="shared" si="3"/>
        <v>25.607350669558613</v>
      </c>
      <c r="BB21" s="13">
        <f t="shared" si="4"/>
        <v>22.019622968133277</v>
      </c>
      <c r="BC21" s="16">
        <f t="shared" si="8"/>
        <v>23.712465812550871</v>
      </c>
    </row>
    <row r="22" spans="1:55" ht="14.25" customHeight="1" x14ac:dyDescent="0.25">
      <c r="A22" s="15">
        <v>14</v>
      </c>
      <c r="B22" s="11">
        <f>'[1]input data'!E474</f>
        <v>26.3</v>
      </c>
      <c r="C22" s="11">
        <f>'[1]input data'!E475</f>
        <v>28.2</v>
      </c>
      <c r="D22" s="11">
        <f>'[1]input data'!E476</f>
        <v>29.6</v>
      </c>
      <c r="E22" s="11">
        <f>'[1]input data'!E477</f>
        <v>30.8</v>
      </c>
      <c r="F22" s="11">
        <f>'[1]input data'!E478</f>
        <v>31.4</v>
      </c>
      <c r="G22" s="11">
        <f>'[1]input data'!E479</f>
        <v>31.2</v>
      </c>
      <c r="H22" s="11">
        <f>'[1]input data'!E480</f>
        <v>30.4</v>
      </c>
      <c r="I22" s="11">
        <f>'[1]input data'!E481</f>
        <v>30.3</v>
      </c>
      <c r="J22" s="11">
        <f>'[1]input data'!E482</f>
        <v>29.4</v>
      </c>
      <c r="K22" s="11">
        <f>'[1]input data'!E483</f>
        <v>28.8</v>
      </c>
      <c r="L22" s="11">
        <f>'[1]input data'!E484</f>
        <v>28</v>
      </c>
      <c r="M22" s="11">
        <f>'[1]input data'!E485</f>
        <v>27.5</v>
      </c>
      <c r="N22" s="11">
        <f>'[1]input data'!E486</f>
        <v>25.9</v>
      </c>
      <c r="O22" s="12">
        <f t="shared" si="5"/>
        <v>31.4</v>
      </c>
      <c r="P22" s="13">
        <f t="shared" si="0"/>
        <v>25.9</v>
      </c>
      <c r="Q22" s="16">
        <f t="shared" si="6"/>
        <v>29.061538461538458</v>
      </c>
      <c r="T22" s="15">
        <v>14</v>
      </c>
      <c r="U22" s="11">
        <f>INDEX('[1]input data'!$F$1:$F$1108,U71,1)</f>
        <v>24.9</v>
      </c>
      <c r="V22" s="11">
        <f>INDEX('[1]input data'!$F$1:$F$1108,V71,1)</f>
        <v>25.6</v>
      </c>
      <c r="W22" s="11">
        <f>INDEX('[1]input data'!$F$1:$F$1108,W71,1)</f>
        <v>25.6</v>
      </c>
      <c r="X22" s="11">
        <f>INDEX('[1]input data'!$F$1:$F$1108,X71,1)</f>
        <v>26.2</v>
      </c>
      <c r="Y22" s="11">
        <f>INDEX('[1]input data'!$F$1:$F$1108,Y71,1)</f>
        <v>26.2</v>
      </c>
      <c r="Z22" s="11">
        <f>INDEX('[1]input data'!$F$1:$F$1108,Z71,1)</f>
        <v>26.6</v>
      </c>
      <c r="AA22" s="11">
        <f>INDEX('[1]input data'!$F$1:$F$1108,AA71,1)</f>
        <v>26.6</v>
      </c>
      <c r="AB22" s="11">
        <f>INDEX('[1]input data'!$F$1:$F$1108,AB71,1)</f>
        <v>26.7</v>
      </c>
      <c r="AC22" s="11">
        <f>INDEX('[1]input data'!$F$1:$F$1108,AC71,1)</f>
        <v>25.9</v>
      </c>
      <c r="AD22" s="11">
        <f>INDEX('[1]input data'!$F$1:$F$1108,AD71,1)</f>
        <v>26</v>
      </c>
      <c r="AE22" s="11">
        <f>INDEX('[1]input data'!$F$1:$F$1108,AE71,1)</f>
        <v>26.1</v>
      </c>
      <c r="AF22" s="11">
        <f>INDEX('[1]input data'!$F$1:$F$1108,AF71,1)</f>
        <v>25.9</v>
      </c>
      <c r="AG22" s="11">
        <f>INDEX('[1]input data'!$F$1:$F$1108,AG71,1)</f>
        <v>24.4</v>
      </c>
      <c r="AH22" s="12">
        <f t="shared" si="1"/>
        <v>26.7</v>
      </c>
      <c r="AI22" s="13">
        <f t="shared" si="2"/>
        <v>24.4</v>
      </c>
      <c r="AJ22" s="16">
        <f t="shared" si="7"/>
        <v>25.899999999999995</v>
      </c>
      <c r="AM22" s="15">
        <v>14</v>
      </c>
      <c r="AN22" s="11">
        <f>INDEX('[1]input data'!$G$1:$G$1108,AO71,1)</f>
        <v>24.198189002149082</v>
      </c>
      <c r="AO22" s="11">
        <f>INDEX('[1]input data'!$G$1:$G$1108,AP71,1)</f>
        <v>24.408876700109047</v>
      </c>
      <c r="AP22" s="11">
        <f>INDEX('[1]input data'!$G$1:$G$1108,AQ71,1)</f>
        <v>23.79460686035754</v>
      </c>
      <c r="AQ22" s="11">
        <f>INDEX('[1]input data'!$G$1:$G$1108,AR71,1)</f>
        <v>24.189061302754549</v>
      </c>
      <c r="AR22" s="11">
        <f>INDEX('[1]input data'!$G$1:$G$1108,AS71,1)</f>
        <v>23.925167750037577</v>
      </c>
      <c r="AS22" s="11">
        <f>INDEX('[1]input data'!$G$1:$G$1108,AT71,1)</f>
        <v>24.630271718829672</v>
      </c>
      <c r="AT22" s="11">
        <f>INDEX('[1]input data'!$G$1:$G$1108,AU71,1)</f>
        <v>24.968756966854531</v>
      </c>
      <c r="AU22" s="11">
        <f>INDEX('[1]input data'!$G$1:$G$1108,AV71,1)</f>
        <v>25.160206290236239</v>
      </c>
      <c r="AV22" s="11">
        <f>INDEX('[1]input data'!$G$1:$G$1108,AW71,1)</f>
        <v>24.340163865376375</v>
      </c>
      <c r="AW22" s="11">
        <f>INDEX('[1]input data'!$G$1:$G$1108,AX71,1)</f>
        <v>24.747322007330105</v>
      </c>
      <c r="AX22" s="11">
        <f>INDEX('[1]input data'!$G$1:$G$1108,AY71,1)</f>
        <v>25.229491330090035</v>
      </c>
      <c r="AY22" s="11">
        <f>INDEX('[1]input data'!$G$1:$G$1108,AZ71,1)</f>
        <v>25.146342719618296</v>
      </c>
      <c r="AZ22" s="11">
        <f>INDEX('[1]input data'!$G$1:$G$1108,BA71,1)</f>
        <v>23.637014841394823</v>
      </c>
      <c r="BA22" s="12">
        <f t="shared" si="3"/>
        <v>25.229491330090035</v>
      </c>
      <c r="BB22" s="13">
        <f t="shared" si="4"/>
        <v>23.637014841394823</v>
      </c>
      <c r="BC22" s="16">
        <f t="shared" si="8"/>
        <v>24.490420873472143</v>
      </c>
    </row>
    <row r="23" spans="1:55" ht="14.25" customHeight="1" x14ac:dyDescent="0.25">
      <c r="A23" s="15">
        <v>15</v>
      </c>
      <c r="B23" s="11">
        <f>'[1]input data'!E510</f>
        <v>25.8</v>
      </c>
      <c r="C23" s="11">
        <f>'[1]input data'!E511</f>
        <v>28.6</v>
      </c>
      <c r="D23" s="11">
        <f>'[1]input data'!E512</f>
        <v>28.8</v>
      </c>
      <c r="E23" s="11">
        <f>'[1]input data'!E513</f>
        <v>29.8</v>
      </c>
      <c r="F23" s="11">
        <f>'[1]input data'!E514</f>
        <v>30.8</v>
      </c>
      <c r="G23" s="11">
        <f>'[1]input data'!E515</f>
        <v>31.4</v>
      </c>
      <c r="H23" s="11">
        <f>'[1]input data'!E516</f>
        <v>31.2</v>
      </c>
      <c r="I23" s="11">
        <f>'[1]input data'!E517</f>
        <v>31.9</v>
      </c>
      <c r="J23" s="11">
        <f>'[1]input data'!E518</f>
        <v>31.4</v>
      </c>
      <c r="K23" s="11">
        <f>'[1]input data'!E519</f>
        <v>30.7</v>
      </c>
      <c r="L23" s="11">
        <f>'[1]input data'!E520</f>
        <v>29</v>
      </c>
      <c r="M23" s="11">
        <f>'[1]input data'!E521</f>
        <v>27.8</v>
      </c>
      <c r="N23" s="11">
        <f>'[1]input data'!E522</f>
        <v>27</v>
      </c>
      <c r="O23" s="12">
        <f t="shared" si="5"/>
        <v>31.9</v>
      </c>
      <c r="P23" s="13">
        <f t="shared" si="0"/>
        <v>25.8</v>
      </c>
      <c r="Q23" s="16">
        <f t="shared" si="6"/>
        <v>29.553846153846152</v>
      </c>
      <c r="T23" s="15">
        <v>15</v>
      </c>
      <c r="U23" s="11">
        <f>INDEX('[1]input data'!$F$1:$F$1108,U72,1)</f>
        <v>25</v>
      </c>
      <c r="V23" s="11">
        <f>INDEX('[1]input data'!$F$1:$F$1108,V72,1)</f>
        <v>25.6</v>
      </c>
      <c r="W23" s="11">
        <f>INDEX('[1]input data'!$F$1:$F$1108,W72,1)</f>
        <v>25.6</v>
      </c>
      <c r="X23" s="11">
        <f>INDEX('[1]input data'!$F$1:$F$1108,X72,1)</f>
        <v>26</v>
      </c>
      <c r="Y23" s="11">
        <f>INDEX('[1]input data'!$F$1:$F$1108,Y72,1)</f>
        <v>26.2</v>
      </c>
      <c r="Z23" s="11">
        <f>INDEX('[1]input data'!$F$1:$F$1108,Z72,1)</f>
        <v>26.4</v>
      </c>
      <c r="AA23" s="11">
        <f>INDEX('[1]input data'!$F$1:$F$1108,AA72,1)</f>
        <v>26.6</v>
      </c>
      <c r="AB23" s="11">
        <f>INDEX('[1]input data'!$F$1:$F$1108,AB72,1)</f>
        <v>26.6</v>
      </c>
      <c r="AC23" s="11">
        <f>INDEX('[1]input data'!$F$1:$F$1108,AC72,1)</f>
        <v>26.7</v>
      </c>
      <c r="AD23" s="11">
        <f>INDEX('[1]input data'!$F$1:$F$1108,AD72,1)</f>
        <v>26.5</v>
      </c>
      <c r="AE23" s="11">
        <f>INDEX('[1]input data'!$F$1:$F$1108,AE72,1)</f>
        <v>26</v>
      </c>
      <c r="AF23" s="11">
        <f>INDEX('[1]input data'!$F$1:$F$1108,AF72,1)</f>
        <v>25.7</v>
      </c>
      <c r="AG23" s="11">
        <f>INDEX('[1]input data'!$F$1:$F$1108,AG72,1)</f>
        <v>25.5</v>
      </c>
      <c r="AH23" s="12">
        <f t="shared" si="1"/>
        <v>26.7</v>
      </c>
      <c r="AI23" s="13">
        <f t="shared" si="2"/>
        <v>25</v>
      </c>
      <c r="AJ23" s="16">
        <f t="shared" si="7"/>
        <v>26.030769230769231</v>
      </c>
      <c r="AM23" s="15">
        <v>15</v>
      </c>
      <c r="AN23" s="11">
        <f>INDEX('[1]input data'!$G$1:$G$1108,AO72,1)</f>
        <v>24.560147509721816</v>
      </c>
      <c r="AO23" s="11">
        <f>INDEX('[1]input data'!$G$1:$G$1108,AP72,1)</f>
        <v>24.235377202799327</v>
      </c>
      <c r="AP23" s="11">
        <f>INDEX('[1]input data'!$G$1:$G$1108,AQ72,1)</f>
        <v>24.148033521051371</v>
      </c>
      <c r="AQ23" s="11">
        <f>INDEX('[1]input data'!$G$1:$G$1108,AR72,1)</f>
        <v>24.318314056671813</v>
      </c>
      <c r="AR23" s="11">
        <f>INDEX('[1]input data'!$G$1:$G$1108,AS72,1)</f>
        <v>24.189061302754549</v>
      </c>
      <c r="AS23" s="11">
        <f>INDEX('[1]input data'!$G$1:$G$1108,AT72,1)</f>
        <v>24.236301083473421</v>
      </c>
      <c r="AT23" s="11">
        <f>INDEX('[1]input data'!$G$1:$G$1108,AU72,1)</f>
        <v>24.630271718829672</v>
      </c>
      <c r="AU23" s="11">
        <f>INDEX('[1]input data'!$G$1:$G$1108,AV72,1)</f>
        <v>24.329116579319134</v>
      </c>
      <c r="AV23" s="11">
        <f>INDEX('[1]input data'!$G$1:$G$1108,AW72,1)</f>
        <v>24.697917291160945</v>
      </c>
      <c r="AW23" s="11">
        <f>INDEX('[1]input data'!$G$1:$G$1108,AX72,1)</f>
        <v>24.691032592362863</v>
      </c>
      <c r="AX23" s="11">
        <f>INDEX('[1]input data'!$G$1:$G$1108,AY72,1)</f>
        <v>24.662285046101083</v>
      </c>
      <c r="AY23" s="11">
        <f>INDEX('[1]input data'!$G$1:$G$1108,AZ72,1)</f>
        <v>24.728220795775393</v>
      </c>
      <c r="AZ23" s="11">
        <f>INDEX('[1]input data'!$G$1:$G$1108,BA72,1)</f>
        <v>24.774748992986638</v>
      </c>
      <c r="BA23" s="12">
        <f t="shared" si="3"/>
        <v>24.774748992986638</v>
      </c>
      <c r="BB23" s="13">
        <f t="shared" si="4"/>
        <v>24.148033521051371</v>
      </c>
      <c r="BC23" s="16">
        <f t="shared" si="8"/>
        <v>24.476986745616003</v>
      </c>
    </row>
    <row r="24" spans="1:55" ht="14.25" customHeight="1" x14ac:dyDescent="0.25">
      <c r="A24" s="15">
        <v>16</v>
      </c>
      <c r="B24" s="11">
        <f>'[1]input data'!E546</f>
        <v>25.5</v>
      </c>
      <c r="C24" s="11">
        <f>'[1]input data'!E547</f>
        <v>27.2</v>
      </c>
      <c r="D24" s="11">
        <f>'[1]input data'!E548</f>
        <v>28.6</v>
      </c>
      <c r="E24" s="11">
        <f>'[1]input data'!E549</f>
        <v>29.3</v>
      </c>
      <c r="F24" s="11">
        <f>'[1]input data'!E550</f>
        <v>30.6</v>
      </c>
      <c r="G24" s="11">
        <f>'[1]input data'!E551</f>
        <v>30.9</v>
      </c>
      <c r="H24" s="11">
        <f>'[1]input data'!E552</f>
        <v>31</v>
      </c>
      <c r="I24" s="11">
        <f>'[1]input data'!E553</f>
        <v>31.4</v>
      </c>
      <c r="J24" s="11">
        <f>'[1]input data'!E554</f>
        <v>30.8</v>
      </c>
      <c r="K24" s="11">
        <f>'[1]input data'!E555</f>
        <v>30.4</v>
      </c>
      <c r="L24" s="11">
        <f>'[1]input data'!E556</f>
        <v>29</v>
      </c>
      <c r="M24" s="11">
        <f>'[1]input data'!E557</f>
        <v>28</v>
      </c>
      <c r="N24" s="11">
        <f>'[1]input data'!E558</f>
        <v>26.4</v>
      </c>
      <c r="O24" s="12">
        <f t="shared" si="5"/>
        <v>31.4</v>
      </c>
      <c r="P24" s="13">
        <f t="shared" si="0"/>
        <v>25.5</v>
      </c>
      <c r="Q24" s="16">
        <f t="shared" si="6"/>
        <v>29.161538461538459</v>
      </c>
      <c r="T24" s="15">
        <v>16</v>
      </c>
      <c r="U24" s="11">
        <f>INDEX('[1]input data'!$F$1:$F$1108,U73,1)</f>
        <v>24.7</v>
      </c>
      <c r="V24" s="11">
        <f>INDEX('[1]input data'!$F$1:$F$1108,V73,1)</f>
        <v>24.8</v>
      </c>
      <c r="W24" s="11">
        <f>INDEX('[1]input data'!$F$1:$F$1108,W73,1)</f>
        <v>25.6</v>
      </c>
      <c r="X24" s="11">
        <f>INDEX('[1]input data'!$F$1:$F$1108,X73,1)</f>
        <v>25.6</v>
      </c>
      <c r="Y24" s="11">
        <f>INDEX('[1]input data'!$F$1:$F$1108,Y73,1)</f>
        <v>25.9</v>
      </c>
      <c r="Z24" s="11">
        <f>INDEX('[1]input data'!$F$1:$F$1108,Z73,1)</f>
        <v>26.2</v>
      </c>
      <c r="AA24" s="11">
        <f>INDEX('[1]input data'!$F$1:$F$1108,AA73,1)</f>
        <v>25.4</v>
      </c>
      <c r="AB24" s="11">
        <f>INDEX('[1]input data'!$F$1:$F$1108,AB73,1)</f>
        <v>25.4</v>
      </c>
      <c r="AC24" s="11">
        <f>INDEX('[1]input data'!$F$1:$F$1108,AC73,1)</f>
        <v>25.4</v>
      </c>
      <c r="AD24" s="11">
        <f>INDEX('[1]input data'!$F$1:$F$1108,AD73,1)</f>
        <v>25.4</v>
      </c>
      <c r="AE24" s="11">
        <f>INDEX('[1]input data'!$F$1:$F$1108,AE73,1)</f>
        <v>25</v>
      </c>
      <c r="AF24" s="11">
        <f>INDEX('[1]input data'!$F$1:$F$1108,AF73,1)</f>
        <v>24.8</v>
      </c>
      <c r="AG24" s="11">
        <f>INDEX('[1]input data'!$F$1:$F$1108,AG73,1)</f>
        <v>24.6</v>
      </c>
      <c r="AH24" s="12">
        <f t="shared" si="1"/>
        <v>26.2</v>
      </c>
      <c r="AI24" s="13">
        <f t="shared" si="2"/>
        <v>24.6</v>
      </c>
      <c r="AJ24" s="16">
        <f t="shared" si="7"/>
        <v>25.292307692307695</v>
      </c>
      <c r="AM24" s="15">
        <v>16</v>
      </c>
      <c r="AN24" s="11">
        <f>INDEX('[1]input data'!$G$1:$G$1108,AO73,1)</f>
        <v>24.254694955421652</v>
      </c>
      <c r="AO24" s="11">
        <f>INDEX('[1]input data'!$G$1:$G$1108,AP73,1)</f>
        <v>23.650934676208223</v>
      </c>
      <c r="AP24" s="11">
        <f>INDEX('[1]input data'!$G$1:$G$1108,AQ73,1)</f>
        <v>24.235377202799327</v>
      </c>
      <c r="AQ24" s="11">
        <f>INDEX('[1]input data'!$G$1:$G$1108,AR73,1)</f>
        <v>23.927910438437131</v>
      </c>
      <c r="AR24" s="11">
        <f>INDEX('[1]input data'!$G$1:$G$1108,AS73,1)</f>
        <v>23.812935555911132</v>
      </c>
      <c r="AS24" s="11">
        <f>INDEX('[1]input data'!$G$1:$G$1108,AT73,1)</f>
        <v>24.145331528903299</v>
      </c>
      <c r="AT24" s="11">
        <f>INDEX('[1]input data'!$G$1:$G$1108,AU73,1)</f>
        <v>22.840111988888175</v>
      </c>
      <c r="AU24" s="11">
        <f>INDEX('[1]input data'!$G$1:$G$1108,AV73,1)</f>
        <v>22.65161537539289</v>
      </c>
      <c r="AV24" s="11">
        <f>INDEX('[1]input data'!$G$1:$G$1108,AW73,1)</f>
        <v>22.933659924886598</v>
      </c>
      <c r="AW24" s="11">
        <f>INDEX('[1]input data'!$G$1:$G$1108,AX73,1)</f>
        <v>23.119379698708254</v>
      </c>
      <c r="AX24" s="11">
        <f>INDEX('[1]input data'!$G$1:$G$1108,AY73,1)</f>
        <v>23.13765699199967</v>
      </c>
      <c r="AY24" s="11">
        <f>INDEX('[1]input data'!$G$1:$G$1108,AZ73,1)</f>
        <v>23.28808865472617</v>
      </c>
      <c r="AZ24" s="11">
        <f>INDEX('[1]input data'!$G$1:$G$1108,BA73,1)</f>
        <v>23.710183186275557</v>
      </c>
      <c r="BA24" s="12">
        <f t="shared" si="3"/>
        <v>24.254694955421652</v>
      </c>
      <c r="BB24" s="13">
        <f t="shared" si="4"/>
        <v>22.65161537539289</v>
      </c>
      <c r="BC24" s="16">
        <f t="shared" si="8"/>
        <v>23.515990782966007</v>
      </c>
    </row>
    <row r="25" spans="1:55" ht="14.25" customHeight="1" x14ac:dyDescent="0.25">
      <c r="A25" s="15">
        <v>17</v>
      </c>
      <c r="B25" s="11">
        <f>'[1]input data'!E582</f>
        <v>25.2</v>
      </c>
      <c r="C25" s="11">
        <f>'[1]input data'!E583</f>
        <v>26.8</v>
      </c>
      <c r="D25" s="11">
        <f>'[1]input data'!E584</f>
        <v>28.4</v>
      </c>
      <c r="E25" s="11">
        <f>'[1]input data'!E585</f>
        <v>29.3</v>
      </c>
      <c r="F25" s="11">
        <f>'[1]input data'!E586</f>
        <v>30.2</v>
      </c>
      <c r="G25" s="11">
        <f>'[1]input data'!E587</f>
        <v>30.7</v>
      </c>
      <c r="H25" s="11">
        <f>'[1]input data'!E588</f>
        <v>30.7</v>
      </c>
      <c r="I25" s="11">
        <f>'[1]input data'!E589</f>
        <v>31.3</v>
      </c>
      <c r="J25" s="11">
        <f>'[1]input data'!E590</f>
        <v>31.3</v>
      </c>
      <c r="K25" s="11">
        <f>'[1]input data'!E591</f>
        <v>30.3</v>
      </c>
      <c r="L25" s="11">
        <f>'[1]input data'!E592</f>
        <v>28.5</v>
      </c>
      <c r="M25" s="11">
        <f>'[1]input data'!E593</f>
        <v>27.1</v>
      </c>
      <c r="N25" s="11">
        <f>'[1]input data'!E594</f>
        <v>26.5</v>
      </c>
      <c r="O25" s="12">
        <f t="shared" si="5"/>
        <v>31.3</v>
      </c>
      <c r="P25" s="13">
        <f t="shared" si="0"/>
        <v>25.2</v>
      </c>
      <c r="Q25" s="16">
        <f t="shared" si="6"/>
        <v>28.946153846153848</v>
      </c>
      <c r="T25" s="15">
        <v>17</v>
      </c>
      <c r="U25" s="11">
        <f>INDEX('[1]input data'!$F$1:$F$1108,U74,1)</f>
        <v>23.8</v>
      </c>
      <c r="V25" s="11">
        <f>INDEX('[1]input data'!$F$1:$F$1108,V74,1)</f>
        <v>24.6</v>
      </c>
      <c r="W25" s="11">
        <f>INDEX('[1]input data'!$F$1:$F$1108,W74,1)</f>
        <v>24.4</v>
      </c>
      <c r="X25" s="11">
        <f>INDEX('[1]input data'!$F$1:$F$1108,X74,1)</f>
        <v>24.6</v>
      </c>
      <c r="Y25" s="11">
        <f>INDEX('[1]input data'!$F$1:$F$1108,Y74,1)</f>
        <v>24.9</v>
      </c>
      <c r="Z25" s="11">
        <f>INDEX('[1]input data'!$F$1:$F$1108,Z74,1)</f>
        <v>25.1</v>
      </c>
      <c r="AA25" s="11">
        <f>INDEX('[1]input data'!$F$1:$F$1108,AA74,1)</f>
        <v>25.4</v>
      </c>
      <c r="AB25" s="11">
        <f>INDEX('[1]input data'!$F$1:$F$1108,AB74,1)</f>
        <v>25.4</v>
      </c>
      <c r="AC25" s="11">
        <f>INDEX('[1]input data'!$F$1:$F$1108,AC74,1)</f>
        <v>25.8</v>
      </c>
      <c r="AD25" s="11">
        <f>INDEX('[1]input data'!$F$1:$F$1108,AD74,1)</f>
        <v>25.6</v>
      </c>
      <c r="AE25" s="11">
        <f>INDEX('[1]input data'!$F$1:$F$1108,AE74,1)</f>
        <v>25.1</v>
      </c>
      <c r="AF25" s="11">
        <f>INDEX('[1]input data'!$F$1:$F$1108,AF74,1)</f>
        <v>24.7</v>
      </c>
      <c r="AG25" s="11">
        <f>INDEX('[1]input data'!$F$1:$F$1108,AG74,1)</f>
        <v>24.6</v>
      </c>
      <c r="AH25" s="12">
        <f t="shared" si="1"/>
        <v>25.8</v>
      </c>
      <c r="AI25" s="13">
        <f t="shared" si="2"/>
        <v>23.8</v>
      </c>
      <c r="AJ25" s="16">
        <f t="shared" si="7"/>
        <v>24.923076923076927</v>
      </c>
      <c r="AM25" s="15">
        <v>17</v>
      </c>
      <c r="AN25" s="11">
        <f>INDEX('[1]input data'!$G$1:$G$1108,AO74,1)</f>
        <v>23.061719670002304</v>
      </c>
      <c r="AO25" s="11">
        <f>INDEX('[1]input data'!$G$1:$G$1108,AP74,1)</f>
        <v>23.530193147412959</v>
      </c>
      <c r="AP25" s="11">
        <f>INDEX('[1]input data'!$G$1:$G$1108,AQ74,1)</f>
        <v>22.478402908283279</v>
      </c>
      <c r="AQ25" s="11">
        <f>INDEX('[1]input data'!$G$1:$G$1108,AR74,1)</f>
        <v>22.364801778753755</v>
      </c>
      <c r="AR25" s="11">
        <f>INDEX('[1]input data'!$G$1:$G$1108,AS74,1)</f>
        <v>22.4145725316748</v>
      </c>
      <c r="AS25" s="11">
        <f>INDEX('[1]input data'!$G$1:$G$1108,AT74,1)</f>
        <v>22.49842270121508</v>
      </c>
      <c r="AT25" s="11">
        <f>INDEX('[1]input data'!$G$1:$G$1108,AU74,1)</f>
        <v>22.980260969641254</v>
      </c>
      <c r="AU25" s="11">
        <f>INDEX('[1]input data'!$G$1:$G$1108,AV74,1)</f>
        <v>22.698916190220046</v>
      </c>
      <c r="AV25" s="11">
        <f>INDEX('[1]input data'!$G$1:$G$1108,AW74,1)</f>
        <v>23.340104664535794</v>
      </c>
      <c r="AW25" s="11">
        <f>INDEX('[1]input data'!$G$1:$G$1108,AX74,1)</f>
        <v>23.479887102847229</v>
      </c>
      <c r="AX25" s="11">
        <f>INDEX('[1]input data'!$G$1:$G$1108,AY74,1)</f>
        <v>23.520675391405934</v>
      </c>
      <c r="AY25" s="11">
        <f>INDEX('[1]input data'!$G$1:$G$1108,AZ74,1)</f>
        <v>23.545262944402548</v>
      </c>
      <c r="AZ25" s="11">
        <f>INDEX('[1]input data'!$G$1:$G$1108,BA74,1)</f>
        <v>23.665345072616162</v>
      </c>
      <c r="BA25" s="12">
        <f t="shared" si="3"/>
        <v>23.665345072616162</v>
      </c>
      <c r="BB25" s="13">
        <f t="shared" si="4"/>
        <v>22.364801778753755</v>
      </c>
      <c r="BC25" s="16">
        <f t="shared" si="8"/>
        <v>23.044505005616241</v>
      </c>
    </row>
    <row r="26" spans="1:55" ht="14.25" customHeight="1" x14ac:dyDescent="0.25">
      <c r="A26" s="15">
        <v>18</v>
      </c>
      <c r="B26" s="11">
        <f>'[1]input data'!E618</f>
        <v>25.2</v>
      </c>
      <c r="C26" s="11">
        <f>'[1]input data'!E619</f>
        <v>27.2</v>
      </c>
      <c r="D26" s="11">
        <f>'[1]input data'!E620</f>
        <v>28.6</v>
      </c>
      <c r="E26" s="11">
        <f>'[1]input data'!E621</f>
        <v>30.3</v>
      </c>
      <c r="F26" s="11">
        <f>'[1]input data'!E622</f>
        <v>31</v>
      </c>
      <c r="G26" s="11">
        <f>'[1]input data'!E623</f>
        <v>31.1</v>
      </c>
      <c r="H26" s="11">
        <f>'[1]input data'!E624</f>
        <v>31.5</v>
      </c>
      <c r="I26" s="11">
        <f>'[1]input data'!E625</f>
        <v>31.8</v>
      </c>
      <c r="J26" s="11">
        <f>'[1]input data'!E626</f>
        <v>31</v>
      </c>
      <c r="K26" s="11">
        <f>'[1]input data'!E627</f>
        <v>29.6</v>
      </c>
      <c r="L26" s="11">
        <f>'[1]input data'!E628</f>
        <v>26</v>
      </c>
      <c r="M26" s="11">
        <f>'[1]input data'!E629</f>
        <v>26</v>
      </c>
      <c r="N26" s="11">
        <f>'[1]input data'!E630</f>
        <v>26</v>
      </c>
      <c r="O26" s="12">
        <f t="shared" si="5"/>
        <v>31.8</v>
      </c>
      <c r="P26" s="13">
        <f t="shared" si="0"/>
        <v>25.2</v>
      </c>
      <c r="Q26" s="16">
        <f t="shared" si="6"/>
        <v>28.869230769230775</v>
      </c>
      <c r="T26" s="15">
        <v>18</v>
      </c>
      <c r="U26" s="11">
        <f>INDEX('[1]input data'!$F$1:$F$1108,U75,1)</f>
        <v>23.6</v>
      </c>
      <c r="V26" s="11">
        <f>INDEX('[1]input data'!$F$1:$F$1108,V75,1)</f>
        <v>24.3</v>
      </c>
      <c r="W26" s="11">
        <f>INDEX('[1]input data'!$F$1:$F$1108,W75,1)</f>
        <v>24.7</v>
      </c>
      <c r="X26" s="11">
        <f>INDEX('[1]input data'!$F$1:$F$1108,X75,1)</f>
        <v>25.3</v>
      </c>
      <c r="Y26" s="11">
        <f>INDEX('[1]input data'!$F$1:$F$1108,Y75,1)</f>
        <v>25.4</v>
      </c>
      <c r="Z26" s="11">
        <f>INDEX('[1]input data'!$F$1:$F$1108,Z75,1)</f>
        <v>25.5</v>
      </c>
      <c r="AA26" s="11">
        <f>INDEX('[1]input data'!$F$1:$F$1108,AA75,1)</f>
        <v>25.8</v>
      </c>
      <c r="AB26" s="11">
        <f>INDEX('[1]input data'!$F$1:$F$1108,AB75,1)</f>
        <v>26.2</v>
      </c>
      <c r="AC26" s="11">
        <f>INDEX('[1]input data'!$F$1:$F$1108,AC75,1)</f>
        <v>26</v>
      </c>
      <c r="AD26" s="11">
        <f>INDEX('[1]input data'!$F$1:$F$1108,AD75,1)</f>
        <v>25.4</v>
      </c>
      <c r="AE26" s="11">
        <f>INDEX('[1]input data'!$F$1:$F$1108,AE75,1)</f>
        <v>25</v>
      </c>
      <c r="AF26" s="11">
        <f>INDEX('[1]input data'!$F$1:$F$1108,AF75,1)</f>
        <v>25</v>
      </c>
      <c r="AG26" s="11">
        <f>INDEX('[1]input data'!$F$1:$F$1108,AG75,1)</f>
        <v>25</v>
      </c>
      <c r="AH26" s="12">
        <f t="shared" si="1"/>
        <v>26.2</v>
      </c>
      <c r="AI26" s="13">
        <f t="shared" si="2"/>
        <v>23.6</v>
      </c>
      <c r="AJ26" s="16">
        <f t="shared" si="7"/>
        <v>25.169230769230772</v>
      </c>
      <c r="AM26" s="15">
        <v>18</v>
      </c>
      <c r="AN26" s="11">
        <f>INDEX('[1]input data'!$G$1:$G$1108,AO75,1)</f>
        <v>22.760888764461736</v>
      </c>
      <c r="AO26" s="11">
        <f>INDEX('[1]input data'!$G$1:$G$1108,AP75,1)</f>
        <v>22.889828189285673</v>
      </c>
      <c r="AP26" s="11">
        <f>INDEX('[1]input data'!$G$1:$G$1108,AQ75,1)</f>
        <v>22.855233338708079</v>
      </c>
      <c r="AQ26" s="11">
        <f>INDEX('[1]input data'!$G$1:$G$1108,AR75,1)</f>
        <v>23.007249584663022</v>
      </c>
      <c r="AR26" s="11">
        <f>INDEX('[1]input data'!$G$1:$G$1108,AS75,1)</f>
        <v>22.840111988888175</v>
      </c>
      <c r="AS26" s="11">
        <f>INDEX('[1]input data'!$G$1:$G$1108,AT75,1)</f>
        <v>22.953818578487795</v>
      </c>
      <c r="AT26" s="11">
        <f>INDEX('[1]input data'!$G$1:$G$1108,AU75,1)</f>
        <v>23.248544977175634</v>
      </c>
      <c r="AU26" s="11">
        <f>INDEX('[1]input data'!$G$1:$G$1108,AV75,1)</f>
        <v>23.747188384629677</v>
      </c>
      <c r="AV26" s="11">
        <f>INDEX('[1]input data'!$G$1:$G$1108,AW75,1)</f>
        <v>23.79046980665996</v>
      </c>
      <c r="AW26" s="11">
        <f>INDEX('[1]input data'!$G$1:$G$1108,AX75,1)</f>
        <v>23.485447924589423</v>
      </c>
      <c r="AX26" s="11">
        <f>INDEX('[1]input data'!$G$1:$G$1108,AY75,1)</f>
        <v>24.474280736128826</v>
      </c>
      <c r="AY26" s="11">
        <f>INDEX('[1]input data'!$G$1:$G$1108,AZ75,1)</f>
        <v>24.474280736128826</v>
      </c>
      <c r="AZ26" s="11">
        <f>INDEX('[1]input data'!$G$1:$G$1108,BA75,1)</f>
        <v>24.474280736128826</v>
      </c>
      <c r="BA26" s="12">
        <f t="shared" si="3"/>
        <v>24.474280736128826</v>
      </c>
      <c r="BB26" s="13">
        <f t="shared" si="4"/>
        <v>22.760888764461736</v>
      </c>
      <c r="BC26" s="16">
        <f t="shared" si="8"/>
        <v>23.461663365071974</v>
      </c>
    </row>
    <row r="27" spans="1:55" ht="14.25" customHeight="1" x14ac:dyDescent="0.25">
      <c r="A27" s="15">
        <v>19</v>
      </c>
      <c r="B27" s="11">
        <f>'[1]input data'!E654</f>
        <v>25.8</v>
      </c>
      <c r="C27" s="11">
        <f>'[1]input data'!E655</f>
        <v>27.4</v>
      </c>
      <c r="D27" s="11">
        <f>'[1]input data'!E656</f>
        <v>28</v>
      </c>
      <c r="E27" s="11">
        <f>'[1]input data'!E657</f>
        <v>28.6</v>
      </c>
      <c r="F27" s="11">
        <f>'[1]input data'!E658</f>
        <v>30.5</v>
      </c>
      <c r="G27" s="11">
        <f>'[1]input data'!E659</f>
        <v>31</v>
      </c>
      <c r="H27" s="11">
        <f>'[1]input data'!E660</f>
        <v>31.4</v>
      </c>
      <c r="I27" s="11">
        <f>'[1]input data'!E661</f>
        <v>31.4</v>
      </c>
      <c r="J27" s="11">
        <f>'[1]input data'!E662</f>
        <v>29.8</v>
      </c>
      <c r="K27" s="11">
        <f>'[1]input data'!E663</f>
        <v>26.8</v>
      </c>
      <c r="L27" s="11">
        <f>'[1]input data'!E664</f>
        <v>25.6</v>
      </c>
      <c r="M27" s="11">
        <f>'[1]input data'!E665</f>
        <v>24.5</v>
      </c>
      <c r="N27" s="11">
        <f>'[1]input data'!E666</f>
        <v>24.2</v>
      </c>
      <c r="O27" s="12">
        <f t="shared" si="5"/>
        <v>31.4</v>
      </c>
      <c r="P27" s="13">
        <f t="shared" si="0"/>
        <v>24.2</v>
      </c>
      <c r="Q27" s="16">
        <f t="shared" si="6"/>
        <v>28.07692307692308</v>
      </c>
      <c r="T27" s="15">
        <v>19</v>
      </c>
      <c r="U27" s="11">
        <f>INDEX('[1]input data'!$F$1:$F$1108,U76,1)</f>
        <v>24.6</v>
      </c>
      <c r="V27" s="11">
        <f>INDEX('[1]input data'!$F$1:$F$1108,V76,1)</f>
        <v>24.8</v>
      </c>
      <c r="W27" s="11">
        <f>INDEX('[1]input data'!$F$1:$F$1108,W76,1)</f>
        <v>25</v>
      </c>
      <c r="X27" s="11">
        <f>INDEX('[1]input data'!$F$1:$F$1108,X76,1)</f>
        <v>25.4</v>
      </c>
      <c r="Y27" s="11">
        <f>INDEX('[1]input data'!$F$1:$F$1108,Y76,1)</f>
        <v>26.2</v>
      </c>
      <c r="Z27" s="11">
        <f>INDEX('[1]input data'!$F$1:$F$1108,Z76,1)</f>
        <v>26.4</v>
      </c>
      <c r="AA27" s="11">
        <f>INDEX('[1]input data'!$F$1:$F$1108,AA76,1)</f>
        <v>26.4</v>
      </c>
      <c r="AB27" s="11">
        <f>INDEX('[1]input data'!$F$1:$F$1108,AB76,1)</f>
        <v>27</v>
      </c>
      <c r="AC27" s="11">
        <f>INDEX('[1]input data'!$F$1:$F$1108,AC76,1)</f>
        <v>26.7</v>
      </c>
      <c r="AD27" s="11">
        <f>INDEX('[1]input data'!$F$1:$F$1108,AD76,1)</f>
        <v>24.6</v>
      </c>
      <c r="AE27" s="11">
        <f>INDEX('[1]input data'!$F$1:$F$1108,AE76,1)</f>
        <v>24.2</v>
      </c>
      <c r="AF27" s="11">
        <f>INDEX('[1]input data'!$F$1:$F$1108,AF76,1)</f>
        <v>23.8</v>
      </c>
      <c r="AG27" s="11">
        <f>INDEX('[1]input data'!$F$1:$F$1108,AG76,1)</f>
        <v>23.6</v>
      </c>
      <c r="AH27" s="12">
        <f t="shared" si="1"/>
        <v>27</v>
      </c>
      <c r="AI27" s="13">
        <f t="shared" si="2"/>
        <v>23.6</v>
      </c>
      <c r="AJ27" s="16">
        <f t="shared" si="7"/>
        <v>25.284615384615389</v>
      </c>
      <c r="AM27" s="15">
        <v>19</v>
      </c>
      <c r="AN27" s="11">
        <f>INDEX('[1]input data'!$G$1:$G$1108,AO76,1)</f>
        <v>23.977017614815619</v>
      </c>
      <c r="AO27" s="11">
        <f>INDEX('[1]input data'!$G$1:$G$1108,AP76,1)</f>
        <v>23.560870599375164</v>
      </c>
      <c r="AP27" s="11">
        <f>INDEX('[1]input data'!$G$1:$G$1108,AQ76,1)</f>
        <v>23.593703811444115</v>
      </c>
      <c r="AQ27" s="11">
        <f>INDEX('[1]input data'!$G$1:$G$1108,AR76,1)</f>
        <v>23.933335820614669</v>
      </c>
      <c r="AR27" s="11">
        <f>INDEX('[1]input data'!$G$1:$G$1108,AS76,1)</f>
        <v>24.319653572306294</v>
      </c>
      <c r="AS27" s="11">
        <f>INDEX('[1]input data'!$G$1:$G$1108,AT76,1)</f>
        <v>24.409802115284627</v>
      </c>
      <c r="AT27" s="11">
        <f>INDEX('[1]input data'!$G$1:$G$1108,AU76,1)</f>
        <v>24.236301083473421</v>
      </c>
      <c r="AU27" s="11">
        <f>INDEX('[1]input data'!$G$1:$G$1108,AV76,1)</f>
        <v>25.153674905944097</v>
      </c>
      <c r="AV27" s="11">
        <f>INDEX('[1]input data'!$G$1:$G$1108,AW76,1)</f>
        <v>25.366722390874113</v>
      </c>
      <c r="AW27" s="11">
        <f>INDEX('[1]input data'!$G$1:$G$1108,AX76,1)</f>
        <v>23.530193147412959</v>
      </c>
      <c r="AX27" s="11">
        <f>INDEX('[1]input data'!$G$1:$G$1108,AY76,1)</f>
        <v>23.475269202586603</v>
      </c>
      <c r="AY27" s="11">
        <f>INDEX('[1]input data'!$G$1:$G$1108,AZ76,1)</f>
        <v>23.383347698406446</v>
      </c>
      <c r="AZ27" s="11">
        <f>INDEX('[1]input data'!$G$1:$G$1108,BA76,1)</f>
        <v>23.225937351919136</v>
      </c>
      <c r="BA27" s="12">
        <f t="shared" si="3"/>
        <v>25.366722390874113</v>
      </c>
      <c r="BB27" s="13">
        <f t="shared" si="4"/>
        <v>23.225937351919136</v>
      </c>
      <c r="BC27" s="16">
        <f t="shared" si="8"/>
        <v>24.012756101112096</v>
      </c>
    </row>
    <row r="28" spans="1:55" ht="14.25" customHeight="1" x14ac:dyDescent="0.25">
      <c r="A28" s="15">
        <v>20</v>
      </c>
      <c r="B28" s="11">
        <f>'[1]input data'!E690</f>
        <v>24.6</v>
      </c>
      <c r="C28" s="11">
        <f>'[1]input data'!E691</f>
        <v>26</v>
      </c>
      <c r="D28" s="11">
        <f>'[1]input data'!E692</f>
        <v>26.8</v>
      </c>
      <c r="E28" s="11">
        <f>'[1]input data'!E693</f>
        <v>28.1</v>
      </c>
      <c r="F28" s="11">
        <f>'[1]input data'!E694</f>
        <v>29</v>
      </c>
      <c r="G28" s="11">
        <f>'[1]input data'!E695</f>
        <v>29.8</v>
      </c>
      <c r="H28" s="11">
        <f>'[1]input data'!E696</f>
        <v>30</v>
      </c>
      <c r="I28" s="11">
        <f>'[1]input data'!E697</f>
        <v>29.2</v>
      </c>
      <c r="J28" s="11">
        <f>'[1]input data'!E698</f>
        <v>28.4</v>
      </c>
      <c r="K28" s="11">
        <f>'[1]input data'!E699</f>
        <v>27</v>
      </c>
      <c r="L28" s="11">
        <f>'[1]input data'!E700</f>
        <v>26.3</v>
      </c>
      <c r="M28" s="11">
        <f>'[1]input data'!E701</f>
        <v>25.3</v>
      </c>
      <c r="N28" s="11">
        <f>'[1]input data'!E702</f>
        <v>24</v>
      </c>
      <c r="O28" s="12">
        <f t="shared" si="5"/>
        <v>30</v>
      </c>
      <c r="P28" s="13">
        <f t="shared" si="0"/>
        <v>24</v>
      </c>
      <c r="Q28" s="16">
        <f t="shared" si="6"/>
        <v>27.26923076923077</v>
      </c>
      <c r="T28" s="15">
        <v>20</v>
      </c>
      <c r="U28" s="11">
        <f>INDEX('[1]input data'!$F$1:$F$1108,U77,1)</f>
        <v>23.8</v>
      </c>
      <c r="V28" s="11">
        <f>INDEX('[1]input data'!$F$1:$F$1108,V77,1)</f>
        <v>24.2</v>
      </c>
      <c r="W28" s="11">
        <f>INDEX('[1]input data'!$F$1:$F$1108,W77,1)</f>
        <v>24.8</v>
      </c>
      <c r="X28" s="11">
        <f>INDEX('[1]input data'!$F$1:$F$1108,X77,1)</f>
        <v>25.2</v>
      </c>
      <c r="Y28" s="11">
        <f>INDEX('[1]input data'!$F$1:$F$1108,Y77,1)</f>
        <v>25.6</v>
      </c>
      <c r="Z28" s="11">
        <f>INDEX('[1]input data'!$F$1:$F$1108,Z77,1)</f>
        <v>25.9</v>
      </c>
      <c r="AA28" s="11">
        <f>INDEX('[1]input data'!$F$1:$F$1108,AA77,1)</f>
        <v>26.2</v>
      </c>
      <c r="AB28" s="11">
        <f>INDEX('[1]input data'!$F$1:$F$1108,AB77,1)</f>
        <v>26.4</v>
      </c>
      <c r="AC28" s="11">
        <f>INDEX('[1]input data'!$F$1:$F$1108,AC77,1)</f>
        <v>25.3</v>
      </c>
      <c r="AD28" s="11">
        <f>INDEX('[1]input data'!$F$1:$F$1108,AD77,1)</f>
        <v>25.6</v>
      </c>
      <c r="AE28" s="11">
        <f>INDEX('[1]input data'!$F$1:$F$1108,AE77,1)</f>
        <v>24.8</v>
      </c>
      <c r="AF28" s="11">
        <f>INDEX('[1]input data'!$F$1:$F$1108,AF77,1)</f>
        <v>24.3</v>
      </c>
      <c r="AG28" s="11">
        <f>INDEX('[1]input data'!$F$1:$F$1108,AG77,1)</f>
        <v>22.8</v>
      </c>
      <c r="AH28" s="12">
        <f t="shared" si="1"/>
        <v>26.4</v>
      </c>
      <c r="AI28" s="13">
        <f t="shared" si="2"/>
        <v>22.8</v>
      </c>
      <c r="AJ28" s="16">
        <f t="shared" si="7"/>
        <v>24.992307692307694</v>
      </c>
      <c r="AM28" s="15">
        <v>20</v>
      </c>
      <c r="AN28" s="11">
        <f>INDEX('[1]input data'!$G$1:$G$1108,AO77,1)</f>
        <v>23.337733422817518</v>
      </c>
      <c r="AO28" s="11">
        <f>INDEX('[1]input data'!$G$1:$G$1108,AP77,1)</f>
        <v>23.293034575471221</v>
      </c>
      <c r="AP28" s="11">
        <f>INDEX('[1]input data'!$G$1:$G$1108,AQ77,1)</f>
        <v>23.829794165744062</v>
      </c>
      <c r="AQ28" s="11">
        <f>INDEX('[1]input data'!$G$1:$G$1108,AR77,1)</f>
        <v>23.852279656438707</v>
      </c>
      <c r="AR28" s="11">
        <f>INDEX('[1]input data'!$G$1:$G$1108,AS77,1)</f>
        <v>24.060288665251548</v>
      </c>
      <c r="AS28" s="11">
        <f>INDEX('[1]input data'!$G$1:$G$1108,AT77,1)</f>
        <v>24.166033320489955</v>
      </c>
      <c r="AT28" s="11">
        <f>INDEX('[1]input data'!$G$1:$G$1108,AU77,1)</f>
        <v>24.535346114683474</v>
      </c>
      <c r="AU28" s="11">
        <f>INDEX('[1]input data'!$G$1:$G$1108,AV77,1)</f>
        <v>25.171696448407815</v>
      </c>
      <c r="AV28" s="11">
        <f>INDEX('[1]input data'!$G$1:$G$1108,AW77,1)</f>
        <v>23.870380015471763</v>
      </c>
      <c r="AW28" s="11">
        <f>INDEX('[1]input data'!$G$1:$G$1108,AX77,1)</f>
        <v>24.920143789821459</v>
      </c>
      <c r="AX28" s="11">
        <f>INDEX('[1]input data'!$G$1:$G$1108,AY77,1)</f>
        <v>24.051033335618328</v>
      </c>
      <c r="AY28" s="11">
        <f>INDEX('[1]input data'!$G$1:$G$1108,AZ77,1)</f>
        <v>23.758135538918019</v>
      </c>
      <c r="AZ28" s="11">
        <f>INDEX('[1]input data'!$G$1:$G$1108,BA77,1)</f>
        <v>22.123979043069006</v>
      </c>
      <c r="BA28" s="12">
        <f t="shared" si="3"/>
        <v>25.171696448407815</v>
      </c>
      <c r="BB28" s="13">
        <f t="shared" si="4"/>
        <v>22.123979043069006</v>
      </c>
      <c r="BC28" s="16">
        <f t="shared" si="8"/>
        <v>23.920759853246377</v>
      </c>
    </row>
    <row r="29" spans="1:55" ht="14.25" customHeight="1" x14ac:dyDescent="0.25">
      <c r="A29" s="15">
        <v>21</v>
      </c>
      <c r="B29" s="11">
        <f>'[1]input data'!E726</f>
        <v>24.2</v>
      </c>
      <c r="C29" s="11">
        <f>'[1]input data'!E727</f>
        <v>25</v>
      </c>
      <c r="D29" s="11">
        <f>'[1]input data'!E728</f>
        <v>26.4</v>
      </c>
      <c r="E29" s="11">
        <f>'[1]input data'!E729</f>
        <v>27.7</v>
      </c>
      <c r="F29" s="11">
        <f>'[1]input data'!E730</f>
        <v>28.5</v>
      </c>
      <c r="G29" s="11">
        <f>'[1]input data'!E731</f>
        <v>29.9</v>
      </c>
      <c r="H29" s="11">
        <f>'[1]input data'!E732</f>
        <v>30</v>
      </c>
      <c r="I29" s="11">
        <f>'[1]input data'!E733</f>
        <v>31</v>
      </c>
      <c r="J29" s="11">
        <f>'[1]input data'!E734</f>
        <v>29.6</v>
      </c>
      <c r="K29" s="11">
        <f>'[1]input data'!E735</f>
        <v>28.6</v>
      </c>
      <c r="L29" s="11">
        <f>'[1]input data'!E736</f>
        <v>27.6</v>
      </c>
      <c r="M29" s="11">
        <f>'[1]input data'!E737</f>
        <v>27.4</v>
      </c>
      <c r="N29" s="11">
        <f>'[1]input data'!E738</f>
        <v>26.6</v>
      </c>
      <c r="O29" s="12">
        <f t="shared" si="5"/>
        <v>31</v>
      </c>
      <c r="P29" s="13">
        <f t="shared" si="0"/>
        <v>24.2</v>
      </c>
      <c r="Q29" s="16">
        <f t="shared" si="6"/>
        <v>27.88461538461539</v>
      </c>
      <c r="T29" s="15">
        <v>21</v>
      </c>
      <c r="U29" s="11">
        <f>INDEX('[1]input data'!$F$1:$F$1108,U78,1)</f>
        <v>23.7</v>
      </c>
      <c r="V29" s="11">
        <f>INDEX('[1]input data'!$F$1:$F$1108,V78,1)</f>
        <v>23.8</v>
      </c>
      <c r="W29" s="11">
        <f>INDEX('[1]input data'!$F$1:$F$1108,W78,1)</f>
        <v>24.2</v>
      </c>
      <c r="X29" s="11">
        <f>INDEX('[1]input data'!$F$1:$F$1108,X78,1)</f>
        <v>24.8</v>
      </c>
      <c r="Y29" s="11">
        <f>INDEX('[1]input data'!$F$1:$F$1108,Y78,1)</f>
        <v>25</v>
      </c>
      <c r="Z29" s="11">
        <f>INDEX('[1]input data'!$F$1:$F$1108,Z78,1)</f>
        <v>25.7</v>
      </c>
      <c r="AA29" s="11">
        <f>INDEX('[1]input data'!$F$1:$F$1108,AA78,1)</f>
        <v>25.7</v>
      </c>
      <c r="AB29" s="11">
        <f>INDEX('[1]input data'!$F$1:$F$1108,AB78,1)</f>
        <v>26.8</v>
      </c>
      <c r="AC29" s="11">
        <f>INDEX('[1]input data'!$F$1:$F$1108,AC78,1)</f>
        <v>26.4</v>
      </c>
      <c r="AD29" s="11">
        <f>INDEX('[1]input data'!$F$1:$F$1108,AD78,1)</f>
        <v>26</v>
      </c>
      <c r="AE29" s="11">
        <f>INDEX('[1]input data'!$F$1:$F$1108,AE78,1)</f>
        <v>25.6</v>
      </c>
      <c r="AF29" s="11">
        <f>INDEX('[1]input data'!$F$1:$F$1108,AF78,1)</f>
        <v>25.4</v>
      </c>
      <c r="AG29" s="11">
        <f>INDEX('[1]input data'!$F$1:$F$1108,AG78,1)</f>
        <v>25.2</v>
      </c>
      <c r="AH29" s="12">
        <f t="shared" si="1"/>
        <v>26.8</v>
      </c>
      <c r="AI29" s="13">
        <f t="shared" si="2"/>
        <v>23.7</v>
      </c>
      <c r="AJ29" s="16">
        <f t="shared" si="7"/>
        <v>25.253846153846151</v>
      </c>
      <c r="AM29" s="15">
        <v>21</v>
      </c>
      <c r="AN29" s="11">
        <f>INDEX('[1]input data'!$G$1:$G$1108,AO78,1)</f>
        <v>23.37303815542662</v>
      </c>
      <c r="AO29" s="11">
        <f>INDEX('[1]input data'!$G$1:$G$1108,AP78,1)</f>
        <v>23.154171566343187</v>
      </c>
      <c r="AP29" s="11">
        <f>INDEX('[1]input data'!$G$1:$G$1108,AQ78,1)</f>
        <v>23.109032442757304</v>
      </c>
      <c r="AQ29" s="11">
        <f>INDEX('[1]input data'!$G$1:$G$1108,AR78,1)</f>
        <v>23.424969363752066</v>
      </c>
      <c r="AR29" s="11">
        <f>INDEX('[1]input data'!$G$1:$G$1108,AS78,1)</f>
        <v>23.36704983931029</v>
      </c>
      <c r="AS29" s="11">
        <f>INDEX('[1]input data'!$G$1:$G$1108,AT78,1)</f>
        <v>23.815003930608807</v>
      </c>
      <c r="AT29" s="11">
        <f>INDEX('[1]input data'!$G$1:$G$1108,AU78,1)</f>
        <v>23.770408878818561</v>
      </c>
      <c r="AU29" s="11">
        <f>INDEX('[1]input data'!$G$1:$G$1108,AV78,1)</f>
        <v>25.018536149776651</v>
      </c>
      <c r="AV29" s="11">
        <f>INDEX('[1]input data'!$G$1:$G$1108,AW78,1)</f>
        <v>25.004978210215238</v>
      </c>
      <c r="AW29" s="11">
        <f>INDEX('[1]input data'!$G$1:$G$1108,AX78,1)</f>
        <v>24.831983926545014</v>
      </c>
      <c r="AX29" s="11">
        <f>INDEX('[1]input data'!$G$1:$G$1108,AY78,1)</f>
        <v>24.666213473453418</v>
      </c>
      <c r="AY29" s="11">
        <f>INDEX('[1]input data'!$G$1:$G$1108,AZ78,1)</f>
        <v>24.457278235389033</v>
      </c>
      <c r="AZ29" s="11">
        <f>INDEX('[1]input data'!$G$1:$G$1108,BA78,1)</f>
        <v>24.507713530973501</v>
      </c>
      <c r="BA29" s="12">
        <f t="shared" si="3"/>
        <v>25.018536149776651</v>
      </c>
      <c r="BB29" s="13">
        <f t="shared" si="4"/>
        <v>23.109032442757304</v>
      </c>
      <c r="BC29" s="16">
        <f t="shared" si="8"/>
        <v>24.038490592566898</v>
      </c>
    </row>
    <row r="30" spans="1:55" ht="14.25" customHeight="1" x14ac:dyDescent="0.25">
      <c r="A30" s="15">
        <v>22</v>
      </c>
      <c r="B30" s="11">
        <f>'[1]input data'!E762</f>
        <v>24.2</v>
      </c>
      <c r="C30" s="11">
        <f>'[1]input data'!E763</f>
        <v>25.1</v>
      </c>
      <c r="D30" s="11">
        <f>'[1]input data'!E764</f>
        <v>26.7</v>
      </c>
      <c r="E30" s="11">
        <f>'[1]input data'!E765</f>
        <v>28.4</v>
      </c>
      <c r="F30" s="11">
        <f>'[1]input data'!E766</f>
        <v>29.8</v>
      </c>
      <c r="G30" s="11">
        <f>'[1]input data'!E767</f>
        <v>30.9</v>
      </c>
      <c r="H30" s="11">
        <f>'[1]input data'!E768</f>
        <v>31.6</v>
      </c>
      <c r="I30" s="11">
        <f>'[1]input data'!E769</f>
        <v>31.6</v>
      </c>
      <c r="J30" s="11">
        <f>'[1]input data'!E770</f>
        <v>31</v>
      </c>
      <c r="K30" s="11">
        <f>'[1]input data'!E771</f>
        <v>27.8</v>
      </c>
      <c r="L30" s="11">
        <f>'[1]input data'!E772</f>
        <v>25.4</v>
      </c>
      <c r="M30" s="11">
        <f>'[1]input data'!E773</f>
        <v>25.2</v>
      </c>
      <c r="N30" s="11">
        <f>'[1]input data'!E774</f>
        <v>24.6</v>
      </c>
      <c r="O30" s="12">
        <f t="shared" si="5"/>
        <v>31.6</v>
      </c>
      <c r="P30" s="13">
        <f t="shared" si="0"/>
        <v>24.2</v>
      </c>
      <c r="Q30" s="16">
        <f t="shared" si="6"/>
        <v>27.869230769230771</v>
      </c>
      <c r="T30" s="15">
        <v>22</v>
      </c>
      <c r="U30" s="11">
        <f>INDEX('[1]input data'!$F$1:$F$1108,U79,1)</f>
        <v>23.4</v>
      </c>
      <c r="V30" s="11">
        <f>INDEX('[1]input data'!$F$1:$F$1108,V79,1)</f>
        <v>23.7</v>
      </c>
      <c r="W30" s="11">
        <f>INDEX('[1]input data'!$F$1:$F$1108,W79,1)</f>
        <v>24.5</v>
      </c>
      <c r="X30" s="11">
        <f>INDEX('[1]input data'!$F$1:$F$1108,X79,1)</f>
        <v>24.8</v>
      </c>
      <c r="Y30" s="11">
        <f>INDEX('[1]input data'!$F$1:$F$1108,Y79,1)</f>
        <v>25.6</v>
      </c>
      <c r="Z30" s="11">
        <f>INDEX('[1]input data'!$F$1:$F$1108,Z79,1)</f>
        <v>25.1</v>
      </c>
      <c r="AA30" s="11">
        <f>INDEX('[1]input data'!$F$1:$F$1108,AA79,1)</f>
        <v>25.7</v>
      </c>
      <c r="AB30" s="11">
        <f>INDEX('[1]input data'!$F$1:$F$1108,AB79,1)</f>
        <v>25.4</v>
      </c>
      <c r="AC30" s="11">
        <f>INDEX('[1]input data'!$F$1:$F$1108,AC79,1)</f>
        <v>25</v>
      </c>
      <c r="AD30" s="11">
        <f>INDEX('[1]input data'!$F$1:$F$1108,AD79,1)</f>
        <v>25</v>
      </c>
      <c r="AE30" s="11">
        <f>INDEX('[1]input data'!$F$1:$F$1108,AE79,1)</f>
        <v>23.6</v>
      </c>
      <c r="AF30" s="11">
        <f>INDEX('[1]input data'!$F$1:$F$1108,AF79,1)</f>
        <v>23.4</v>
      </c>
      <c r="AG30" s="11">
        <f>INDEX('[1]input data'!$F$1:$F$1108,AG79,1)</f>
        <v>23.4</v>
      </c>
      <c r="AH30" s="12">
        <f t="shared" si="1"/>
        <v>25.7</v>
      </c>
      <c r="AI30" s="13">
        <f t="shared" si="2"/>
        <v>23.4</v>
      </c>
      <c r="AJ30" s="16">
        <f t="shared" si="7"/>
        <v>24.507692307692306</v>
      </c>
      <c r="AM30" s="15">
        <v>22</v>
      </c>
      <c r="AN30" s="11">
        <f>INDEX('[1]input data'!$G$1:$G$1108,AO79,1)</f>
        <v>22.929892936995007</v>
      </c>
      <c r="AO30" s="11">
        <f>INDEX('[1]input data'!$G$1:$G$1108,AP79,1)</f>
        <v>22.958279350460575</v>
      </c>
      <c r="AP30" s="11">
        <f>INDEX('[1]input data'!$G$1:$G$1108,AQ79,1)</f>
        <v>23.424953110002289</v>
      </c>
      <c r="AQ30" s="11">
        <f>INDEX('[1]input data'!$G$1:$G$1108,AR79,1)</f>
        <v>23.104030876414406</v>
      </c>
      <c r="AR30" s="11">
        <f>INDEX('[1]input data'!$G$1:$G$1108,AS79,1)</f>
        <v>23.705216804198258</v>
      </c>
      <c r="AS30" s="11">
        <f>INDEX('[1]input data'!$G$1:$G$1108,AT79,1)</f>
        <v>22.402689186927148</v>
      </c>
      <c r="AT30" s="11">
        <f>INDEX('[1]input data'!$G$1:$G$1108,AU79,1)</f>
        <v>23.042283468686726</v>
      </c>
      <c r="AU30" s="11">
        <f>INDEX('[1]input data'!$G$1:$G$1108,AV79,1)</f>
        <v>22.556656595232965</v>
      </c>
      <c r="AV30" s="11">
        <f>INDEX('[1]input data'!$G$1:$G$1108,AW79,1)</f>
        <v>22.191206158280181</v>
      </c>
      <c r="AW30" s="11">
        <f>INDEX('[1]input data'!$G$1:$G$1108,AX79,1)</f>
        <v>23.683614162726549</v>
      </c>
      <c r="AX30" s="11">
        <f>INDEX('[1]input data'!$G$1:$G$1108,AY79,1)</f>
        <v>22.666490581585112</v>
      </c>
      <c r="AY30" s="11">
        <f>INDEX('[1]input data'!$G$1:$G$1108,AZ79,1)</f>
        <v>22.45741703757486</v>
      </c>
      <c r="AZ30" s="11">
        <f>INDEX('[1]input data'!$G$1:$G$1108,BA79,1)</f>
        <v>22.742318927283165</v>
      </c>
      <c r="BA30" s="12">
        <f t="shared" si="3"/>
        <v>23.705216804198258</v>
      </c>
      <c r="BB30" s="13">
        <f t="shared" si="4"/>
        <v>22.191206158280181</v>
      </c>
      <c r="BC30" s="16">
        <f t="shared" si="8"/>
        <v>22.912696092028252</v>
      </c>
    </row>
    <row r="31" spans="1:55" ht="14.25" customHeight="1" x14ac:dyDescent="0.25">
      <c r="A31" s="15">
        <v>23</v>
      </c>
      <c r="B31" s="11">
        <f>'[1]input data'!E798</f>
        <v>24.3</v>
      </c>
      <c r="C31" s="11">
        <f>'[1]input data'!E799</f>
        <v>26.3</v>
      </c>
      <c r="D31" s="11">
        <f>'[1]input data'!E800</f>
        <v>27.9</v>
      </c>
      <c r="E31" s="11">
        <f>'[1]input data'!E801</f>
        <v>28.7</v>
      </c>
      <c r="F31" s="11">
        <f>'[1]input data'!E802</f>
        <v>29.8</v>
      </c>
      <c r="G31" s="11">
        <f>'[1]input data'!E803</f>
        <v>31</v>
      </c>
      <c r="H31" s="11">
        <f>'[1]input data'!E804</f>
        <v>31</v>
      </c>
      <c r="I31" s="11">
        <f>'[1]input data'!E805</f>
        <v>31.8</v>
      </c>
      <c r="J31" s="11">
        <f>'[1]input data'!E806</f>
        <v>32.200000000000003</v>
      </c>
      <c r="K31" s="11">
        <f>'[1]input data'!E807</f>
        <v>31.8</v>
      </c>
      <c r="L31" s="11">
        <f>'[1]input data'!E808</f>
        <v>28.6</v>
      </c>
      <c r="M31" s="11">
        <f>'[1]input data'!E809</f>
        <v>27.6</v>
      </c>
      <c r="N31" s="11">
        <f>'[1]input data'!E810</f>
        <v>26.9</v>
      </c>
      <c r="O31" s="12">
        <f t="shared" si="5"/>
        <v>32.200000000000003</v>
      </c>
      <c r="P31" s="13">
        <f t="shared" si="0"/>
        <v>24.3</v>
      </c>
      <c r="Q31" s="16">
        <f t="shared" si="6"/>
        <v>29.069230769230771</v>
      </c>
      <c r="T31" s="15">
        <v>23</v>
      </c>
      <c r="U31" s="11">
        <f>INDEX('[1]input data'!$F$1:$F$1108,U80,1)</f>
        <v>23</v>
      </c>
      <c r="V31" s="11">
        <f>INDEX('[1]input data'!$F$1:$F$1108,V80,1)</f>
        <v>24.2</v>
      </c>
      <c r="W31" s="11">
        <f>INDEX('[1]input data'!$F$1:$F$1108,W80,1)</f>
        <v>24.5</v>
      </c>
      <c r="X31" s="11">
        <f>INDEX('[1]input data'!$F$1:$F$1108,X80,1)</f>
        <v>24.6</v>
      </c>
      <c r="Y31" s="11">
        <f>INDEX('[1]input data'!$F$1:$F$1108,Y80,1)</f>
        <v>23.9</v>
      </c>
      <c r="Z31" s="11">
        <f>INDEX('[1]input data'!$F$1:$F$1108,Z80,1)</f>
        <v>24</v>
      </c>
      <c r="AA31" s="11">
        <f>INDEX('[1]input data'!$F$1:$F$1108,AA80,1)</f>
        <v>24.7</v>
      </c>
      <c r="AB31" s="11">
        <f>INDEX('[1]input data'!$F$1:$F$1108,AB80,1)</f>
        <v>24.5</v>
      </c>
      <c r="AC31" s="11">
        <f>INDEX('[1]input data'!$F$1:$F$1108,AC80,1)</f>
        <v>25</v>
      </c>
      <c r="AD31" s="11">
        <f>INDEX('[1]input data'!$F$1:$F$1108,AD80,1)</f>
        <v>25.6</v>
      </c>
      <c r="AE31" s="11">
        <f>INDEX('[1]input data'!$F$1:$F$1108,AE80,1)</f>
        <v>25.8</v>
      </c>
      <c r="AF31" s="11">
        <f>INDEX('[1]input data'!$F$1:$F$1108,AF80,1)</f>
        <v>25.4</v>
      </c>
      <c r="AG31" s="11">
        <f>INDEX('[1]input data'!$F$1:$F$1108,AG80,1)</f>
        <v>25</v>
      </c>
      <c r="AH31" s="12">
        <f t="shared" si="1"/>
        <v>25.8</v>
      </c>
      <c r="AI31" s="13">
        <f t="shared" si="2"/>
        <v>23</v>
      </c>
      <c r="AJ31" s="16">
        <f t="shared" si="7"/>
        <v>24.630769230769229</v>
      </c>
      <c r="AM31" s="15">
        <v>23</v>
      </c>
      <c r="AN31" s="11">
        <f>INDEX('[1]input data'!$G$1:$G$1108,AO80,1)</f>
        <v>22.281939548814325</v>
      </c>
      <c r="AO31" s="11">
        <f>INDEX('[1]input data'!$G$1:$G$1108,AP80,1)</f>
        <v>23.155200700166329</v>
      </c>
      <c r="AP31" s="11">
        <f>INDEX('[1]input data'!$G$1:$G$1108,AQ80,1)</f>
        <v>22.871409059861545</v>
      </c>
      <c r="AQ31" s="11">
        <f>INDEX('[1]input data'!$G$1:$G$1108,AR80,1)</f>
        <v>22.651117625427016</v>
      </c>
      <c r="AR31" s="11">
        <f>INDEX('[1]input data'!$G$1:$G$1108,AS80,1)</f>
        <v>20.967944691485776</v>
      </c>
      <c r="AS31" s="11">
        <f>INDEX('[1]input data'!$G$1:$G$1108,AT80,1)</f>
        <v>20.508989309109545</v>
      </c>
      <c r="AT31" s="11">
        <f>INDEX('[1]input data'!$G$1:$G$1108,AU80,1)</f>
        <v>21.695889406423795</v>
      </c>
      <c r="AU31" s="11">
        <f>INDEX('[1]input data'!$G$1:$G$1108,AV80,1)</f>
        <v>20.951065659683096</v>
      </c>
      <c r="AV31" s="11">
        <f>INDEX('[1]input data'!$G$1:$G$1108,AW80,1)</f>
        <v>21.599615938936108</v>
      </c>
      <c r="AW31" s="11">
        <f>INDEX('[1]input data'!$G$1:$G$1108,AX80,1)</f>
        <v>22.787386628827527</v>
      </c>
      <c r="AX31" s="11">
        <f>INDEX('[1]input data'!$G$1:$G$1108,AY80,1)</f>
        <v>24.534901994434403</v>
      </c>
      <c r="AY31" s="11">
        <f>INDEX('[1]input data'!$G$1:$G$1108,AZ80,1)</f>
        <v>24.370945495089579</v>
      </c>
      <c r="AZ31" s="11">
        <f>INDEX('[1]input data'!$G$1:$G$1108,BA80,1)</f>
        <v>24.083040017724613</v>
      </c>
      <c r="BA31" s="12">
        <f t="shared" si="3"/>
        <v>24.534901994434403</v>
      </c>
      <c r="BB31" s="13">
        <f t="shared" si="4"/>
        <v>20.508989309109545</v>
      </c>
      <c r="BC31" s="16">
        <f t="shared" si="8"/>
        <v>22.496880467383356</v>
      </c>
    </row>
    <row r="32" spans="1:55" ht="14.25" customHeight="1" x14ac:dyDescent="0.25">
      <c r="A32" s="15">
        <v>24</v>
      </c>
      <c r="B32" s="11">
        <f>'[1]input data'!E834</f>
        <v>24.8</v>
      </c>
      <c r="C32" s="11">
        <f>'[1]input data'!E835</f>
        <v>26.7</v>
      </c>
      <c r="D32" s="11">
        <f>'[1]input data'!E836</f>
        <v>28.6</v>
      </c>
      <c r="E32" s="11">
        <f>'[1]input data'!E837</f>
        <v>30</v>
      </c>
      <c r="F32" s="11">
        <f>'[1]input data'!E838</f>
        <v>31</v>
      </c>
      <c r="G32" s="11">
        <f>'[1]input data'!E839</f>
        <v>32</v>
      </c>
      <c r="H32" s="11">
        <f>'[1]input data'!E840</f>
        <v>32.5</v>
      </c>
      <c r="I32" s="11">
        <f>'[1]input data'!E841</f>
        <v>33.1</v>
      </c>
      <c r="J32" s="11">
        <f>'[1]input data'!E842</f>
        <v>32.4</v>
      </c>
      <c r="K32" s="11">
        <f>'[1]input data'!E843</f>
        <v>30.2</v>
      </c>
      <c r="L32" s="11">
        <f>'[1]input data'!E844</f>
        <v>28.8</v>
      </c>
      <c r="M32" s="11">
        <f>'[1]input data'!E845</f>
        <v>27.5</v>
      </c>
      <c r="N32" s="11">
        <f>'[1]input data'!E846</f>
        <v>26.6</v>
      </c>
      <c r="O32" s="12">
        <f t="shared" si="5"/>
        <v>33.1</v>
      </c>
      <c r="P32" s="13">
        <f t="shared" si="0"/>
        <v>24.8</v>
      </c>
      <c r="Q32" s="16">
        <f t="shared" si="6"/>
        <v>29.553846153846152</v>
      </c>
      <c r="T32" s="15">
        <v>24</v>
      </c>
      <c r="U32" s="11">
        <f>INDEX('[1]input data'!$F$1:$F$1108,U81,1)</f>
        <v>23.4</v>
      </c>
      <c r="V32" s="11">
        <f>INDEX('[1]input data'!$F$1:$F$1108,V81,1)</f>
        <v>24.2</v>
      </c>
      <c r="W32" s="11">
        <f>INDEX('[1]input data'!$F$1:$F$1108,W81,1)</f>
        <v>24.4</v>
      </c>
      <c r="X32" s="11">
        <f>INDEX('[1]input data'!$F$1:$F$1108,X81,1)</f>
        <v>24.6</v>
      </c>
      <c r="Y32" s="11">
        <f>INDEX('[1]input data'!$F$1:$F$1108,Y81,1)</f>
        <v>24.6</v>
      </c>
      <c r="Z32" s="11">
        <f>INDEX('[1]input data'!$F$1:$F$1108,Z81,1)</f>
        <v>24.6</v>
      </c>
      <c r="AA32" s="11">
        <f>INDEX('[1]input data'!$F$1:$F$1108,AA81,1)</f>
        <v>24.8</v>
      </c>
      <c r="AB32" s="11">
        <f>INDEX('[1]input data'!$F$1:$F$1108,AB81,1)</f>
        <v>25.4</v>
      </c>
      <c r="AC32" s="11">
        <f>INDEX('[1]input data'!$F$1:$F$1108,AC81,1)</f>
        <v>26.1</v>
      </c>
      <c r="AD32" s="11">
        <f>INDEX('[1]input data'!$F$1:$F$1108,AD81,1)</f>
        <v>25.8</v>
      </c>
      <c r="AE32" s="11">
        <f>INDEX('[1]input data'!$F$1:$F$1108,AE81,1)</f>
        <v>26</v>
      </c>
      <c r="AF32" s="11">
        <f>INDEX('[1]input data'!$F$1:$F$1108,AF81,1)</f>
        <v>26</v>
      </c>
      <c r="AG32" s="11">
        <f>INDEX('[1]input data'!$F$1:$F$1108,AG81,1)</f>
        <v>25.1</v>
      </c>
      <c r="AH32" s="12">
        <f t="shared" si="1"/>
        <v>26.1</v>
      </c>
      <c r="AI32" s="13">
        <f t="shared" si="2"/>
        <v>23.4</v>
      </c>
      <c r="AJ32" s="16">
        <f t="shared" si="7"/>
        <v>25</v>
      </c>
      <c r="AM32" s="15">
        <v>24</v>
      </c>
      <c r="AN32" s="11">
        <f>INDEX('[1]input data'!$G$1:$G$1108,AO81,1)</f>
        <v>22.647828842860125</v>
      </c>
      <c r="AO32" s="11">
        <f>INDEX('[1]input data'!$G$1:$G$1108,AP81,1)</f>
        <v>22.969848511361342</v>
      </c>
      <c r="AP32" s="11">
        <f>INDEX('[1]input data'!$G$1:$G$1108,AQ81,1)</f>
        <v>22.382571693636379</v>
      </c>
      <c r="AQ32" s="11">
        <f>INDEX('[1]input data'!$G$1:$G$1108,AR81,1)</f>
        <v>22.025168782248613</v>
      </c>
      <c r="AR32" s="11">
        <f>INDEX('[1]input data'!$G$1:$G$1108,AS81,1)</f>
        <v>21.529064030477215</v>
      </c>
      <c r="AS32" s="11">
        <f>INDEX('[1]input data'!$G$1:$G$1108,AT81,1)</f>
        <v>21.019439938945371</v>
      </c>
      <c r="AT32" s="11">
        <f>INDEX('[1]input data'!$G$1:$G$1108,AU81,1)</f>
        <v>21.105954943188024</v>
      </c>
      <c r="AU32" s="11">
        <f>INDEX('[1]input data'!$G$1:$G$1108,AV81,1)</f>
        <v>21.828776771854713</v>
      </c>
      <c r="AV32" s="11">
        <f>INDEX('[1]input data'!$G$1:$G$1108,AW81,1)</f>
        <v>23.316699651545896</v>
      </c>
      <c r="AW32" s="11">
        <f>INDEX('[1]input data'!$G$1:$G$1108,AX81,1)</f>
        <v>23.835945395479477</v>
      </c>
      <c r="AX32" s="11">
        <f>INDEX('[1]input data'!$G$1:$G$1108,AY81,1)</f>
        <v>24.747322007330105</v>
      </c>
      <c r="AY32" s="11">
        <f>INDEX('[1]input data'!$G$1:$G$1108,AZ81,1)</f>
        <v>25.291076436930108</v>
      </c>
      <c r="AZ32" s="11">
        <f>INDEX('[1]input data'!$G$1:$G$1108,BA81,1)</f>
        <v>24.361322321182911</v>
      </c>
      <c r="BA32" s="12">
        <f t="shared" si="3"/>
        <v>25.291076436930108</v>
      </c>
      <c r="BB32" s="13">
        <f t="shared" si="4"/>
        <v>21.019439938945371</v>
      </c>
      <c r="BC32" s="16">
        <f t="shared" si="8"/>
        <v>22.850847640541556</v>
      </c>
    </row>
    <row r="33" spans="1:55" ht="14.25" customHeight="1" x14ac:dyDescent="0.25">
      <c r="A33" s="15">
        <v>25</v>
      </c>
      <c r="B33" s="11">
        <f>'[1]input data'!E870</f>
        <v>24.8</v>
      </c>
      <c r="C33" s="11">
        <f>'[1]input data'!E871</f>
        <v>25.9</v>
      </c>
      <c r="D33" s="11">
        <f>'[1]input data'!E872</f>
        <v>27.3</v>
      </c>
      <c r="E33" s="11">
        <f>'[1]input data'!E873</f>
        <v>28.7</v>
      </c>
      <c r="F33" s="11">
        <f>'[1]input data'!E874</f>
        <v>30.2</v>
      </c>
      <c r="G33" s="11">
        <f>'[1]input data'!E875</f>
        <v>30</v>
      </c>
      <c r="H33" s="11">
        <f>'[1]input data'!E876</f>
        <v>30.6</v>
      </c>
      <c r="I33" s="11">
        <f>'[1]input data'!E877</f>
        <v>30.8</v>
      </c>
      <c r="J33" s="11">
        <f>'[1]input data'!E878</f>
        <v>29.5</v>
      </c>
      <c r="K33" s="11">
        <f>'[1]input data'!E879</f>
        <v>28.8</v>
      </c>
      <c r="L33" s="11">
        <f>'[1]input data'!E880</f>
        <v>24.8</v>
      </c>
      <c r="M33" s="11">
        <f>'[1]input data'!E881</f>
        <v>24</v>
      </c>
      <c r="N33" s="11">
        <f>'[1]input data'!E882</f>
        <v>24.3</v>
      </c>
      <c r="O33" s="12">
        <f t="shared" si="5"/>
        <v>30.8</v>
      </c>
      <c r="P33" s="13">
        <f t="shared" si="0"/>
        <v>24</v>
      </c>
      <c r="Q33" s="16">
        <f t="shared" si="6"/>
        <v>27.669230769230772</v>
      </c>
      <c r="T33" s="15">
        <v>25</v>
      </c>
      <c r="U33" s="11">
        <f>INDEX('[1]input data'!$F$1:$F$1108,U82,1)</f>
        <v>24.3</v>
      </c>
      <c r="V33" s="11">
        <f>INDEX('[1]input data'!$F$1:$F$1108,V82,1)</f>
        <v>24.8</v>
      </c>
      <c r="W33" s="11">
        <f>INDEX('[1]input data'!$F$1:$F$1108,W82,1)</f>
        <v>25.4</v>
      </c>
      <c r="X33" s="11">
        <f>INDEX('[1]input data'!$F$1:$F$1108,X82,1)</f>
        <v>25.5</v>
      </c>
      <c r="Y33" s="11">
        <f>INDEX('[1]input data'!$F$1:$F$1108,Y82,1)</f>
        <v>26.1</v>
      </c>
      <c r="Z33" s="11">
        <f>INDEX('[1]input data'!$F$1:$F$1108,Z82,1)</f>
        <v>25.8</v>
      </c>
      <c r="AA33" s="11">
        <f>INDEX('[1]input data'!$F$1:$F$1108,AA82,1)</f>
        <v>25.4</v>
      </c>
      <c r="AB33" s="11">
        <f>INDEX('[1]input data'!$F$1:$F$1108,AB82,1)</f>
        <v>26.2</v>
      </c>
      <c r="AC33" s="11">
        <f>INDEX('[1]input data'!$F$1:$F$1108,AC82,1)</f>
        <v>26.7</v>
      </c>
      <c r="AD33" s="11">
        <f>INDEX('[1]input data'!$F$1:$F$1108,AD82,1)</f>
        <v>26.4</v>
      </c>
      <c r="AE33" s="11">
        <f>INDEX('[1]input data'!$F$1:$F$1108,AE82,1)</f>
        <v>23.4</v>
      </c>
      <c r="AF33" s="11">
        <f>INDEX('[1]input data'!$F$1:$F$1108,AF82,1)</f>
        <v>23.1</v>
      </c>
      <c r="AG33" s="11">
        <f>INDEX('[1]input data'!$F$1:$F$1108,AG82,1)</f>
        <v>23.5</v>
      </c>
      <c r="AH33" s="12">
        <f t="shared" si="1"/>
        <v>26.7</v>
      </c>
      <c r="AI33" s="13">
        <f t="shared" si="2"/>
        <v>23.1</v>
      </c>
      <c r="AJ33" s="16">
        <f t="shared" si="7"/>
        <v>25.123076923076919</v>
      </c>
      <c r="AM33" s="15">
        <v>25</v>
      </c>
      <c r="AN33" s="11">
        <f>INDEX('[1]input data'!$G$1:$G$1108,AO82,1)</f>
        <v>23.980195359937316</v>
      </c>
      <c r="AO33" s="11">
        <f>INDEX('[1]input data'!$G$1:$G$1108,AP82,1)</f>
        <v>24.226196524993068</v>
      </c>
      <c r="AP33" s="11">
        <f>INDEX('[1]input data'!$G$1:$G$1108,AQ82,1)</f>
        <v>24.500299080469489</v>
      </c>
      <c r="AQ33" s="11">
        <f>INDEX('[1]input data'!$G$1:$G$1108,AR82,1)</f>
        <v>24.04070828220102</v>
      </c>
      <c r="AR33" s="11">
        <f>INDEX('[1]input data'!$G$1:$G$1108,AS82,1)</f>
        <v>24.296998628161578</v>
      </c>
      <c r="AS33" s="11">
        <f>INDEX('[1]input data'!$G$1:$G$1108,AT82,1)</f>
        <v>23.924726871474732</v>
      </c>
      <c r="AT33" s="11">
        <f>INDEX('[1]input data'!$G$1:$G$1108,AU82,1)</f>
        <v>23.026747545268133</v>
      </c>
      <c r="AU33" s="11">
        <f>INDEX('[1]input data'!$G$1:$G$1108,AV82,1)</f>
        <v>24.189061302754549</v>
      </c>
      <c r="AV33" s="11">
        <f>INDEX('[1]input data'!$G$1:$G$1108,AW82,1)</f>
        <v>25.489578963537532</v>
      </c>
      <c r="AW33" s="11">
        <f>INDEX('[1]input data'!$G$1:$G$1108,AX82,1)</f>
        <v>25.336984058406365</v>
      </c>
      <c r="AX33" s="11">
        <f>INDEX('[1]input data'!$G$1:$G$1108,AY82,1)</f>
        <v>22.647828842860125</v>
      </c>
      <c r="AY33" s="11">
        <f>INDEX('[1]input data'!$G$1:$G$1108,AZ82,1)</f>
        <v>22.57640345827545</v>
      </c>
      <c r="AZ33" s="11">
        <f>INDEX('[1]input data'!$G$1:$G$1108,BA82,1)</f>
        <v>23.031870985715287</v>
      </c>
      <c r="BA33" s="12">
        <f t="shared" si="3"/>
        <v>25.489578963537532</v>
      </c>
      <c r="BB33" s="13">
        <f t="shared" si="4"/>
        <v>22.57640345827545</v>
      </c>
      <c r="BC33" s="16">
        <f t="shared" si="8"/>
        <v>23.943661531081123</v>
      </c>
    </row>
    <row r="34" spans="1:55" ht="14.25" customHeight="1" x14ac:dyDescent="0.25">
      <c r="A34" s="15">
        <v>26</v>
      </c>
      <c r="B34" s="11">
        <f>'[1]input data'!E906</f>
        <v>24</v>
      </c>
      <c r="C34" s="11">
        <f>'[1]input data'!E907</f>
        <v>25.8</v>
      </c>
      <c r="D34" s="11">
        <f>'[1]input data'!E908</f>
        <v>27.2</v>
      </c>
      <c r="E34" s="11">
        <f>'[1]input data'!E909</f>
        <v>28.1</v>
      </c>
      <c r="F34" s="11">
        <f>'[1]input data'!E910</f>
        <v>28.2</v>
      </c>
      <c r="G34" s="11">
        <f>'[1]input data'!E911</f>
        <v>27</v>
      </c>
      <c r="H34" s="11">
        <f>'[1]input data'!E912</f>
        <v>25.4</v>
      </c>
      <c r="I34" s="11">
        <f>'[1]input data'!E913</f>
        <v>24.4</v>
      </c>
      <c r="J34" s="11">
        <f>'[1]input data'!E914</f>
        <v>22.9</v>
      </c>
      <c r="K34" s="11">
        <f>'[1]input data'!E915</f>
        <v>23.1</v>
      </c>
      <c r="L34" s="11">
        <f>'[1]input data'!E916</f>
        <v>23</v>
      </c>
      <c r="M34" s="11">
        <f>'[1]input data'!E917</f>
        <v>22.4</v>
      </c>
      <c r="N34" s="11">
        <f>'[1]input data'!E918</f>
        <v>22.5</v>
      </c>
      <c r="O34" s="12">
        <f t="shared" si="5"/>
        <v>28.2</v>
      </c>
      <c r="P34" s="13">
        <f t="shared" si="0"/>
        <v>22.4</v>
      </c>
      <c r="Q34" s="16">
        <f t="shared" si="6"/>
        <v>24.923076923076923</v>
      </c>
      <c r="T34" s="15">
        <v>26</v>
      </c>
      <c r="U34" s="11">
        <f>INDEX('[1]input data'!$F$1:$F$1108,U83,1)</f>
        <v>23.6</v>
      </c>
      <c r="V34" s="11">
        <f>INDEX('[1]input data'!$F$1:$F$1108,V83,1)</f>
        <v>24.4</v>
      </c>
      <c r="W34" s="11">
        <f>INDEX('[1]input data'!$F$1:$F$1108,W83,1)</f>
        <v>24.8</v>
      </c>
      <c r="X34" s="11">
        <f>INDEX('[1]input data'!$F$1:$F$1108,X83,1)</f>
        <v>24.8</v>
      </c>
      <c r="Y34" s="11">
        <f>INDEX('[1]input data'!$F$1:$F$1108,Y83,1)</f>
        <v>25.2</v>
      </c>
      <c r="Z34" s="11">
        <f>INDEX('[1]input data'!$F$1:$F$1108,Z83,1)</f>
        <v>25.2</v>
      </c>
      <c r="AA34" s="11">
        <f>INDEX('[1]input data'!$F$1:$F$1108,AA83,1)</f>
        <v>24.2</v>
      </c>
      <c r="AB34" s="11">
        <f>INDEX('[1]input data'!$F$1:$F$1108,AB83,1)</f>
        <v>23.4</v>
      </c>
      <c r="AC34" s="11">
        <f>INDEX('[1]input data'!$F$1:$F$1108,AC83,1)</f>
        <v>22.6</v>
      </c>
      <c r="AD34" s="11">
        <f>INDEX('[1]input data'!$F$1:$F$1108,AD83,1)</f>
        <v>22.9</v>
      </c>
      <c r="AE34" s="11">
        <f>INDEX('[1]input data'!$F$1:$F$1108,AE83,1)</f>
        <v>22.8</v>
      </c>
      <c r="AF34" s="11">
        <f>INDEX('[1]input data'!$F$1:$F$1108,AF83,1)</f>
        <v>22.2</v>
      </c>
      <c r="AG34" s="11">
        <f>INDEX('[1]input data'!$F$1:$F$1108,AG83,1)</f>
        <v>22.3</v>
      </c>
      <c r="AH34" s="12">
        <f t="shared" si="1"/>
        <v>25.2</v>
      </c>
      <c r="AI34" s="13">
        <f t="shared" si="2"/>
        <v>22.2</v>
      </c>
      <c r="AJ34" s="16">
        <f t="shared" si="7"/>
        <v>23.723076923076921</v>
      </c>
      <c r="AM34" s="15">
        <v>26</v>
      </c>
      <c r="AN34" s="11">
        <f>INDEX('[1]input data'!$G$1:$G$1108,AO83,1)</f>
        <v>23.317592460646107</v>
      </c>
      <c r="AO34" s="11">
        <f>INDEX('[1]input data'!$G$1:$G$1108,AP83,1)</f>
        <v>23.681919065166394</v>
      </c>
      <c r="AP34" s="11">
        <f>INDEX('[1]input data'!$G$1:$G$1108,AQ83,1)</f>
        <v>23.650934676208223</v>
      </c>
      <c r="AQ34" s="11">
        <f>INDEX('[1]input data'!$G$1:$G$1108,AR83,1)</f>
        <v>23.242241452753913</v>
      </c>
      <c r="AR34" s="11">
        <f>INDEX('[1]input data'!$G$1:$G$1108,AS83,1)</f>
        <v>23.807773416804665</v>
      </c>
      <c r="AS34" s="11">
        <f>INDEX('[1]input data'!$G$1:$G$1108,AT83,1)</f>
        <v>24.335116740668042</v>
      </c>
      <c r="AT34" s="11">
        <f>INDEX('[1]input data'!$G$1:$G$1108,AU83,1)</f>
        <v>23.565735043217593</v>
      </c>
      <c r="AU34" s="11">
        <f>INDEX('[1]input data'!$G$1:$G$1108,AV83,1)</f>
        <v>22.836338621391949</v>
      </c>
      <c r="AV34" s="11">
        <f>INDEX('[1]input data'!$G$1:$G$1108,AW83,1)</f>
        <v>22.35568042186776</v>
      </c>
      <c r="AW34" s="11">
        <f>INDEX('[1]input data'!$G$1:$G$1108,AX83,1)</f>
        <v>22.705276554090879</v>
      </c>
      <c r="AX34" s="11">
        <f>INDEX('[1]input data'!$G$1:$G$1108,AY83,1)</f>
        <v>22.604760645934597</v>
      </c>
      <c r="AY34" s="11">
        <f>INDEX('[1]input data'!$G$1:$G$1108,AZ83,1)</f>
        <v>22.001602394793437</v>
      </c>
      <c r="AZ34" s="11">
        <f>INDEX('[1]input data'!$G$1:$G$1108,BA83,1)</f>
        <v>22.102136355683452</v>
      </c>
      <c r="BA34" s="12">
        <f t="shared" si="3"/>
        <v>24.335116740668042</v>
      </c>
      <c r="BB34" s="13">
        <f t="shared" si="4"/>
        <v>22.001602394793437</v>
      </c>
      <c r="BC34" s="16">
        <f t="shared" si="8"/>
        <v>23.092854449940543</v>
      </c>
    </row>
    <row r="35" spans="1:55" ht="14.25" customHeight="1" x14ac:dyDescent="0.25">
      <c r="A35" s="15">
        <v>27</v>
      </c>
      <c r="B35" s="11">
        <f>'[1]input data'!E942</f>
        <v>23.4</v>
      </c>
      <c r="C35" s="11">
        <f>'[1]input data'!E943</f>
        <v>25.8</v>
      </c>
      <c r="D35" s="11">
        <f>'[1]input data'!E944</f>
        <v>27.2</v>
      </c>
      <c r="E35" s="11">
        <f>'[1]input data'!E945</f>
        <v>28</v>
      </c>
      <c r="F35" s="11">
        <f>'[1]input data'!E946</f>
        <v>28.6</v>
      </c>
      <c r="G35" s="11">
        <f>'[1]input data'!E947</f>
        <v>29.6</v>
      </c>
      <c r="H35" s="11">
        <f>'[1]input data'!E948</f>
        <v>29.6</v>
      </c>
      <c r="I35" s="11">
        <f>'[1]input data'!E949</f>
        <v>29.4</v>
      </c>
      <c r="J35" s="11">
        <f>'[1]input data'!E950</f>
        <v>29.4</v>
      </c>
      <c r="K35" s="11">
        <f>'[1]input data'!E951</f>
        <v>28.6</v>
      </c>
      <c r="L35" s="11">
        <f>'[1]input data'!E952</f>
        <v>27.8</v>
      </c>
      <c r="M35" s="11">
        <f>'[1]input data'!E953</f>
        <v>27</v>
      </c>
      <c r="N35" s="11">
        <f>'[1]input data'!E954</f>
        <v>26</v>
      </c>
      <c r="O35" s="12">
        <f t="shared" si="5"/>
        <v>29.6</v>
      </c>
      <c r="P35" s="13">
        <f t="shared" si="0"/>
        <v>23.4</v>
      </c>
      <c r="Q35" s="16">
        <f t="shared" si="6"/>
        <v>27.723076923076924</v>
      </c>
      <c r="T35" s="15">
        <v>27</v>
      </c>
      <c r="U35" s="11">
        <f>INDEX('[1]input data'!$F$1:$F$1108,U84,1)</f>
        <v>22</v>
      </c>
      <c r="V35" s="11">
        <f>INDEX('[1]input data'!$F$1:$F$1108,V84,1)</f>
        <v>23.6</v>
      </c>
      <c r="W35" s="11">
        <f>INDEX('[1]input data'!$F$1:$F$1108,W84,1)</f>
        <v>24.8</v>
      </c>
      <c r="X35" s="11">
        <f>INDEX('[1]input data'!$F$1:$F$1108,X84,1)</f>
        <v>25</v>
      </c>
      <c r="Y35" s="11">
        <f>INDEX('[1]input data'!$F$1:$F$1108,Y84,1)</f>
        <v>24.8</v>
      </c>
      <c r="Z35" s="11">
        <f>INDEX('[1]input data'!$F$1:$F$1108,Z84,1)</f>
        <v>25.2</v>
      </c>
      <c r="AA35" s="11">
        <f>INDEX('[1]input data'!$F$1:$F$1108,AA84,1)</f>
        <v>25.6</v>
      </c>
      <c r="AB35" s="11">
        <f>INDEX('[1]input data'!$F$1:$F$1108,AB84,1)</f>
        <v>25.2</v>
      </c>
      <c r="AC35" s="11">
        <f>INDEX('[1]input data'!$F$1:$F$1108,AC84,1)</f>
        <v>25.2</v>
      </c>
      <c r="AD35" s="11">
        <f>INDEX('[1]input data'!$F$1:$F$1108,AD84,1)</f>
        <v>25</v>
      </c>
      <c r="AE35" s="11">
        <f>INDEX('[1]input data'!$F$1:$F$1108,AE84,1)</f>
        <v>24.6</v>
      </c>
      <c r="AF35" s="11">
        <f>INDEX('[1]input data'!$F$1:$F$1108,AF84,1)</f>
        <v>24</v>
      </c>
      <c r="AG35" s="11">
        <f>INDEX('[1]input data'!$F$1:$F$1108,AG84,1)</f>
        <v>23.6</v>
      </c>
      <c r="AH35" s="12">
        <f t="shared" si="1"/>
        <v>25.6</v>
      </c>
      <c r="AI35" s="13">
        <f t="shared" si="2"/>
        <v>22</v>
      </c>
      <c r="AJ35" s="16">
        <f t="shared" si="7"/>
        <v>24.507692307692309</v>
      </c>
      <c r="AM35" s="15">
        <v>27</v>
      </c>
      <c r="AN35" s="11">
        <f>INDEX('[1]input data'!$G$1:$G$1108,AO84,1)</f>
        <v>21.196373458783889</v>
      </c>
      <c r="AO35" s="11">
        <f>INDEX('[1]input data'!$G$1:$G$1108,AP84,1)</f>
        <v>22.476265609365306</v>
      </c>
      <c r="AP35" s="11">
        <f>INDEX('[1]input data'!$G$1:$G$1108,AQ84,1)</f>
        <v>23.650934676208223</v>
      </c>
      <c r="AQ35" s="11">
        <f>INDEX('[1]input data'!$G$1:$G$1108,AR84,1)</f>
        <v>23.593703811444115</v>
      </c>
      <c r="AR35" s="11">
        <f>INDEX('[1]input data'!$G$1:$G$1108,AS84,1)</f>
        <v>23.011327145203094</v>
      </c>
      <c r="AS35" s="11">
        <f>INDEX('[1]input data'!$G$1:$G$1108,AT84,1)</f>
        <v>23.173497959213115</v>
      </c>
      <c r="AT35" s="11">
        <f>INDEX('[1]input data'!$G$1:$G$1108,AU84,1)</f>
        <v>23.79460686035754</v>
      </c>
      <c r="AU35" s="11">
        <f>INDEX('[1]input data'!$G$1:$G$1108,AV84,1)</f>
        <v>23.265416041293889</v>
      </c>
      <c r="AV35" s="11">
        <f>INDEX('[1]input data'!$G$1:$G$1108,AW84,1)</f>
        <v>23.265416041293889</v>
      </c>
      <c r="AW35" s="11">
        <f>INDEX('[1]input data'!$G$1:$G$1108,AX84,1)</f>
        <v>23.321392650725961</v>
      </c>
      <c r="AX35" s="11">
        <f>INDEX('[1]input data'!$G$1:$G$1108,AY84,1)</f>
        <v>23.072611503492613</v>
      </c>
      <c r="AY35" s="11">
        <f>INDEX('[1]input data'!$G$1:$G$1108,AZ84,1)</f>
        <v>22.520565860984291</v>
      </c>
      <c r="AZ35" s="11">
        <f>INDEX('[1]input data'!$G$1:$G$1108,BA84,1)</f>
        <v>22.380428406468425</v>
      </c>
      <c r="BA35" s="12">
        <f t="shared" si="3"/>
        <v>23.79460686035754</v>
      </c>
      <c r="BB35" s="13">
        <f t="shared" si="4"/>
        <v>21.196373458783889</v>
      </c>
      <c r="BC35" s="16">
        <f t="shared" si="8"/>
        <v>22.978656924987259</v>
      </c>
    </row>
    <row r="36" spans="1:55" ht="14.25" customHeight="1" x14ac:dyDescent="0.25">
      <c r="A36" s="15">
        <v>28</v>
      </c>
      <c r="B36" s="11">
        <f>'[1]input data'!E978</f>
        <v>24.2</v>
      </c>
      <c r="C36" s="11">
        <f>'[1]input data'!E979</f>
        <v>25.5</v>
      </c>
      <c r="D36" s="11">
        <f>'[1]input data'!E980</f>
        <v>28.2</v>
      </c>
      <c r="E36" s="11">
        <f>'[1]input data'!E981</f>
        <v>29.8</v>
      </c>
      <c r="F36" s="11">
        <f>'[1]input data'!E982</f>
        <v>30.3</v>
      </c>
      <c r="G36" s="11">
        <f>'[1]input data'!E983</f>
        <v>31.6</v>
      </c>
      <c r="H36" s="11">
        <f>'[1]input data'!E984</f>
        <v>32.299999999999997</v>
      </c>
      <c r="I36" s="11">
        <f>'[1]input data'!E985</f>
        <v>31.6</v>
      </c>
      <c r="J36" s="11">
        <f>'[1]input data'!E986</f>
        <v>29.9</v>
      </c>
      <c r="K36" s="11">
        <f>'[1]input data'!E987</f>
        <v>29.6</v>
      </c>
      <c r="L36" s="11">
        <f>'[1]input data'!E988</f>
        <v>28.7</v>
      </c>
      <c r="M36" s="11">
        <f>'[1]input data'!E989</f>
        <v>28.2</v>
      </c>
      <c r="N36" s="11">
        <f>'[1]input data'!E990</f>
        <v>27.1</v>
      </c>
      <c r="O36" s="12">
        <f t="shared" si="5"/>
        <v>32.299999999999997</v>
      </c>
      <c r="P36" s="13">
        <f t="shared" si="0"/>
        <v>24.2</v>
      </c>
      <c r="Q36" s="16">
        <f t="shared" si="6"/>
        <v>29</v>
      </c>
      <c r="T36" s="15">
        <v>28</v>
      </c>
      <c r="U36" s="11">
        <f>INDEX('[1]input data'!$F$1:$F$1108,U85,1)</f>
        <v>23</v>
      </c>
      <c r="V36" s="11">
        <f>INDEX('[1]input data'!$F$1:$F$1108,V85,1)</f>
        <v>23.4</v>
      </c>
      <c r="W36" s="11">
        <f>INDEX('[1]input data'!$F$1:$F$1108,W85,1)</f>
        <v>24.6</v>
      </c>
      <c r="X36" s="11">
        <f>INDEX('[1]input data'!$F$1:$F$1108,X85,1)</f>
        <v>25</v>
      </c>
      <c r="Y36" s="11">
        <f>INDEX('[1]input data'!$F$1:$F$1108,Y85,1)</f>
        <v>25.1</v>
      </c>
      <c r="Z36" s="11">
        <f>INDEX('[1]input data'!$F$1:$F$1108,Z85,1)</f>
        <v>25</v>
      </c>
      <c r="AA36" s="11">
        <f>INDEX('[1]input data'!$F$1:$F$1108,AA85,1)</f>
        <v>25.2</v>
      </c>
      <c r="AB36" s="11">
        <f>INDEX('[1]input data'!$F$1:$F$1108,AB85,1)</f>
        <v>26.3</v>
      </c>
      <c r="AC36" s="11">
        <f>INDEX('[1]input data'!$F$1:$F$1108,AC85,1)</f>
        <v>24.9</v>
      </c>
      <c r="AD36" s="11">
        <f>INDEX('[1]input data'!$F$1:$F$1108,AD85,1)</f>
        <v>25</v>
      </c>
      <c r="AE36" s="11">
        <f>INDEX('[1]input data'!$F$1:$F$1108,AE85,1)</f>
        <v>25.5</v>
      </c>
      <c r="AF36" s="11">
        <f>INDEX('[1]input data'!$F$1:$F$1108,AF85,1)</f>
        <v>25.5</v>
      </c>
      <c r="AG36" s="11">
        <f>INDEX('[1]input data'!$F$1:$F$1108,AG85,1)</f>
        <v>24.2</v>
      </c>
      <c r="AH36" s="12">
        <f t="shared" si="1"/>
        <v>26.3</v>
      </c>
      <c r="AI36" s="13">
        <f t="shared" si="2"/>
        <v>23</v>
      </c>
      <c r="AJ36" s="16">
        <f t="shared" si="7"/>
        <v>24.823076923076922</v>
      </c>
      <c r="AM36" s="15">
        <v>28</v>
      </c>
      <c r="AN36" s="11">
        <f>INDEX('[1]input data'!$G$1:$G$1108,AO85,1)</f>
        <v>22.330168592037214</v>
      </c>
      <c r="AO36" s="11">
        <f>INDEX('[1]input data'!$G$1:$G$1108,AP85,1)</f>
        <v>22.313334889750408</v>
      </c>
      <c r="AP36" s="11">
        <f>INDEX('[1]input data'!$G$1:$G$1108,AQ85,1)</f>
        <v>22.886439940964369</v>
      </c>
      <c r="AQ36" s="11">
        <f>INDEX('[1]input data'!$G$1:$G$1108,AR85,1)</f>
        <v>22.764750111093644</v>
      </c>
      <c r="AR36" s="11">
        <f>INDEX('[1]input data'!$G$1:$G$1108,AS85,1)</f>
        <v>22.688443801576025</v>
      </c>
      <c r="AS36" s="11">
        <f>INDEX('[1]input data'!$G$1:$G$1108,AT85,1)</f>
        <v>21.897743004464761</v>
      </c>
      <c r="AT36" s="11">
        <f>INDEX('[1]input data'!$G$1:$G$1108,AU85,1)</f>
        <v>21.886741200021163</v>
      </c>
      <c r="AU36" s="11">
        <f>INDEX('[1]input data'!$G$1:$G$1108,AV85,1)</f>
        <v>23.99302214059308</v>
      </c>
      <c r="AV36" s="11">
        <f>INDEX('[1]input data'!$G$1:$G$1108,AW85,1)</f>
        <v>22.557899181286821</v>
      </c>
      <c r="AW36" s="11">
        <f>INDEX('[1]input data'!$G$1:$G$1108,AX85,1)</f>
        <v>22.858668311959782</v>
      </c>
      <c r="AX36" s="11">
        <f>INDEX('[1]input data'!$G$1:$G$1108,AY85,1)</f>
        <v>24.04070828220102</v>
      </c>
      <c r="AY36" s="11">
        <f>INDEX('[1]input data'!$G$1:$G$1108,AZ85,1)</f>
        <v>24.259540793368341</v>
      </c>
      <c r="AZ36" s="11">
        <f>INDEX('[1]input data'!$G$1:$G$1108,BA85,1)</f>
        <v>22.782662703120685</v>
      </c>
      <c r="BA36" s="12">
        <f t="shared" si="3"/>
        <v>24.259540793368341</v>
      </c>
      <c r="BB36" s="13">
        <f t="shared" si="4"/>
        <v>21.886741200021163</v>
      </c>
      <c r="BC36" s="16">
        <f t="shared" si="8"/>
        <v>22.866163304033641</v>
      </c>
    </row>
    <row r="37" spans="1:55" ht="14.25" customHeight="1" x14ac:dyDescent="0.25">
      <c r="A37" s="15">
        <v>29</v>
      </c>
      <c r="B37" s="11">
        <f>'[1]input data'!E1014</f>
        <v>25</v>
      </c>
      <c r="C37" s="11">
        <f>'[1]input data'!E1015</f>
        <v>26.6</v>
      </c>
      <c r="D37" s="11">
        <f>'[1]input data'!E1016</f>
        <v>27.4</v>
      </c>
      <c r="E37" s="11">
        <f>'[1]input data'!E1017</f>
        <v>29</v>
      </c>
      <c r="F37" s="11">
        <f>'[1]input data'!E1018</f>
        <v>29.8</v>
      </c>
      <c r="G37" s="11">
        <f>'[1]input data'!E1019</f>
        <v>30.6</v>
      </c>
      <c r="H37" s="11">
        <f>'[1]input data'!E1020</f>
        <v>31.8</v>
      </c>
      <c r="I37" s="11">
        <f>'[1]input data'!E1021</f>
        <v>31.1</v>
      </c>
      <c r="J37" s="11">
        <f>'[1]input data'!E1022</f>
        <v>30.3</v>
      </c>
      <c r="K37" s="11">
        <f>'[1]input data'!E1023</f>
        <v>27.6</v>
      </c>
      <c r="L37" s="11">
        <f>'[1]input data'!E1024</f>
        <v>26.4</v>
      </c>
      <c r="M37" s="11">
        <f>'[1]input data'!E1025</f>
        <v>25.7</v>
      </c>
      <c r="N37" s="11">
        <f>'[1]input data'!E1026</f>
        <v>25.3</v>
      </c>
      <c r="O37" s="12">
        <f t="shared" si="5"/>
        <v>31.8</v>
      </c>
      <c r="P37" s="13">
        <f t="shared" si="0"/>
        <v>25</v>
      </c>
      <c r="Q37" s="16">
        <f t="shared" si="6"/>
        <v>28.200000000000003</v>
      </c>
      <c r="T37" s="15">
        <v>29</v>
      </c>
      <c r="U37" s="11">
        <f>INDEX('[1]input data'!$F$1:$F$1108,U86,1)</f>
        <v>23.3</v>
      </c>
      <c r="V37" s="11">
        <f>INDEX('[1]input data'!$F$1:$F$1108,V86,1)</f>
        <v>24</v>
      </c>
      <c r="W37" s="11">
        <f>INDEX('[1]input data'!$F$1:$F$1108,W86,1)</f>
        <v>24.5</v>
      </c>
      <c r="X37" s="11">
        <f>INDEX('[1]input data'!$F$1:$F$1108,X86,1)</f>
        <v>25</v>
      </c>
      <c r="Y37" s="11">
        <f>INDEX('[1]input data'!$F$1:$F$1108,Y86,1)</f>
        <v>25.2</v>
      </c>
      <c r="Z37" s="11">
        <f>INDEX('[1]input data'!$F$1:$F$1108,Z86,1)</f>
        <v>25.1</v>
      </c>
      <c r="AA37" s="11">
        <f>INDEX('[1]input data'!$F$1:$F$1108,AA86,1)</f>
        <v>25</v>
      </c>
      <c r="AB37" s="11">
        <f>INDEX('[1]input data'!$F$1:$F$1108,AB86,1)</f>
        <v>25.9</v>
      </c>
      <c r="AC37" s="11">
        <f>INDEX('[1]input data'!$F$1:$F$1108,AC86,1)</f>
        <v>25.7</v>
      </c>
      <c r="AD37" s="11">
        <f>INDEX('[1]input data'!$F$1:$F$1108,AD86,1)</f>
        <v>24.8</v>
      </c>
      <c r="AE37" s="11">
        <f>INDEX('[1]input data'!$F$1:$F$1108,AE86,1)</f>
        <v>24</v>
      </c>
      <c r="AF37" s="11">
        <f>INDEX('[1]input data'!$F$1:$F$1108,AF86,1)</f>
        <v>23.6</v>
      </c>
      <c r="AG37" s="11">
        <f>INDEX('[1]input data'!$F$1:$F$1108,AG86,1)</f>
        <v>23.6</v>
      </c>
      <c r="AH37" s="12">
        <f t="shared" si="1"/>
        <v>25.9</v>
      </c>
      <c r="AI37" s="13">
        <f t="shared" si="2"/>
        <v>23.3</v>
      </c>
      <c r="AJ37" s="16">
        <f t="shared" si="7"/>
        <v>24.592307692307696</v>
      </c>
      <c r="AM37" s="15">
        <v>29</v>
      </c>
      <c r="AN37" s="11">
        <f>INDEX('[1]input data'!$G$1:$G$1108,AO86,1)</f>
        <v>22.400885909362238</v>
      </c>
      <c r="AO37" s="11">
        <f>INDEX('[1]input data'!$G$1:$G$1108,AP86,1)</f>
        <v>22.710351727825326</v>
      </c>
      <c r="AP37" s="11">
        <f>INDEX('[1]input data'!$G$1:$G$1108,AQ86,1)</f>
        <v>23.104020850518559</v>
      </c>
      <c r="AQ37" s="11">
        <f>INDEX('[1]input data'!$G$1:$G$1108,AR86,1)</f>
        <v>23.13765699199967</v>
      </c>
      <c r="AR37" s="11">
        <f>INDEX('[1]input data'!$G$1:$G$1108,AS86,1)</f>
        <v>23.081131949841016</v>
      </c>
      <c r="AS37" s="11">
        <f>INDEX('[1]input data'!$G$1:$G$1108,AT86,1)</f>
        <v>22.546107734515989</v>
      </c>
      <c r="AT37" s="11">
        <f>INDEX('[1]input data'!$G$1:$G$1108,AU86,1)</f>
        <v>21.798893378468534</v>
      </c>
      <c r="AU37" s="11">
        <f>INDEX('[1]input data'!$G$1:$G$1108,AV86,1)</f>
        <v>23.588880760079434</v>
      </c>
      <c r="AV37" s="11">
        <f>INDEX('[1]input data'!$G$1:$G$1108,AW86,1)</f>
        <v>23.635993633454174</v>
      </c>
      <c r="AW37" s="11">
        <f>INDEX('[1]input data'!$G$1:$G$1108,AX86,1)</f>
        <v>23.470377859669266</v>
      </c>
      <c r="AX37" s="11">
        <f>INDEX('[1]input data'!$G$1:$G$1108,AY86,1)</f>
        <v>22.804533908537021</v>
      </c>
      <c r="AY37" s="11">
        <f>INDEX('[1]input data'!$G$1:$G$1108,AZ86,1)</f>
        <v>22.52400204516346</v>
      </c>
      <c r="AZ37" s="11">
        <f>INDEX('[1]input data'!$G$1:$G$1108,BA86,1)</f>
        <v>22.713748663769724</v>
      </c>
      <c r="BA37" s="12">
        <f t="shared" si="3"/>
        <v>23.635993633454174</v>
      </c>
      <c r="BB37" s="13">
        <f t="shared" si="4"/>
        <v>21.798893378468534</v>
      </c>
      <c r="BC37" s="16">
        <f t="shared" si="8"/>
        <v>22.88589118563111</v>
      </c>
    </row>
    <row r="38" spans="1:55" ht="14.25" customHeight="1" x14ac:dyDescent="0.25">
      <c r="A38" s="15">
        <v>30</v>
      </c>
      <c r="B38" s="11">
        <f>'[1]input data'!E1050</f>
        <v>24.1</v>
      </c>
      <c r="C38" s="11">
        <f>'[1]input data'!E1051</f>
        <v>25.6</v>
      </c>
      <c r="D38" s="11">
        <f>'[1]input data'!E1052</f>
        <v>27.4</v>
      </c>
      <c r="E38" s="11">
        <f>'[1]input data'!E1053</f>
        <v>29.4</v>
      </c>
      <c r="F38" s="11">
        <f>'[1]input data'!E1054</f>
        <v>30.8</v>
      </c>
      <c r="G38" s="11">
        <f>'[1]input data'!E1055</f>
        <v>31.8</v>
      </c>
      <c r="H38" s="11">
        <f>'[1]input data'!E1056</f>
        <v>33.200000000000003</v>
      </c>
      <c r="I38" s="11">
        <f>'[1]input data'!E1057</f>
        <v>33.6</v>
      </c>
      <c r="J38" s="11">
        <f>'[1]input data'!E1058</f>
        <v>30.2</v>
      </c>
      <c r="K38" s="11">
        <f>'[1]input data'!E1059</f>
        <v>28.6</v>
      </c>
      <c r="L38" s="11">
        <f>'[1]input data'!E1060</f>
        <v>27.6</v>
      </c>
      <c r="M38" s="11">
        <f>'[1]input data'!E1061</f>
        <v>26.6</v>
      </c>
      <c r="N38" s="11">
        <f>'[1]input data'!E1062</f>
        <v>24.4</v>
      </c>
      <c r="O38" s="12">
        <f t="shared" si="5"/>
        <v>33.6</v>
      </c>
      <c r="P38" s="13">
        <f t="shared" si="0"/>
        <v>24.1</v>
      </c>
      <c r="Q38" s="16">
        <f t="shared" si="6"/>
        <v>28.715384615384622</v>
      </c>
      <c r="T38" s="15">
        <v>30</v>
      </c>
      <c r="U38" s="11">
        <f>INDEX('[1]input data'!$F$1:$F$1108,U87,1)</f>
        <v>22.8</v>
      </c>
      <c r="V38" s="11">
        <f>INDEX('[1]input data'!$F$1:$F$1108,V87,1)</f>
        <v>23.4</v>
      </c>
      <c r="W38" s="11">
        <f>INDEX('[1]input data'!$F$1:$F$1108,W87,1)</f>
        <v>23.8</v>
      </c>
      <c r="X38" s="11">
        <f>INDEX('[1]input data'!$F$1:$F$1108,X87,1)</f>
        <v>24.8</v>
      </c>
      <c r="Y38" s="11">
        <f>INDEX('[1]input data'!$F$1:$F$1108,Y87,1)</f>
        <v>25</v>
      </c>
      <c r="Z38" s="11">
        <f>INDEX('[1]input data'!$F$1:$F$1108,Z87,1)</f>
        <v>25.4</v>
      </c>
      <c r="AA38" s="11">
        <f>INDEX('[1]input data'!$F$1:$F$1108,AA87,1)</f>
        <v>23.6</v>
      </c>
      <c r="AB38" s="11">
        <f>INDEX('[1]input data'!$F$1:$F$1108,AB87,1)</f>
        <v>24</v>
      </c>
      <c r="AC38" s="11">
        <f>INDEX('[1]input data'!$F$1:$F$1108,AC87,1)</f>
        <v>26.2</v>
      </c>
      <c r="AD38" s="11">
        <f>INDEX('[1]input data'!$F$1:$F$1108,AD87,1)</f>
        <v>25.6</v>
      </c>
      <c r="AE38" s="11">
        <f>INDEX('[1]input data'!$F$1:$F$1108,AE87,1)</f>
        <v>24.6</v>
      </c>
      <c r="AF38" s="11">
        <f>INDEX('[1]input data'!$F$1:$F$1108,AF87,1)</f>
        <v>24.8</v>
      </c>
      <c r="AG38" s="11">
        <f>INDEX('[1]input data'!$F$1:$F$1108,AG87,1)</f>
        <v>23.4</v>
      </c>
      <c r="AH38" s="12">
        <f t="shared" si="1"/>
        <v>26.2</v>
      </c>
      <c r="AI38" s="13">
        <f t="shared" si="2"/>
        <v>22.8</v>
      </c>
      <c r="AJ38" s="16">
        <f t="shared" si="7"/>
        <v>24.415384615384614</v>
      </c>
      <c r="AM38" s="15">
        <v>30</v>
      </c>
      <c r="AN38" s="11">
        <f>INDEX('[1]input data'!$G$1:$G$1108,AO87,1)</f>
        <v>22.075218157265112</v>
      </c>
      <c r="AO38" s="11">
        <f>INDEX('[1]input data'!$G$1:$G$1108,AP87,1)</f>
        <v>22.265061411393539</v>
      </c>
      <c r="AP38" s="11">
        <f>INDEX('[1]input data'!$G$1:$G$1108,AQ87,1)</f>
        <v>22.013710163189856</v>
      </c>
      <c r="AQ38" s="11">
        <f>INDEX('[1]input data'!$G$1:$G$1108,AR87,1)</f>
        <v>22.635900736480924</v>
      </c>
      <c r="AR38" s="11">
        <f>INDEX('[1]input data'!$G$1:$G$1108,AS87,1)</f>
        <v>22.288017674935872</v>
      </c>
      <c r="AS38" s="11">
        <f>INDEX('[1]input data'!$G$1:$G$1108,AT87,1)</f>
        <v>22.461217290434405</v>
      </c>
      <c r="AT38" s="11">
        <f>INDEX('[1]input data'!$G$1:$G$1108,AU87,1)</f>
        <v>18.554367770771236</v>
      </c>
      <c r="AU38" s="11">
        <f>INDEX('[1]input data'!$G$1:$G$1108,AV87,1)</f>
        <v>19.074032797795194</v>
      </c>
      <c r="AV38" s="11">
        <f>INDEX('[1]input data'!$G$1:$G$1108,AW87,1)</f>
        <v>24.449360428169875</v>
      </c>
      <c r="AW38" s="11">
        <f>INDEX('[1]input data'!$G$1:$G$1108,AX87,1)</f>
        <v>24.235377202799327</v>
      </c>
      <c r="AX38" s="11">
        <f>INDEX('[1]input data'!$G$1:$G$1108,AY87,1)</f>
        <v>23.165015271595813</v>
      </c>
      <c r="AY38" s="11">
        <f>INDEX('[1]input data'!$G$1:$G$1108,AZ87,1)</f>
        <v>23.918598073842094</v>
      </c>
      <c r="AZ38" s="11">
        <f>INDEX('[1]input data'!$G$1:$G$1108,BA87,1)</f>
        <v>22.836338621391949</v>
      </c>
      <c r="BA38" s="12">
        <f t="shared" si="3"/>
        <v>24.449360428169875</v>
      </c>
      <c r="BB38" s="13">
        <f t="shared" si="4"/>
        <v>18.554367770771236</v>
      </c>
      <c r="BC38" s="16">
        <f t="shared" si="8"/>
        <v>22.305555046158865</v>
      </c>
    </row>
    <row r="39" spans="1:55" ht="14.25" customHeight="1" thickBot="1" x14ac:dyDescent="0.3">
      <c r="A39" s="15">
        <v>31</v>
      </c>
      <c r="B39" s="11">
        <f>'[1]input data'!E1086</f>
        <v>24</v>
      </c>
      <c r="C39" s="11">
        <f>'[1]input data'!E1087</f>
        <v>25.4</v>
      </c>
      <c r="D39" s="11">
        <f>'[1]input data'!E1088</f>
        <v>27.4</v>
      </c>
      <c r="E39" s="11">
        <f>'[1]input data'!E1089</f>
        <v>29</v>
      </c>
      <c r="F39" s="11">
        <f>'[1]input data'!E1090</f>
        <v>29.6</v>
      </c>
      <c r="G39" s="11">
        <f>'[1]input data'!E1091</f>
        <v>30.1</v>
      </c>
      <c r="H39" s="11">
        <f>'[1]input data'!E1092</f>
        <v>30.6</v>
      </c>
      <c r="I39" s="11">
        <f>'[1]input data'!E1093</f>
        <v>29.8</v>
      </c>
      <c r="J39" s="11">
        <f>'[1]input data'!E1094</f>
        <v>28.8</v>
      </c>
      <c r="K39" s="11">
        <f>'[1]input data'!E1095</f>
        <v>28.4</v>
      </c>
      <c r="L39" s="11">
        <f>'[1]input data'!E1096</f>
        <v>26.8</v>
      </c>
      <c r="M39" s="11">
        <f>'[1]input data'!E1097</f>
        <v>26</v>
      </c>
      <c r="N39" s="11">
        <f>'[1]input data'!E1098</f>
        <v>25.2</v>
      </c>
      <c r="O39" s="17">
        <f t="shared" si="5"/>
        <v>30.6</v>
      </c>
      <c r="P39" s="18">
        <f t="shared" si="0"/>
        <v>24</v>
      </c>
      <c r="Q39" s="19">
        <f t="shared" si="6"/>
        <v>27.776923076923079</v>
      </c>
      <c r="T39" s="15">
        <v>31</v>
      </c>
      <c r="U39" s="11">
        <f>INDEX('[1]input data'!$F$1:$F$1108,U88,1)</f>
        <v>22.6</v>
      </c>
      <c r="V39" s="11">
        <f>INDEX('[1]input data'!$F$1:$F$1108,V88,1)</f>
        <v>23</v>
      </c>
      <c r="W39" s="11">
        <f>INDEX('[1]input data'!$F$1:$F$1108,W88,1)</f>
        <v>24.3</v>
      </c>
      <c r="X39" s="11">
        <f>INDEX('[1]input data'!$F$1:$F$1108,X88,1)</f>
        <v>25</v>
      </c>
      <c r="Y39" s="11">
        <f>INDEX('[1]input data'!$F$1:$F$1108,Y88,1)</f>
        <v>25</v>
      </c>
      <c r="Z39" s="11">
        <f>INDEX('[1]input data'!$F$1:$F$1108,Z88,1)</f>
        <v>25.2</v>
      </c>
      <c r="AA39" s="11">
        <f>INDEX('[1]input data'!$F$1:$F$1108,AA88,1)</f>
        <v>25.4</v>
      </c>
      <c r="AB39" s="11">
        <f>INDEX('[1]input data'!$F$1:$F$1108,AB88,1)</f>
        <v>26</v>
      </c>
      <c r="AC39" s="11">
        <f>INDEX('[1]input data'!$F$1:$F$1108,AC88,1)</f>
        <v>25.6</v>
      </c>
      <c r="AD39" s="11">
        <f>INDEX('[1]input data'!$F$1:$F$1108,AD88,1)</f>
        <v>25.2</v>
      </c>
      <c r="AE39" s="11">
        <f>INDEX('[1]input data'!$F$1:$F$1108,AE88,1)</f>
        <v>25</v>
      </c>
      <c r="AF39" s="11">
        <f>INDEX('[1]input data'!$F$1:$F$1108,AF88,1)</f>
        <v>24.8</v>
      </c>
      <c r="AG39" s="11">
        <f>INDEX('[1]input data'!$F$1:$F$1108,AG88,1)</f>
        <v>24.6</v>
      </c>
      <c r="AH39" s="12">
        <f t="shared" si="1"/>
        <v>26</v>
      </c>
      <c r="AI39" s="20">
        <f t="shared" si="2"/>
        <v>22.6</v>
      </c>
      <c r="AJ39" s="19">
        <f t="shared" si="7"/>
        <v>24.746153846153845</v>
      </c>
      <c r="AM39" s="15">
        <v>31</v>
      </c>
      <c r="AN39" s="11">
        <f>INDEX('[1]input data'!$G$1:$G$1108,AO88,1)</f>
        <v>21.818982335509961</v>
      </c>
      <c r="AO39" s="11">
        <f>INDEX('[1]input data'!$G$1:$G$1108,AP88,1)</f>
        <v>21.743085824045714</v>
      </c>
      <c r="AP39" s="11">
        <f>INDEX('[1]input data'!$G$1:$G$1108,AQ88,1)</f>
        <v>22.796069393403265</v>
      </c>
      <c r="AQ39" s="11">
        <f>INDEX('[1]input data'!$G$1:$G$1108,AR88,1)</f>
        <v>23.13765699199967</v>
      </c>
      <c r="AR39" s="11">
        <f>INDEX('[1]input data'!$G$1:$G$1108,AS88,1)</f>
        <v>22.858668311959782</v>
      </c>
      <c r="AS39" s="11">
        <f>INDEX('[1]input data'!$G$1:$G$1108,AT88,1)</f>
        <v>22.941732713579075</v>
      </c>
      <c r="AT39" s="11">
        <f>INDEX('[1]input data'!$G$1:$G$1108,AU88,1)</f>
        <v>23.026747545268133</v>
      </c>
      <c r="AU39" s="11">
        <f>INDEX('[1]input data'!$G$1:$G$1108,AV88,1)</f>
        <v>24.318314056671813</v>
      </c>
      <c r="AV39" s="11">
        <f>INDEX('[1]input data'!$G$1:$G$1108,AW88,1)</f>
        <v>24.148033521051371</v>
      </c>
      <c r="AW39" s="11">
        <f>INDEX('[1]input data'!$G$1:$G$1108,AX88,1)</f>
        <v>23.718447763009451</v>
      </c>
      <c r="AX39" s="11">
        <f>INDEX('[1]input data'!$G$1:$G$1108,AY88,1)</f>
        <v>24.126908752194279</v>
      </c>
      <c r="AY39" s="11">
        <f>INDEX('[1]input data'!$G$1:$G$1108,AZ88,1)</f>
        <v>24.182556068191992</v>
      </c>
      <c r="AZ39" s="11">
        <f>INDEX('[1]input data'!$G$1:$G$1108,BA88,1)</f>
        <v>24.240171052708501</v>
      </c>
      <c r="BA39" s="17">
        <f t="shared" si="3"/>
        <v>24.318314056671813</v>
      </c>
      <c r="BB39" s="18">
        <f t="shared" si="4"/>
        <v>21.743085824045714</v>
      </c>
      <c r="BC39" s="19">
        <f t="shared" si="8"/>
        <v>23.312105717661002</v>
      </c>
    </row>
    <row r="40" spans="1:55" ht="14.25" customHeight="1" thickTop="1" x14ac:dyDescent="0.25">
      <c r="A40" s="21" t="s">
        <v>25</v>
      </c>
      <c r="B40" s="22">
        <f t="shared" ref="B40:Q40" si="9">MAX(B9:B39)</f>
        <v>27.9</v>
      </c>
      <c r="C40" s="22">
        <f t="shared" si="9"/>
        <v>28.8</v>
      </c>
      <c r="D40" s="22">
        <f t="shared" si="9"/>
        <v>29.8</v>
      </c>
      <c r="E40" s="22">
        <f t="shared" si="9"/>
        <v>31</v>
      </c>
      <c r="F40" s="22">
        <f t="shared" si="9"/>
        <v>32.200000000000003</v>
      </c>
      <c r="G40" s="22">
        <f t="shared" si="9"/>
        <v>33.200000000000003</v>
      </c>
      <c r="H40" s="22">
        <f t="shared" si="9"/>
        <v>33.6</v>
      </c>
      <c r="I40" s="22">
        <f t="shared" si="9"/>
        <v>33.700000000000003</v>
      </c>
      <c r="J40" s="22">
        <f t="shared" si="9"/>
        <v>32.5</v>
      </c>
      <c r="K40" s="22">
        <f t="shared" si="9"/>
        <v>32</v>
      </c>
      <c r="L40" s="22">
        <f t="shared" si="9"/>
        <v>30</v>
      </c>
      <c r="M40" s="22">
        <f t="shared" si="9"/>
        <v>28.6</v>
      </c>
      <c r="N40" s="22">
        <f t="shared" si="9"/>
        <v>28</v>
      </c>
      <c r="O40" s="12">
        <f t="shared" si="9"/>
        <v>33.700000000000003</v>
      </c>
      <c r="P40" s="23">
        <f t="shared" si="9"/>
        <v>26.4</v>
      </c>
      <c r="Q40" s="24">
        <f t="shared" si="9"/>
        <v>30.26923076923077</v>
      </c>
      <c r="T40" s="21" t="s">
        <v>25</v>
      </c>
      <c r="U40" s="22">
        <f t="shared" ref="U40:AJ40" si="10">MAX(U9:U39)</f>
        <v>25</v>
      </c>
      <c r="V40" s="22">
        <f t="shared" si="10"/>
        <v>25.6</v>
      </c>
      <c r="W40" s="22">
        <f t="shared" si="10"/>
        <v>26</v>
      </c>
      <c r="X40" s="22">
        <f t="shared" si="10"/>
        <v>26.6</v>
      </c>
      <c r="Y40" s="22">
        <f t="shared" si="10"/>
        <v>26.5</v>
      </c>
      <c r="Z40" s="22">
        <f t="shared" si="10"/>
        <v>27</v>
      </c>
      <c r="AA40" s="22">
        <f t="shared" si="10"/>
        <v>27.4</v>
      </c>
      <c r="AB40" s="22">
        <f t="shared" si="10"/>
        <v>27</v>
      </c>
      <c r="AC40" s="22">
        <f t="shared" si="10"/>
        <v>27.6</v>
      </c>
      <c r="AD40" s="22">
        <f t="shared" si="10"/>
        <v>27.2</v>
      </c>
      <c r="AE40" s="22">
        <f t="shared" si="10"/>
        <v>27</v>
      </c>
      <c r="AF40" s="22">
        <f t="shared" si="10"/>
        <v>26.4</v>
      </c>
      <c r="AG40" s="22">
        <f t="shared" si="10"/>
        <v>26.1</v>
      </c>
      <c r="AH40" s="25">
        <f t="shared" si="10"/>
        <v>27.6</v>
      </c>
      <c r="AI40" s="23">
        <f t="shared" si="10"/>
        <v>25</v>
      </c>
      <c r="AJ40" s="24">
        <f t="shared" si="10"/>
        <v>26.138461538461538</v>
      </c>
      <c r="AM40" s="21" t="s">
        <v>25</v>
      </c>
      <c r="AN40" s="22">
        <f t="shared" ref="AN40:BC40" si="11">MAX(AN9:AN39)</f>
        <v>24.645631305674684</v>
      </c>
      <c r="AO40" s="22">
        <f t="shared" si="11"/>
        <v>24.780993312524082</v>
      </c>
      <c r="AP40" s="22">
        <f t="shared" si="11"/>
        <v>24.500299080469489</v>
      </c>
      <c r="AQ40" s="22">
        <f t="shared" si="11"/>
        <v>25.383655494177017</v>
      </c>
      <c r="AR40" s="22">
        <f t="shared" si="11"/>
        <v>24.921074218465066</v>
      </c>
      <c r="AS40" s="22">
        <f t="shared" si="11"/>
        <v>25.277894615753311</v>
      </c>
      <c r="AT40" s="22">
        <f t="shared" si="11"/>
        <v>25.792911049944003</v>
      </c>
      <c r="AU40" s="22">
        <f t="shared" si="11"/>
        <v>25.171696448407815</v>
      </c>
      <c r="AV40" s="22">
        <f t="shared" si="11"/>
        <v>25.607350669558613</v>
      </c>
      <c r="AW40" s="22">
        <f t="shared" si="11"/>
        <v>26.210768381032615</v>
      </c>
      <c r="AX40" s="22">
        <f t="shared" si="11"/>
        <v>25.967098619065382</v>
      </c>
      <c r="AY40" s="22">
        <f t="shared" si="11"/>
        <v>25.419099587645718</v>
      </c>
      <c r="AZ40" s="22">
        <f t="shared" si="11"/>
        <v>25.516958861934871</v>
      </c>
      <c r="BA40" s="12">
        <f t="shared" si="11"/>
        <v>26.210768381032615</v>
      </c>
      <c r="BB40" s="23">
        <f t="shared" si="11"/>
        <v>24.148033521051371</v>
      </c>
      <c r="BC40" s="24">
        <f t="shared" si="11"/>
        <v>24.692255511227877</v>
      </c>
    </row>
    <row r="41" spans="1:55" ht="14.25" customHeight="1" x14ac:dyDescent="0.25">
      <c r="A41" s="15" t="s">
        <v>26</v>
      </c>
      <c r="B41" s="26">
        <f t="shared" ref="B41:Q41" si="12">MIN(B9:B39)</f>
        <v>23.4</v>
      </c>
      <c r="C41" s="26">
        <f t="shared" si="12"/>
        <v>25</v>
      </c>
      <c r="D41" s="26">
        <f t="shared" si="12"/>
        <v>26.4</v>
      </c>
      <c r="E41" s="26">
        <f t="shared" si="12"/>
        <v>27.7</v>
      </c>
      <c r="F41" s="26">
        <f t="shared" si="12"/>
        <v>28.2</v>
      </c>
      <c r="G41" s="26">
        <f t="shared" si="12"/>
        <v>27</v>
      </c>
      <c r="H41" s="26">
        <f t="shared" si="12"/>
        <v>25.4</v>
      </c>
      <c r="I41" s="26">
        <f t="shared" si="12"/>
        <v>24.4</v>
      </c>
      <c r="J41" s="26">
        <f t="shared" si="12"/>
        <v>22.9</v>
      </c>
      <c r="K41" s="26">
        <f t="shared" si="12"/>
        <v>23.1</v>
      </c>
      <c r="L41" s="26">
        <f t="shared" si="12"/>
        <v>23</v>
      </c>
      <c r="M41" s="26">
        <f t="shared" si="12"/>
        <v>22.4</v>
      </c>
      <c r="N41" s="26">
        <f t="shared" si="12"/>
        <v>22.5</v>
      </c>
      <c r="O41" s="27">
        <f t="shared" si="12"/>
        <v>28.2</v>
      </c>
      <c r="P41" s="26">
        <f t="shared" si="12"/>
        <v>22.4</v>
      </c>
      <c r="Q41" s="28">
        <f t="shared" si="12"/>
        <v>24.923076923076923</v>
      </c>
      <c r="T41" s="15" t="s">
        <v>26</v>
      </c>
      <c r="U41" s="26">
        <f t="shared" ref="U41:AJ41" si="13">MIN(U9:U39)</f>
        <v>22</v>
      </c>
      <c r="V41" s="26">
        <f t="shared" si="13"/>
        <v>23</v>
      </c>
      <c r="W41" s="26">
        <f t="shared" si="13"/>
        <v>23.8</v>
      </c>
      <c r="X41" s="26">
        <f t="shared" si="13"/>
        <v>24.6</v>
      </c>
      <c r="Y41" s="26">
        <f t="shared" si="13"/>
        <v>23.9</v>
      </c>
      <c r="Z41" s="26">
        <f t="shared" si="13"/>
        <v>24</v>
      </c>
      <c r="AA41" s="26">
        <f t="shared" si="13"/>
        <v>23.6</v>
      </c>
      <c r="AB41" s="26">
        <f t="shared" si="13"/>
        <v>23.4</v>
      </c>
      <c r="AC41" s="26">
        <f t="shared" si="13"/>
        <v>22.6</v>
      </c>
      <c r="AD41" s="26">
        <f t="shared" si="13"/>
        <v>22.9</v>
      </c>
      <c r="AE41" s="26">
        <f t="shared" si="13"/>
        <v>22.8</v>
      </c>
      <c r="AF41" s="26">
        <f t="shared" si="13"/>
        <v>22.2</v>
      </c>
      <c r="AG41" s="26">
        <f t="shared" si="13"/>
        <v>22.3</v>
      </c>
      <c r="AH41" s="27">
        <f t="shared" si="13"/>
        <v>25.2</v>
      </c>
      <c r="AI41" s="26">
        <f t="shared" si="13"/>
        <v>22</v>
      </c>
      <c r="AJ41" s="28">
        <f t="shared" si="13"/>
        <v>23.723076923076921</v>
      </c>
      <c r="AM41" s="15" t="s">
        <v>26</v>
      </c>
      <c r="AN41" s="26">
        <f t="shared" ref="AN41:BC41" si="14">MIN(AN9:AN39)</f>
        <v>21.196373458783889</v>
      </c>
      <c r="AO41" s="26">
        <f t="shared" si="14"/>
        <v>21.743085824045714</v>
      </c>
      <c r="AP41" s="26">
        <f t="shared" si="14"/>
        <v>22.013710163189856</v>
      </c>
      <c r="AQ41" s="26">
        <f t="shared" si="14"/>
        <v>22.025168782248613</v>
      </c>
      <c r="AR41" s="26">
        <f t="shared" si="14"/>
        <v>20.967944691485776</v>
      </c>
      <c r="AS41" s="26">
        <f t="shared" si="14"/>
        <v>20.508989309109545</v>
      </c>
      <c r="AT41" s="26">
        <f t="shared" si="14"/>
        <v>18.554367770771236</v>
      </c>
      <c r="AU41" s="26">
        <f t="shared" si="14"/>
        <v>19.074032797795194</v>
      </c>
      <c r="AV41" s="26">
        <f t="shared" si="14"/>
        <v>21.13959302807228</v>
      </c>
      <c r="AW41" s="26">
        <f t="shared" si="14"/>
        <v>22.705276554090879</v>
      </c>
      <c r="AX41" s="26">
        <f t="shared" si="14"/>
        <v>22.604760645934597</v>
      </c>
      <c r="AY41" s="26">
        <f t="shared" si="14"/>
        <v>22.001602394793437</v>
      </c>
      <c r="AZ41" s="26">
        <f t="shared" si="14"/>
        <v>22.102136355683452</v>
      </c>
      <c r="BA41" s="27">
        <f t="shared" si="14"/>
        <v>23.635993633454174</v>
      </c>
      <c r="BB41" s="26">
        <f t="shared" si="14"/>
        <v>18.554367770771236</v>
      </c>
      <c r="BC41" s="28">
        <f t="shared" si="14"/>
        <v>22.305555046158865</v>
      </c>
    </row>
    <row r="42" spans="1:55" ht="14.25" customHeight="1" thickBot="1" x14ac:dyDescent="0.3">
      <c r="A42" s="29" t="s">
        <v>27</v>
      </c>
      <c r="B42" s="18">
        <f t="shared" ref="B42:Q42" si="15">AVERAGE(B9:B39)</f>
        <v>25.206451612903226</v>
      </c>
      <c r="C42" s="18">
        <f t="shared" si="15"/>
        <v>26.774193548387096</v>
      </c>
      <c r="D42" s="18">
        <f t="shared" si="15"/>
        <v>28.225806451612904</v>
      </c>
      <c r="E42" s="18">
        <f t="shared" si="15"/>
        <v>29.412903225806456</v>
      </c>
      <c r="F42" s="18">
        <f t="shared" si="15"/>
        <v>30.35806451612903</v>
      </c>
      <c r="G42" s="18">
        <f t="shared" si="15"/>
        <v>30.983870967741932</v>
      </c>
      <c r="H42" s="18">
        <f t="shared" si="15"/>
        <v>31.225806451612904</v>
      </c>
      <c r="I42" s="18">
        <f t="shared" si="15"/>
        <v>30.880645161290317</v>
      </c>
      <c r="J42" s="18">
        <f t="shared" si="15"/>
        <v>30.087096774193544</v>
      </c>
      <c r="K42" s="18">
        <f t="shared" si="15"/>
        <v>28.716129032258063</v>
      </c>
      <c r="L42" s="18">
        <f t="shared" si="15"/>
        <v>27.280645161290316</v>
      </c>
      <c r="M42" s="18">
        <f t="shared" si="15"/>
        <v>26.448387096774201</v>
      </c>
      <c r="N42" s="18">
        <f t="shared" si="15"/>
        <v>25.783870967741933</v>
      </c>
      <c r="O42" s="17">
        <f t="shared" si="15"/>
        <v>31.7</v>
      </c>
      <c r="P42" s="18">
        <f t="shared" si="15"/>
        <v>24.793548387096774</v>
      </c>
      <c r="Q42" s="19">
        <f t="shared" si="15"/>
        <v>28.567990074441688</v>
      </c>
      <c r="T42" s="29" t="s">
        <v>27</v>
      </c>
      <c r="U42" s="18">
        <f t="shared" ref="U42:AJ42" si="16">AVERAGE(U9:U39)</f>
        <v>23.993548387096769</v>
      </c>
      <c r="V42" s="18">
        <f t="shared" si="16"/>
        <v>24.56129032258065</v>
      </c>
      <c r="W42" s="18">
        <f t="shared" si="16"/>
        <v>25.064516129032253</v>
      </c>
      <c r="X42" s="18">
        <f t="shared" si="16"/>
        <v>25.403225806451609</v>
      </c>
      <c r="Y42" s="18">
        <f t="shared" si="16"/>
        <v>25.593548387096778</v>
      </c>
      <c r="Z42" s="18">
        <f t="shared" si="16"/>
        <v>25.825806451612909</v>
      </c>
      <c r="AA42" s="18">
        <f t="shared" si="16"/>
        <v>25.761290322580653</v>
      </c>
      <c r="AB42" s="18">
        <f t="shared" si="16"/>
        <v>25.829032258064515</v>
      </c>
      <c r="AC42" s="18">
        <f t="shared" si="16"/>
        <v>25.796774193548391</v>
      </c>
      <c r="AD42" s="18">
        <f t="shared" si="16"/>
        <v>25.609677419354835</v>
      </c>
      <c r="AE42" s="18">
        <f t="shared" si="16"/>
        <v>25.061290322580643</v>
      </c>
      <c r="AF42" s="18">
        <f t="shared" si="16"/>
        <v>24.738709677419354</v>
      </c>
      <c r="AG42" s="18">
        <f t="shared" si="16"/>
        <v>24.425806451612907</v>
      </c>
      <c r="AH42" s="17">
        <f t="shared" si="16"/>
        <v>26.529032258064518</v>
      </c>
      <c r="AI42" s="18">
        <f t="shared" si="16"/>
        <v>23.670967741935481</v>
      </c>
      <c r="AJ42" s="19">
        <f t="shared" si="16"/>
        <v>25.204962779156329</v>
      </c>
      <c r="AM42" s="29" t="s">
        <v>27</v>
      </c>
      <c r="AN42" s="18">
        <f t="shared" ref="AN42:BC42" si="17">AVERAGE(AN9:AN39)</f>
        <v>23.344717439124633</v>
      </c>
      <c r="AO42" s="18">
        <f t="shared" si="17"/>
        <v>23.482565942547158</v>
      </c>
      <c r="AP42" s="18">
        <f t="shared" si="17"/>
        <v>23.586580456310497</v>
      </c>
      <c r="AQ42" s="18">
        <f t="shared" si="17"/>
        <v>23.567856888403028</v>
      </c>
      <c r="AR42" s="18">
        <f t="shared" si="17"/>
        <v>23.430602675334178</v>
      </c>
      <c r="AS42" s="18">
        <f t="shared" si="17"/>
        <v>23.503509479663411</v>
      </c>
      <c r="AT42" s="18">
        <f t="shared" si="17"/>
        <v>23.274450584215515</v>
      </c>
      <c r="AU42" s="18">
        <f t="shared" si="17"/>
        <v>23.548652542139102</v>
      </c>
      <c r="AV42" s="18">
        <f t="shared" si="17"/>
        <v>23.873024608179662</v>
      </c>
      <c r="AW42" s="18">
        <f t="shared" si="17"/>
        <v>24.201200180074363</v>
      </c>
      <c r="AX42" s="18">
        <f t="shared" si="17"/>
        <v>24.012240863047285</v>
      </c>
      <c r="AY42" s="18">
        <f t="shared" si="17"/>
        <v>23.898208838241697</v>
      </c>
      <c r="AZ42" s="18">
        <f t="shared" si="17"/>
        <v>23.728146614897746</v>
      </c>
      <c r="BA42" s="17">
        <f t="shared" si="17"/>
        <v>24.899858188591338</v>
      </c>
      <c r="BB42" s="18">
        <f t="shared" si="17"/>
        <v>22.316685554992667</v>
      </c>
      <c r="BC42" s="19">
        <f t="shared" si="17"/>
        <v>23.650135162475248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[1]QFF!C42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[1]QFF!C43</f>
        <v>Kepala Stasiun Klimatologi Kelas IV</v>
      </c>
      <c r="N45" s="1" t="str">
        <f>[1]QFF!N43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">
        <v>30</v>
      </c>
      <c r="N46" s="1"/>
      <c r="T46" s="1"/>
      <c r="V46" s="1" t="str">
        <f>C46</f>
        <v>D.I Yogyakarta</v>
      </c>
      <c r="AG46" s="1"/>
      <c r="AM46" s="1"/>
      <c r="AO46" s="1" t="str">
        <f>V46</f>
        <v>D.I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[1]QFF!C49</f>
        <v>RENI KRANINGTYAS, SP, M.Si</v>
      </c>
      <c r="N51" s="30" t="str">
        <f>[1]QFF!N49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[1]QFF!C50</f>
        <v>NIP.  19740203 199703 2 001</v>
      </c>
      <c r="N52" s="1" t="str">
        <f>[1]QFF!N50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59">
    <mergeCell ref="Y1:AE1"/>
    <mergeCell ref="AR1:AX1"/>
    <mergeCell ref="G4:K4"/>
    <mergeCell ref="O4:Q4"/>
    <mergeCell ref="Z4:AD4"/>
    <mergeCell ref="AH4:AJ4"/>
    <mergeCell ref="AS4:AW4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</mergeCells>
  <pageMargins left="1.299212598425197" right="0.70866141732283472" top="0.35433070866141736" bottom="0.15748031496062992" header="0.31496062992125984" footer="0.31496062992125984"/>
  <pageSetup paperSize="9" scale="75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BE90"/>
  <sheetViews>
    <sheetView topLeftCell="A4"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ht="15.6" x14ac:dyDescent="0.3">
      <c r="F1" s="93" t="s">
        <v>32</v>
      </c>
      <c r="G1" s="93"/>
      <c r="H1" s="93"/>
      <c r="I1" s="93"/>
      <c r="J1" s="93"/>
      <c r="K1" s="93"/>
      <c r="L1" s="93"/>
      <c r="T1" s="1"/>
      <c r="Y1" s="93" t="str">
        <f>F1</f>
        <v>STASIUN KLIMATOLOGI KELAS IV D.I.YOGYAKARTA</v>
      </c>
      <c r="Z1" s="93"/>
      <c r="AA1" s="93"/>
      <c r="AB1" s="93"/>
      <c r="AC1" s="93"/>
      <c r="AD1" s="93"/>
      <c r="AE1" s="93"/>
      <c r="AM1" s="1"/>
      <c r="AO1" s="2"/>
      <c r="AP1" s="2"/>
      <c r="AQ1" s="2"/>
      <c r="AR1" s="93" t="str">
        <f>Y1</f>
        <v>STASIUN KLIMATOLOGI KELAS IV D.I.YOGYAKARTA</v>
      </c>
      <c r="AS1" s="93"/>
      <c r="AT1" s="93"/>
      <c r="AU1" s="93"/>
      <c r="AV1" s="93"/>
      <c r="AW1" s="93"/>
      <c r="AX1" s="93"/>
      <c r="AY1" s="2"/>
      <c r="AZ1" s="2"/>
      <c r="BA1" s="2"/>
    </row>
    <row r="2" spans="1:57" x14ac:dyDescent="0.25">
      <c r="F2" s="3"/>
      <c r="G2" s="3"/>
      <c r="H2" s="3"/>
      <c r="I2" s="3"/>
      <c r="J2" s="3"/>
      <c r="K2" s="3"/>
      <c r="L2" s="3"/>
      <c r="T2" s="1"/>
      <c r="Y2" s="3"/>
      <c r="Z2" s="3"/>
      <c r="AA2" s="3"/>
      <c r="AB2" s="3"/>
      <c r="AC2" s="3"/>
      <c r="AD2" s="3"/>
      <c r="AE2" s="3"/>
      <c r="AM2" s="1"/>
      <c r="AO2" s="2"/>
      <c r="AP2" s="2"/>
      <c r="AQ2" s="2"/>
      <c r="AR2" s="3"/>
      <c r="AS2" s="3"/>
      <c r="AT2" s="3"/>
      <c r="AU2" s="3"/>
      <c r="AV2" s="3"/>
      <c r="AW2" s="3"/>
      <c r="AX2" s="3"/>
      <c r="AY2" s="2"/>
      <c r="AZ2" s="2"/>
      <c r="BA2" s="2"/>
    </row>
    <row r="3" spans="1:57" ht="14.25" customHeight="1" x14ac:dyDescent="0.25">
      <c r="A3" s="2" t="s">
        <v>0</v>
      </c>
      <c r="D3" s="4" t="s">
        <v>1</v>
      </c>
      <c r="L3" s="5"/>
      <c r="M3" s="5"/>
      <c r="N3" s="5"/>
      <c r="O3" s="6"/>
      <c r="P3" s="6"/>
      <c r="Q3" s="6"/>
      <c r="T3" s="2" t="s">
        <v>0</v>
      </c>
      <c r="W3" s="4" t="s">
        <v>2</v>
      </c>
      <c r="AE3" s="5"/>
      <c r="AF3" s="5"/>
      <c r="AG3" s="5"/>
      <c r="AH3" s="6"/>
      <c r="AI3" s="6"/>
      <c r="AJ3" s="6"/>
      <c r="AM3" s="2" t="s">
        <v>0</v>
      </c>
      <c r="AO3" s="2"/>
      <c r="AP3" s="4" t="s">
        <v>3</v>
      </c>
      <c r="AQ3" s="2"/>
      <c r="AR3" s="2"/>
      <c r="AS3" s="2"/>
      <c r="AT3" s="2"/>
      <c r="AU3" s="2"/>
      <c r="AV3" s="2"/>
      <c r="AW3" s="2"/>
      <c r="AX3" s="5"/>
      <c r="AY3" s="5"/>
      <c r="AZ3" s="5"/>
      <c r="BA3" s="6"/>
      <c r="BB3" s="6"/>
      <c r="BC3" s="6"/>
    </row>
    <row r="4" spans="1:57" ht="14.25" customHeight="1" x14ac:dyDescent="0.25">
      <c r="A4" s="2" t="s">
        <v>4</v>
      </c>
      <c r="C4" s="7"/>
      <c r="D4" s="4" t="s">
        <v>31</v>
      </c>
      <c r="E4" s="8"/>
      <c r="F4" s="8"/>
      <c r="G4" s="94"/>
      <c r="H4" s="95"/>
      <c r="I4" s="95"/>
      <c r="J4" s="95"/>
      <c r="K4" s="95"/>
      <c r="L4" s="6"/>
      <c r="M4" s="6"/>
      <c r="N4" s="6"/>
      <c r="O4" s="96"/>
      <c r="P4" s="96"/>
      <c r="Q4" s="96"/>
      <c r="T4" s="2" t="s">
        <v>4</v>
      </c>
      <c r="V4" s="7"/>
      <c r="W4" s="4" t="str">
        <f>D4</f>
        <v>JUNI 2022</v>
      </c>
      <c r="X4" s="8"/>
      <c r="Y4" s="8"/>
      <c r="Z4" s="94"/>
      <c r="AA4" s="95"/>
      <c r="AB4" s="95"/>
      <c r="AC4" s="95"/>
      <c r="AD4" s="95"/>
      <c r="AE4" s="6"/>
      <c r="AF4" s="6"/>
      <c r="AG4" s="6"/>
      <c r="AH4" s="96"/>
      <c r="AI4" s="96"/>
      <c r="AJ4" s="96"/>
      <c r="AM4" s="2" t="s">
        <v>4</v>
      </c>
      <c r="AO4" s="7"/>
      <c r="AP4" s="4" t="str">
        <f>W4</f>
        <v>JUNI 2022</v>
      </c>
      <c r="AQ4" s="8"/>
      <c r="AR4" s="8"/>
      <c r="AS4" s="94"/>
      <c r="AT4" s="95"/>
      <c r="AU4" s="95"/>
      <c r="AV4" s="95"/>
      <c r="AW4" s="95"/>
      <c r="AX4" s="6"/>
      <c r="AY4" s="6"/>
      <c r="AZ4" s="6"/>
      <c r="BA4" s="96"/>
      <c r="BB4" s="96"/>
      <c r="BC4" s="96"/>
    </row>
    <row r="5" spans="1:57" ht="14.25" customHeight="1" x14ac:dyDescent="0.25">
      <c r="A5" s="2" t="s">
        <v>5</v>
      </c>
      <c r="C5" s="7"/>
      <c r="D5" s="4" t="s">
        <v>6</v>
      </c>
      <c r="G5" s="7"/>
      <c r="H5" s="6"/>
      <c r="I5" s="6"/>
      <c r="J5" s="6"/>
      <c r="K5" s="6"/>
      <c r="L5" s="6"/>
      <c r="M5" s="6"/>
      <c r="N5" s="6"/>
      <c r="O5" s="9"/>
      <c r="P5" s="9"/>
      <c r="Q5" s="6"/>
      <c r="T5" s="2" t="s">
        <v>5</v>
      </c>
      <c r="V5" s="7"/>
      <c r="W5" s="4" t="s">
        <v>6</v>
      </c>
      <c r="Z5" s="7"/>
      <c r="AA5" s="6"/>
      <c r="AB5" s="6"/>
      <c r="AC5" s="6"/>
      <c r="AD5" s="6"/>
      <c r="AE5" s="6"/>
      <c r="AF5" s="6"/>
      <c r="AG5" s="6"/>
      <c r="AH5" s="9"/>
      <c r="AI5" s="9"/>
      <c r="AJ5" s="6"/>
      <c r="AM5" s="2" t="s">
        <v>5</v>
      </c>
      <c r="AO5" s="7"/>
      <c r="AP5" s="4" t="s">
        <v>6</v>
      </c>
      <c r="AQ5" s="2"/>
      <c r="AR5" s="2"/>
      <c r="AS5" s="7"/>
      <c r="AT5" s="6"/>
      <c r="AU5" s="6"/>
      <c r="AV5" s="6"/>
      <c r="AW5" s="6"/>
      <c r="AX5" s="6"/>
      <c r="AY5" s="6"/>
      <c r="AZ5" s="6"/>
      <c r="BA5" s="9"/>
      <c r="BB5" s="9"/>
      <c r="BC5" s="6"/>
    </row>
    <row r="6" spans="1:57" ht="14.25" customHeight="1" thickBot="1" x14ac:dyDescent="0.3">
      <c r="K6" s="2" t="s">
        <v>7</v>
      </c>
      <c r="M6" s="8" t="str">
        <f>'[6]input data'!R1121</f>
        <v xml:space="preserve">TIM PEMBUAT LAPORAN </v>
      </c>
      <c r="T6" s="1"/>
      <c r="AD6" s="2" t="s">
        <v>7</v>
      </c>
      <c r="AF6" s="8" t="str">
        <f>M6</f>
        <v xml:space="preserve">TIM PEMBUAT LAPORAN </v>
      </c>
      <c r="AM6" s="1"/>
      <c r="AO6" s="2"/>
      <c r="AP6" s="2"/>
      <c r="AQ6" s="2"/>
      <c r="AR6" s="2"/>
      <c r="AS6" s="2"/>
      <c r="AT6" s="2"/>
      <c r="AU6" s="2"/>
      <c r="AV6" s="2"/>
      <c r="AW6" s="2" t="s">
        <v>7</v>
      </c>
      <c r="AX6" s="2"/>
      <c r="AY6" s="8" t="str">
        <f>AF6</f>
        <v xml:space="preserve">TIM PEMBUAT LAPORAN </v>
      </c>
      <c r="AZ6" s="2"/>
      <c r="BA6" s="2"/>
    </row>
    <row r="7" spans="1:57" ht="14.25" customHeight="1" thickTop="1" x14ac:dyDescent="0.25">
      <c r="A7" s="99" t="s">
        <v>8</v>
      </c>
      <c r="B7" s="101" t="s">
        <v>9</v>
      </c>
      <c r="C7" s="101" t="s">
        <v>10</v>
      </c>
      <c r="D7" s="101" t="s">
        <v>11</v>
      </c>
      <c r="E7" s="101" t="s">
        <v>12</v>
      </c>
      <c r="F7" s="101" t="s">
        <v>13</v>
      </c>
      <c r="G7" s="101" t="s">
        <v>14</v>
      </c>
      <c r="H7" s="101" t="s">
        <v>15</v>
      </c>
      <c r="I7" s="101" t="s">
        <v>16</v>
      </c>
      <c r="J7" s="101" t="s">
        <v>17</v>
      </c>
      <c r="K7" s="101" t="s">
        <v>18</v>
      </c>
      <c r="L7" s="101" t="s">
        <v>19</v>
      </c>
      <c r="M7" s="101" t="s">
        <v>20</v>
      </c>
      <c r="N7" s="101" t="s">
        <v>21</v>
      </c>
      <c r="O7" s="97" t="s">
        <v>22</v>
      </c>
      <c r="P7" s="97" t="s">
        <v>23</v>
      </c>
      <c r="Q7" s="101" t="s">
        <v>24</v>
      </c>
      <c r="T7" s="99" t="s">
        <v>8</v>
      </c>
      <c r="U7" s="101" t="s">
        <v>9</v>
      </c>
      <c r="V7" s="101" t="s">
        <v>10</v>
      </c>
      <c r="W7" s="101" t="s">
        <v>11</v>
      </c>
      <c r="X7" s="101" t="s">
        <v>12</v>
      </c>
      <c r="Y7" s="101" t="s">
        <v>13</v>
      </c>
      <c r="Z7" s="101" t="s">
        <v>14</v>
      </c>
      <c r="AA7" s="101" t="s">
        <v>15</v>
      </c>
      <c r="AB7" s="101" t="s">
        <v>16</v>
      </c>
      <c r="AC7" s="101" t="s">
        <v>17</v>
      </c>
      <c r="AD7" s="101" t="s">
        <v>18</v>
      </c>
      <c r="AE7" s="101" t="s">
        <v>19</v>
      </c>
      <c r="AF7" s="101" t="s">
        <v>20</v>
      </c>
      <c r="AG7" s="101" t="s">
        <v>21</v>
      </c>
      <c r="AH7" s="97" t="s">
        <v>22</v>
      </c>
      <c r="AI7" s="97" t="s">
        <v>23</v>
      </c>
      <c r="AJ7" s="101" t="s">
        <v>24</v>
      </c>
      <c r="AM7" s="99" t="s">
        <v>8</v>
      </c>
      <c r="AN7" s="101" t="s">
        <v>9</v>
      </c>
      <c r="AO7" s="101" t="s">
        <v>10</v>
      </c>
      <c r="AP7" s="101" t="s">
        <v>11</v>
      </c>
      <c r="AQ7" s="101" t="s">
        <v>12</v>
      </c>
      <c r="AR7" s="101" t="s">
        <v>13</v>
      </c>
      <c r="AS7" s="101" t="s">
        <v>14</v>
      </c>
      <c r="AT7" s="101" t="s">
        <v>15</v>
      </c>
      <c r="AU7" s="101" t="s">
        <v>16</v>
      </c>
      <c r="AV7" s="101" t="s">
        <v>17</v>
      </c>
      <c r="AW7" s="101" t="s">
        <v>18</v>
      </c>
      <c r="AX7" s="101" t="s">
        <v>19</v>
      </c>
      <c r="AY7" s="101" t="s">
        <v>20</v>
      </c>
      <c r="AZ7" s="101" t="s">
        <v>21</v>
      </c>
      <c r="BA7" s="97" t="s">
        <v>22</v>
      </c>
      <c r="BB7" s="97" t="s">
        <v>23</v>
      </c>
      <c r="BC7" s="101" t="s">
        <v>24</v>
      </c>
    </row>
    <row r="8" spans="1:57" ht="14.25" customHeight="1" thickBot="1" x14ac:dyDescent="0.3">
      <c r="A8" s="100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98"/>
      <c r="P8" s="98"/>
      <c r="Q8" s="102"/>
      <c r="R8" s="8"/>
      <c r="S8" s="8"/>
      <c r="T8" s="100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98"/>
      <c r="AI8" s="98"/>
      <c r="AJ8" s="102"/>
      <c r="AK8" s="8"/>
      <c r="AL8" s="8"/>
      <c r="AM8" s="100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98"/>
      <c r="BB8" s="98"/>
      <c r="BC8" s="102"/>
      <c r="BD8" s="8"/>
      <c r="BE8" s="8"/>
    </row>
    <row r="9" spans="1:57" ht="14.25" customHeight="1" thickTop="1" x14ac:dyDescent="0.25">
      <c r="A9" s="10">
        <v>1</v>
      </c>
      <c r="B9" s="11">
        <f>'[6]input data'!E6</f>
        <v>23.6</v>
      </c>
      <c r="C9" s="11">
        <f>'[6]input data'!E7</f>
        <v>24.5</v>
      </c>
      <c r="D9" s="11">
        <f>'[6]input data'!E8</f>
        <v>26.2</v>
      </c>
      <c r="E9" s="11">
        <f>'[6]input data'!E9</f>
        <v>26.3</v>
      </c>
      <c r="F9" s="11">
        <f>'[6]input data'!E10</f>
        <v>27</v>
      </c>
      <c r="G9" s="11">
        <f>'[6]input data'!E11</f>
        <v>28.8</v>
      </c>
      <c r="H9" s="11">
        <f>'[6]input data'!E12</f>
        <v>29.2</v>
      </c>
      <c r="I9" s="11">
        <f>'[6]input data'!E13</f>
        <v>29.6</v>
      </c>
      <c r="J9" s="11">
        <f>'[6]input data'!E14</f>
        <v>29.2</v>
      </c>
      <c r="K9" s="11">
        <f>'[6]input data'!E15</f>
        <v>29.3</v>
      </c>
      <c r="L9" s="11">
        <f>'[6]input data'!E16</f>
        <v>28.4</v>
      </c>
      <c r="M9" s="11">
        <f>'[6]input data'!E17</f>
        <v>27.1</v>
      </c>
      <c r="N9" s="11">
        <f>'[6]input data'!E18</f>
        <v>26.4</v>
      </c>
      <c r="O9" s="12">
        <f t="shared" ref="O9:O38" si="0">MAX(B9:N9)</f>
        <v>29.6</v>
      </c>
      <c r="P9" s="13">
        <f t="shared" ref="P9:P38" si="1">MIN(B9:N9)</f>
        <v>23.6</v>
      </c>
      <c r="Q9" s="14">
        <f>AVERAGE(B9:N9)</f>
        <v>27.353846153846153</v>
      </c>
      <c r="T9" s="10">
        <v>1</v>
      </c>
      <c r="U9" s="11">
        <f>INDEX('[6]input data'!$F$1:$F$1108,U58,1)</f>
        <v>23.2</v>
      </c>
      <c r="V9" s="11">
        <f>INDEX('[6]input data'!$F$1:$F$1108,V58,1)</f>
        <v>23.8</v>
      </c>
      <c r="W9" s="11">
        <f>INDEX('[6]input data'!$F$1:$F$1108,W58,1)</f>
        <v>24</v>
      </c>
      <c r="X9" s="11">
        <f>INDEX('[6]input data'!$F$1:$F$1108,X58,1)</f>
        <v>24.8</v>
      </c>
      <c r="Y9" s="11">
        <f>INDEX('[6]input data'!$F$1:$F$1108,Y58,1)</f>
        <v>24</v>
      </c>
      <c r="Z9" s="11">
        <f>INDEX('[6]input data'!$F$1:$F$1108,Z58,1)</f>
        <v>25.4</v>
      </c>
      <c r="AA9" s="11">
        <f>INDEX('[6]input data'!$F$1:$F$1108,AA58,1)</f>
        <v>24.8</v>
      </c>
      <c r="AB9" s="11">
        <f>INDEX('[6]input data'!$F$1:$F$1108,AB58,1)</f>
        <v>25.2</v>
      </c>
      <c r="AC9" s="11">
        <f>INDEX('[6]input data'!$F$1:$F$1108,AC58,1)</f>
        <v>25.1</v>
      </c>
      <c r="AD9" s="11">
        <f>INDEX('[6]input data'!$F$1:$F$1108,AD58,1)</f>
        <v>26</v>
      </c>
      <c r="AE9" s="11">
        <f>INDEX('[6]input data'!$F$1:$F$1108,AE58,1)</f>
        <v>25.3</v>
      </c>
      <c r="AF9" s="11">
        <f>INDEX('[6]input data'!$F$1:$F$1108,AF58,1)</f>
        <v>25.2</v>
      </c>
      <c r="AG9" s="11">
        <f>INDEX('[6]input data'!$F$1:$F$1108,AG58,1)</f>
        <v>24.4</v>
      </c>
      <c r="AH9" s="12">
        <f t="shared" ref="AH9:AH38" si="2">MAX(U9:AG9)</f>
        <v>26</v>
      </c>
      <c r="AI9" s="13">
        <f t="shared" ref="AI9:AI38" si="3">MIN(U9:AG9)</f>
        <v>23.2</v>
      </c>
      <c r="AJ9" s="14">
        <f>AVERAGE(U9:AG9)</f>
        <v>24.707692307692302</v>
      </c>
      <c r="AM9" s="10">
        <v>1</v>
      </c>
      <c r="AN9" s="11">
        <f>INDEX('[6]input data'!$G$1:$G$1108,AO58,1)</f>
        <v>22.913634274744748</v>
      </c>
      <c r="AO9" s="11">
        <f>INDEX('[6]input data'!$G$1:$G$1108,AP58,1)</f>
        <v>23.383347698406446</v>
      </c>
      <c r="AP9" s="11">
        <f>INDEX('[6]input data'!$G$1:$G$1108,AQ58,1)</f>
        <v>22.898249002326494</v>
      </c>
      <c r="AQ9" s="11">
        <f>INDEX('[6]input data'!$G$1:$G$1108,AR58,1)</f>
        <v>24.051033335618328</v>
      </c>
      <c r="AR9" s="11">
        <f>INDEX('[6]input data'!$G$1:$G$1108,AS58,1)</f>
        <v>22.520565860984291</v>
      </c>
      <c r="AS9" s="11">
        <f>INDEX('[6]input data'!$G$1:$G$1108,AT58,1)</f>
        <v>23.844597001278153</v>
      </c>
      <c r="AT9" s="11">
        <f>INDEX('[6]input data'!$G$1:$G$1108,AU58,1)</f>
        <v>22.730458944972405</v>
      </c>
      <c r="AU9" s="11">
        <f>INDEX('[6]input data'!$G$1:$G$1108,AV58,1)</f>
        <v>23.173497959213115</v>
      </c>
      <c r="AV9" s="11">
        <f>INDEX('[6]input data'!$G$1:$G$1108,AW58,1)</f>
        <v>23.201358712999465</v>
      </c>
      <c r="AW9" s="11">
        <f>INDEX('[6]input data'!$G$1:$G$1108,AX58,1)</f>
        <v>24.534018519692285</v>
      </c>
      <c r="AX9" s="11">
        <f>INDEX('[6]input data'!$G$1:$G$1108,AY58,1)</f>
        <v>23.870380015471763</v>
      </c>
      <c r="AY9" s="11">
        <f>INDEX('[6]input data'!$G$1:$G$1108,AZ58,1)</f>
        <v>24.291723235351295</v>
      </c>
      <c r="AZ9" s="11">
        <f>INDEX('[6]input data'!$G$1:$G$1108,BA58,1)</f>
        <v>23.41088917767016</v>
      </c>
      <c r="BA9" s="12">
        <f t="shared" ref="BA9:BA38" si="4">MAX(AN9:AZ9)</f>
        <v>24.534018519692285</v>
      </c>
      <c r="BB9" s="13">
        <f t="shared" ref="BB9:BB38" si="5">MIN(AN9:AZ9)</f>
        <v>22.520565860984291</v>
      </c>
      <c r="BC9" s="14">
        <f>AVERAGE(AN9:AZ9)</f>
        <v>23.447981056825306</v>
      </c>
    </row>
    <row r="10" spans="1:57" ht="14.25" customHeight="1" x14ac:dyDescent="0.25">
      <c r="A10" s="15">
        <v>2</v>
      </c>
      <c r="B10" s="11">
        <f>'[6]input data'!E42</f>
        <v>24</v>
      </c>
      <c r="C10" s="11">
        <f>'[6]input data'!E43</f>
        <v>27</v>
      </c>
      <c r="D10" s="11">
        <f>'[6]input data'!E44</f>
        <v>28.5</v>
      </c>
      <c r="E10" s="11">
        <f>'[6]input data'!E45</f>
        <v>29.1</v>
      </c>
      <c r="F10" s="11">
        <f>'[6]input data'!E46</f>
        <v>29.3</v>
      </c>
      <c r="G10" s="11">
        <f>'[6]input data'!E47</f>
        <v>30.4</v>
      </c>
      <c r="H10" s="11">
        <f>'[6]input data'!E48</f>
        <v>30</v>
      </c>
      <c r="I10" s="11">
        <f>'[6]input data'!E49</f>
        <v>30.2</v>
      </c>
      <c r="J10" s="11">
        <f>'[6]input data'!E50</f>
        <v>29</v>
      </c>
      <c r="K10" s="11">
        <f>'[6]input data'!E51</f>
        <v>28.4</v>
      </c>
      <c r="L10" s="11">
        <f>'[6]input data'!E52</f>
        <v>27.8</v>
      </c>
      <c r="M10" s="11">
        <f>'[6]input data'!E53</f>
        <v>27</v>
      </c>
      <c r="N10" s="11">
        <f>'[6]input data'!E54</f>
        <v>26.4</v>
      </c>
      <c r="O10" s="12">
        <f t="shared" si="0"/>
        <v>30.4</v>
      </c>
      <c r="P10" s="13">
        <f t="shared" si="1"/>
        <v>24</v>
      </c>
      <c r="Q10" s="16">
        <f t="shared" ref="Q10:Q38" si="6">AVERAGE(B10:N10)</f>
        <v>28.238461538461536</v>
      </c>
      <c r="T10" s="15">
        <v>2</v>
      </c>
      <c r="U10" s="11">
        <f>INDEX('[6]input data'!$F$1:$F$1108,U59,1)</f>
        <v>23</v>
      </c>
      <c r="V10" s="11">
        <f>INDEX('[6]input data'!$F$1:$F$1108,V59,1)</f>
        <v>24</v>
      </c>
      <c r="W10" s="11">
        <f>INDEX('[6]input data'!$F$1:$F$1108,W59,1)</f>
        <v>24.3</v>
      </c>
      <c r="X10" s="11">
        <f>INDEX('[6]input data'!$F$1:$F$1108,X59,1)</f>
        <v>24.7</v>
      </c>
      <c r="Y10" s="11">
        <f>INDEX('[6]input data'!$F$1:$F$1108,Y59,1)</f>
        <v>25</v>
      </c>
      <c r="Z10" s="11">
        <f>INDEX('[6]input data'!$F$1:$F$1108,Z59,1)</f>
        <v>25.4</v>
      </c>
      <c r="AA10" s="11">
        <f>INDEX('[6]input data'!$F$1:$F$1108,AA59,1)</f>
        <v>26</v>
      </c>
      <c r="AB10" s="11">
        <f>INDEX('[6]input data'!$F$1:$F$1108,AB59,1)</f>
        <v>26.2</v>
      </c>
      <c r="AC10" s="11">
        <f>INDEX('[6]input data'!$F$1:$F$1108,AC59,1)</f>
        <v>25.6</v>
      </c>
      <c r="AD10" s="11">
        <f>INDEX('[6]input data'!$F$1:$F$1108,AD59,1)</f>
        <v>25.2</v>
      </c>
      <c r="AE10" s="11">
        <f>INDEX('[6]input data'!$F$1:$F$1108,AE59,1)</f>
        <v>25</v>
      </c>
      <c r="AF10" s="11">
        <f>INDEX('[6]input data'!$F$1:$F$1108,AF59,1)</f>
        <v>24.8</v>
      </c>
      <c r="AG10" s="11">
        <f>INDEX('[6]input data'!$F$1:$F$1108,AG59,1)</f>
        <v>24.6</v>
      </c>
      <c r="AH10" s="12">
        <f t="shared" si="2"/>
        <v>26.2</v>
      </c>
      <c r="AI10" s="13">
        <f t="shared" si="3"/>
        <v>23</v>
      </c>
      <c r="AJ10" s="16">
        <f t="shared" ref="AJ10:AJ38" si="7">AVERAGE(U10:AG10)</f>
        <v>24.907692307692308</v>
      </c>
      <c r="AM10" s="15">
        <v>2</v>
      </c>
      <c r="AN10" s="11">
        <f>INDEX('[6]input data'!$G$1:$G$1108,AO59,1)</f>
        <v>22.426257580226199</v>
      </c>
      <c r="AO10" s="11">
        <f>INDEX('[6]input data'!$G$1:$G$1108,AP59,1)</f>
        <v>22.520565860984291</v>
      </c>
      <c r="AP10" s="11">
        <f>INDEX('[6]input data'!$G$1:$G$1108,AQ59,1)</f>
        <v>22.2719012665546</v>
      </c>
      <c r="AQ10" s="11">
        <f>INDEX('[6]input data'!$G$1:$G$1108,AR59,1)</f>
        <v>22.619517945782292</v>
      </c>
      <c r="AR10" s="11">
        <f>INDEX('[6]input data'!$G$1:$G$1108,AS59,1)</f>
        <v>22.998676685198461</v>
      </c>
      <c r="AS10" s="11">
        <f>INDEX('[6]input data'!$G$1:$G$1108,AT59,1)</f>
        <v>23.119379698708254</v>
      </c>
      <c r="AT10" s="11">
        <f>INDEX('[6]input data'!$G$1:$G$1108,AU59,1)</f>
        <v>24.231346865433</v>
      </c>
      <c r="AU10" s="11">
        <f>INDEX('[6]input data'!$G$1:$G$1108,AV59,1)</f>
        <v>24.449360428169875</v>
      </c>
      <c r="AV10" s="11">
        <f>INDEX('[6]input data'!$G$1:$G$1108,AW59,1)</f>
        <v>24.060288665251548</v>
      </c>
      <c r="AW10" s="11">
        <f>INDEX('[6]input data'!$G$1:$G$1108,AX59,1)</f>
        <v>23.718447763009451</v>
      </c>
      <c r="AX10" s="11">
        <f>INDEX('[6]input data'!$G$1:$G$1108,AY59,1)</f>
        <v>23.683614162726549</v>
      </c>
      <c r="AY10" s="11">
        <f>INDEX('[6]input data'!$G$1:$G$1108,AZ59,1)</f>
        <v>23.740574438114979</v>
      </c>
      <c r="AZ10" s="11">
        <f>INDEX('[6]input data'!$G$1:$G$1108,BA59,1)</f>
        <v>23.710183186275557</v>
      </c>
      <c r="BA10" s="12">
        <f t="shared" si="4"/>
        <v>24.449360428169875</v>
      </c>
      <c r="BB10" s="13">
        <f t="shared" si="5"/>
        <v>22.2719012665546</v>
      </c>
      <c r="BC10" s="16">
        <f t="shared" ref="BC10:BC38" si="8">AVERAGE(AN10:AZ10)</f>
        <v>23.350008811264239</v>
      </c>
    </row>
    <row r="11" spans="1:57" ht="14.25" customHeight="1" x14ac:dyDescent="0.25">
      <c r="A11" s="15">
        <v>3</v>
      </c>
      <c r="B11" s="11">
        <f>'[6]input data'!E78</f>
        <v>25.1</v>
      </c>
      <c r="C11" s="11">
        <f>'[6]input data'!E79</f>
        <v>26.8</v>
      </c>
      <c r="D11" s="11">
        <f>'[6]input data'!E80</f>
        <v>27.3</v>
      </c>
      <c r="E11" s="11">
        <f>'[6]input data'!E81</f>
        <v>28.2</v>
      </c>
      <c r="F11" s="11">
        <f>'[6]input data'!E82</f>
        <v>28</v>
      </c>
      <c r="G11" s="11">
        <f>'[6]input data'!E83</f>
        <v>28.2</v>
      </c>
      <c r="H11" s="11">
        <f>'[6]input data'!E84</f>
        <v>28.3</v>
      </c>
      <c r="I11" s="11">
        <f>'[6]input data'!E85</f>
        <v>28.8</v>
      </c>
      <c r="J11" s="11">
        <f>'[6]input data'!E86</f>
        <v>28.6</v>
      </c>
      <c r="K11" s="11">
        <f>'[6]input data'!E87</f>
        <v>28.4</v>
      </c>
      <c r="L11" s="11">
        <f>'[6]input data'!E88</f>
        <v>27.2</v>
      </c>
      <c r="M11" s="11">
        <f>'[6]input data'!E89</f>
        <v>26.6</v>
      </c>
      <c r="N11" s="11">
        <f>'[6]input data'!E90</f>
        <v>26</v>
      </c>
      <c r="O11" s="12">
        <f t="shared" si="0"/>
        <v>28.8</v>
      </c>
      <c r="P11" s="13">
        <f t="shared" si="1"/>
        <v>25.1</v>
      </c>
      <c r="Q11" s="16">
        <f t="shared" si="6"/>
        <v>27.5</v>
      </c>
      <c r="T11" s="15">
        <v>3</v>
      </c>
      <c r="U11" s="11">
        <f>INDEX('[6]input data'!$F$1:$F$1108,U60,1)</f>
        <v>24</v>
      </c>
      <c r="V11" s="11">
        <f>INDEX('[6]input data'!$F$1:$F$1108,V60,1)</f>
        <v>24</v>
      </c>
      <c r="W11" s="11">
        <f>INDEX('[6]input data'!$F$1:$F$1108,W60,1)</f>
        <v>24.1</v>
      </c>
      <c r="X11" s="11">
        <f>INDEX('[6]input data'!$F$1:$F$1108,X60,1)</f>
        <v>24.2</v>
      </c>
      <c r="Y11" s="11">
        <f>INDEX('[6]input data'!$F$1:$F$1108,Y60,1)</f>
        <v>24.6</v>
      </c>
      <c r="Z11" s="11">
        <f>INDEX('[6]input data'!$F$1:$F$1108,Z60,1)</f>
        <v>24.8</v>
      </c>
      <c r="AA11" s="11">
        <f>INDEX('[6]input data'!$F$1:$F$1108,AA60,1)</f>
        <v>24.5</v>
      </c>
      <c r="AB11" s="11">
        <f>INDEX('[6]input data'!$F$1:$F$1108,AB60,1)</f>
        <v>25</v>
      </c>
      <c r="AC11" s="11">
        <f>INDEX('[6]input data'!$F$1:$F$1108,AC60,1)</f>
        <v>25.4</v>
      </c>
      <c r="AD11" s="11">
        <f>INDEX('[6]input data'!$F$1:$F$1108,AD60,1)</f>
        <v>24.8</v>
      </c>
      <c r="AE11" s="11">
        <f>INDEX('[6]input data'!$F$1:$F$1108,AE60,1)</f>
        <v>24.6</v>
      </c>
      <c r="AF11" s="11">
        <f>INDEX('[6]input data'!$F$1:$F$1108,AF60,1)</f>
        <v>24.4</v>
      </c>
      <c r="AG11" s="11">
        <f>INDEX('[6]input data'!$F$1:$F$1108,AG60,1)</f>
        <v>24.2</v>
      </c>
      <c r="AH11" s="12">
        <f t="shared" si="2"/>
        <v>25.4</v>
      </c>
      <c r="AI11" s="13">
        <f t="shared" si="3"/>
        <v>24</v>
      </c>
      <c r="AJ11" s="16">
        <f t="shared" si="7"/>
        <v>24.507692307692309</v>
      </c>
      <c r="AM11" s="15">
        <v>3</v>
      </c>
      <c r="AN11" s="11">
        <f>INDEX('[6]input data'!$G$1:$G$1108,AO60,1)</f>
        <v>23.405550429464302</v>
      </c>
      <c r="AO11" s="11">
        <f>INDEX('[6]input data'!$G$1:$G$1108,AP60,1)</f>
        <v>22.615697420007322</v>
      </c>
      <c r="AP11" s="11">
        <f>INDEX('[6]input data'!$G$1:$G$1108,AQ60,1)</f>
        <v>22.533025414360566</v>
      </c>
      <c r="AQ11" s="11">
        <f>INDEX('[6]input data'!$G$1:$G$1108,AR60,1)</f>
        <v>22.258119917094085</v>
      </c>
      <c r="AR11" s="11">
        <f>INDEX('[6]input data'!$G$1:$G$1108,AS60,1)</f>
        <v>22.979754663101517</v>
      </c>
      <c r="AS11" s="11">
        <f>INDEX('[6]input data'!$G$1:$G$1108,AT60,1)</f>
        <v>23.196283144013933</v>
      </c>
      <c r="AT11" s="11">
        <f>INDEX('[6]input data'!$G$1:$G$1108,AU60,1)</f>
        <v>22.683237188132594</v>
      </c>
      <c r="AU11" s="11">
        <f>INDEX('[6]input data'!$G$1:$G$1108,AV60,1)</f>
        <v>23.229747355809128</v>
      </c>
      <c r="AV11" s="11">
        <f>INDEX('[6]input data'!$G$1:$G$1108,AW60,1)</f>
        <v>23.933335820614669</v>
      </c>
      <c r="AW11" s="11">
        <f>INDEX('[6]input data'!$G$1:$G$1108,AX60,1)</f>
        <v>23.104030876414406</v>
      </c>
      <c r="AX11" s="11">
        <f>INDEX('[6]input data'!$G$1:$G$1108,AY60,1)</f>
        <v>23.348482445095115</v>
      </c>
      <c r="AY11" s="11">
        <f>INDEX('[6]input data'!$G$1:$G$1108,AZ60,1)</f>
        <v>23.319679814146195</v>
      </c>
      <c r="AZ11" s="11">
        <f>INDEX('[6]input data'!$G$1:$G$1108,BA60,1)</f>
        <v>23.293034575471221</v>
      </c>
      <c r="BA11" s="12">
        <f t="shared" si="4"/>
        <v>23.933335820614669</v>
      </c>
      <c r="BB11" s="13">
        <f t="shared" si="5"/>
        <v>22.258119917094085</v>
      </c>
      <c r="BC11" s="16">
        <f t="shared" si="8"/>
        <v>23.06922915874808</v>
      </c>
    </row>
    <row r="12" spans="1:57" ht="14.25" customHeight="1" x14ac:dyDescent="0.25">
      <c r="A12" s="15">
        <v>4</v>
      </c>
      <c r="B12" s="11">
        <f>'[6]input data'!E114</f>
        <v>24</v>
      </c>
      <c r="C12" s="11">
        <f>'[6]input data'!E115</f>
        <v>26.2</v>
      </c>
      <c r="D12" s="11">
        <f>'[6]input data'!E116</f>
        <v>27</v>
      </c>
      <c r="E12" s="11">
        <f>'[6]input data'!E117</f>
        <v>28.2</v>
      </c>
      <c r="F12" s="11">
        <f>'[6]input data'!E118</f>
        <v>28.8</v>
      </c>
      <c r="G12" s="11">
        <f>'[6]input data'!E119</f>
        <v>29.2</v>
      </c>
      <c r="H12" s="11">
        <f>'[6]input data'!E120</f>
        <v>29.5</v>
      </c>
      <c r="I12" s="11">
        <f>'[6]input data'!E121</f>
        <v>29.5</v>
      </c>
      <c r="J12" s="11">
        <f>'[6]input data'!E122</f>
        <v>29.3</v>
      </c>
      <c r="K12" s="11">
        <f>'[6]input data'!E123</f>
        <v>28.3</v>
      </c>
      <c r="L12" s="11">
        <f>'[6]input data'!E124</f>
        <v>26.9</v>
      </c>
      <c r="M12" s="11">
        <f>'[6]input data'!E125</f>
        <v>26</v>
      </c>
      <c r="N12" s="11">
        <f>'[6]input data'!E126</f>
        <v>25.7</v>
      </c>
      <c r="O12" s="12">
        <f t="shared" si="0"/>
        <v>29.5</v>
      </c>
      <c r="P12" s="13">
        <f t="shared" si="1"/>
        <v>24</v>
      </c>
      <c r="Q12" s="16">
        <f t="shared" si="6"/>
        <v>27.584615384615383</v>
      </c>
      <c r="T12" s="15">
        <v>4</v>
      </c>
      <c r="U12" s="11">
        <f>INDEX('[6]input data'!$F$1:$F$1108,U61,1)</f>
        <v>22.6</v>
      </c>
      <c r="V12" s="11">
        <f>INDEX('[6]input data'!$F$1:$F$1108,V61,1)</f>
        <v>23.7</v>
      </c>
      <c r="W12" s="11">
        <f>INDEX('[6]input data'!$F$1:$F$1108,W61,1)</f>
        <v>24.2</v>
      </c>
      <c r="X12" s="11">
        <f>INDEX('[6]input data'!$F$1:$F$1108,X61,1)</f>
        <v>25</v>
      </c>
      <c r="Y12" s="11">
        <f>INDEX('[6]input data'!$F$1:$F$1108,Y61,1)</f>
        <v>24.7</v>
      </c>
      <c r="Z12" s="11">
        <f>INDEX('[6]input data'!$F$1:$F$1108,Z61,1)</f>
        <v>24.7</v>
      </c>
      <c r="AA12" s="11">
        <f>INDEX('[6]input data'!$F$1:$F$1108,AA61,1)</f>
        <v>24.9</v>
      </c>
      <c r="AB12" s="11">
        <f>INDEX('[6]input data'!$F$1:$F$1108,AB61,1)</f>
        <v>25.6</v>
      </c>
      <c r="AC12" s="11">
        <f>INDEX('[6]input data'!$F$1:$F$1108,AC61,1)</f>
        <v>25.4</v>
      </c>
      <c r="AD12" s="11">
        <f>INDEX('[6]input data'!$F$1:$F$1108,AD61,1)</f>
        <v>25.1</v>
      </c>
      <c r="AE12" s="11">
        <f>INDEX('[6]input data'!$F$1:$F$1108,AE61,1)</f>
        <v>24.5</v>
      </c>
      <c r="AF12" s="11">
        <f>INDEX('[6]input data'!$F$1:$F$1108,AF61,1)</f>
        <v>24.8</v>
      </c>
      <c r="AG12" s="11">
        <f>INDEX('[6]input data'!$F$1:$F$1108,AG61,1)</f>
        <v>24.8</v>
      </c>
      <c r="AH12" s="12">
        <f t="shared" si="2"/>
        <v>25.6</v>
      </c>
      <c r="AI12" s="13">
        <f t="shared" si="3"/>
        <v>22.6</v>
      </c>
      <c r="AJ12" s="16">
        <f t="shared" si="7"/>
        <v>24.615384615384617</v>
      </c>
      <c r="AM12" s="15">
        <v>4</v>
      </c>
      <c r="AN12" s="11">
        <f>INDEX('[6]input data'!$G$1:$G$1108,AO61,1)</f>
        <v>21.818982335509961</v>
      </c>
      <c r="AO12" s="11">
        <f>INDEX('[6]input data'!$G$1:$G$1108,AP61,1)</f>
        <v>22.438681032241561</v>
      </c>
      <c r="AP12" s="11">
        <f>INDEX('[6]input data'!$G$1:$G$1108,AQ61,1)</f>
        <v>22.829633194937365</v>
      </c>
      <c r="AQ12" s="11">
        <f>INDEX('[6]input data'!$G$1:$G$1108,AR61,1)</f>
        <v>23.503366381695525</v>
      </c>
      <c r="AR12" s="11">
        <f>INDEX('[6]input data'!$G$1:$G$1108,AS61,1)</f>
        <v>22.761299877426222</v>
      </c>
      <c r="AS12" s="11">
        <f>INDEX('[6]input data'!$G$1:$G$1108,AT61,1)</f>
        <v>22.572019626566767</v>
      </c>
      <c r="AT12" s="11">
        <f>INDEX('[6]input data'!$G$1:$G$1108,AU61,1)</f>
        <v>22.74732283045806</v>
      </c>
      <c r="AU12" s="11">
        <f>INDEX('[6]input data'!$G$1:$G$1108,AV61,1)</f>
        <v>23.839145063199307</v>
      </c>
      <c r="AV12" s="11">
        <f>INDEX('[6]input data'!$G$1:$G$1108,AW61,1)</f>
        <v>23.620924488861387</v>
      </c>
      <c r="AW12" s="11">
        <f>INDEX('[6]input data'!$G$1:$G$1108,AX61,1)</f>
        <v>23.610931425374602</v>
      </c>
      <c r="AX12" s="11">
        <f>INDEX('[6]input data'!$G$1:$G$1108,AY61,1)</f>
        <v>23.333810841264086</v>
      </c>
      <c r="AY12" s="11">
        <f>INDEX('[6]input data'!$G$1:$G$1108,AZ61,1)</f>
        <v>24.182556068191992</v>
      </c>
      <c r="AZ12" s="11">
        <f>INDEX('[6]input data'!$G$1:$G$1108,BA61,1)</f>
        <v>24.313179702823806</v>
      </c>
      <c r="BA12" s="12">
        <f t="shared" si="4"/>
        <v>24.313179702823806</v>
      </c>
      <c r="BB12" s="13">
        <f t="shared" si="5"/>
        <v>21.818982335509961</v>
      </c>
      <c r="BC12" s="16">
        <f t="shared" si="8"/>
        <v>23.197834836042357</v>
      </c>
    </row>
    <row r="13" spans="1:57" ht="14.25" customHeight="1" x14ac:dyDescent="0.25">
      <c r="A13" s="15">
        <v>5</v>
      </c>
      <c r="B13" s="11">
        <f>'[6]input data'!E150</f>
        <v>24.8</v>
      </c>
      <c r="C13" s="11">
        <f>'[6]input data'!E151</f>
        <v>25.5</v>
      </c>
      <c r="D13" s="11">
        <f>'[6]input data'!E152</f>
        <v>26.8</v>
      </c>
      <c r="E13" s="11">
        <f>'[6]input data'!E153</f>
        <v>27.9</v>
      </c>
      <c r="F13" s="11">
        <f>'[6]input data'!E154</f>
        <v>29.2</v>
      </c>
      <c r="G13" s="11">
        <f>'[6]input data'!E155</f>
        <v>29.9</v>
      </c>
      <c r="H13" s="11">
        <f>'[6]input data'!E156</f>
        <v>29.8</v>
      </c>
      <c r="I13" s="11">
        <f>'[6]input data'!E157</f>
        <v>30</v>
      </c>
      <c r="J13" s="11">
        <f>'[6]input data'!E158</f>
        <v>29.2</v>
      </c>
      <c r="K13" s="11">
        <f>'[6]input data'!E159</f>
        <v>24.8</v>
      </c>
      <c r="L13" s="11">
        <f>'[6]input data'!E160</f>
        <v>26.6</v>
      </c>
      <c r="M13" s="11">
        <f>'[6]input data'!E161</f>
        <v>24.8</v>
      </c>
      <c r="N13" s="11">
        <f>'[6]input data'!E162</f>
        <v>24.4</v>
      </c>
      <c r="O13" s="12">
        <f t="shared" si="0"/>
        <v>30</v>
      </c>
      <c r="P13" s="13">
        <f t="shared" si="1"/>
        <v>24.4</v>
      </c>
      <c r="Q13" s="16">
        <f t="shared" si="6"/>
        <v>27.207692307692305</v>
      </c>
      <c r="T13" s="15">
        <v>5</v>
      </c>
      <c r="U13" s="11">
        <f>INDEX('[6]input data'!$F$1:$F$1108,U62,1)</f>
        <v>24.2</v>
      </c>
      <c r="V13" s="11">
        <f>INDEX('[6]input data'!$F$1:$F$1108,V62,1)</f>
        <v>24.4</v>
      </c>
      <c r="W13" s="11">
        <f>INDEX('[6]input data'!$F$1:$F$1108,W62,1)</f>
        <v>24.8</v>
      </c>
      <c r="X13" s="11">
        <f>INDEX('[6]input data'!$F$1:$F$1108,X62,1)</f>
        <v>25</v>
      </c>
      <c r="Y13" s="11">
        <f>INDEX('[6]input data'!$F$1:$F$1108,Y62,1)</f>
        <v>25.5</v>
      </c>
      <c r="Z13" s="11">
        <f>INDEX('[6]input data'!$F$1:$F$1108,Z62,1)</f>
        <v>25.4</v>
      </c>
      <c r="AA13" s="11">
        <f>INDEX('[6]input data'!$F$1:$F$1108,AA62,1)</f>
        <v>25.9</v>
      </c>
      <c r="AB13" s="11">
        <f>INDEX('[6]input data'!$F$1:$F$1108,AB62,1)</f>
        <v>25.4</v>
      </c>
      <c r="AC13" s="11">
        <f>INDEX('[6]input data'!$F$1:$F$1108,AC62,1)</f>
        <v>25.6</v>
      </c>
      <c r="AD13" s="11">
        <f>INDEX('[6]input data'!$F$1:$F$1108,AD62,1)</f>
        <v>23.2</v>
      </c>
      <c r="AE13" s="11">
        <f>INDEX('[6]input data'!$F$1:$F$1108,AE62,1)</f>
        <v>24.4</v>
      </c>
      <c r="AF13" s="11">
        <f>INDEX('[6]input data'!$F$1:$F$1108,AF62,1)</f>
        <v>23.6</v>
      </c>
      <c r="AG13" s="11">
        <f>INDEX('[6]input data'!$F$1:$F$1108,AG62,1)</f>
        <v>23.4</v>
      </c>
      <c r="AH13" s="12">
        <f t="shared" si="2"/>
        <v>25.9</v>
      </c>
      <c r="AI13" s="13">
        <f t="shared" si="3"/>
        <v>23.2</v>
      </c>
      <c r="AJ13" s="16">
        <f t="shared" si="7"/>
        <v>24.676923076923075</v>
      </c>
      <c r="AM13" s="15">
        <v>5</v>
      </c>
      <c r="AN13" s="11">
        <f>INDEX('[6]input data'!$G$1:$G$1108,AO62,1)</f>
        <v>23.834579423059534</v>
      </c>
      <c r="AO13" s="11">
        <f>INDEX('[6]input data'!$G$1:$G$1108,AP62,1)</f>
        <v>23.815999648741762</v>
      </c>
      <c r="AP13" s="11">
        <f>INDEX('[6]input data'!$G$1:$G$1108,AQ62,1)</f>
        <v>23.829794165744062</v>
      </c>
      <c r="AQ13" s="11">
        <f>INDEX('[6]input data'!$G$1:$G$1108,AR62,1)</f>
        <v>23.638712100099621</v>
      </c>
      <c r="AR13" s="11">
        <f>INDEX('[6]input data'!$G$1:$G$1108,AS62,1)</f>
        <v>23.819337756018118</v>
      </c>
      <c r="AS13" s="11">
        <f>INDEX('[6]input data'!$G$1:$G$1108,AT62,1)</f>
        <v>23.348998535378588</v>
      </c>
      <c r="AT13" s="11">
        <f>INDEX('[6]input data'!$G$1:$G$1108,AU62,1)</f>
        <v>24.166033320489955</v>
      </c>
      <c r="AU13" s="11">
        <f>INDEX('[6]input data'!$G$1:$G$1108,AV62,1)</f>
        <v>23.303296611588866</v>
      </c>
      <c r="AV13" s="11">
        <f>INDEX('[6]input data'!$G$1:$G$1108,AW62,1)</f>
        <v>23.972138646793855</v>
      </c>
      <c r="AW13" s="11">
        <f>INDEX('[6]input data'!$G$1:$G$1108,AX62,1)</f>
        <v>22.344736198934232</v>
      </c>
      <c r="AX13" s="11">
        <f>INDEX('[6]input data'!$G$1:$G$1108,AY62,1)</f>
        <v>23.319679814146195</v>
      </c>
      <c r="AY13" s="11">
        <f>INDEX('[6]input data'!$G$1:$G$1108,AZ62,1)</f>
        <v>22.948281918843517</v>
      </c>
      <c r="AZ13" s="11">
        <f>INDEX('[6]input data'!$G$1:$G$1108,BA62,1)</f>
        <v>22.836338621391949</v>
      </c>
      <c r="BA13" s="12">
        <f t="shared" si="4"/>
        <v>24.166033320489955</v>
      </c>
      <c r="BB13" s="13">
        <f t="shared" si="5"/>
        <v>22.344736198934232</v>
      </c>
      <c r="BC13" s="16">
        <f t="shared" si="8"/>
        <v>23.475225135479256</v>
      </c>
    </row>
    <row r="14" spans="1:57" ht="14.25" customHeight="1" x14ac:dyDescent="0.25">
      <c r="A14" s="15">
        <v>6</v>
      </c>
      <c r="B14" s="11">
        <f>'[6]input data'!E186</f>
        <v>24.4</v>
      </c>
      <c r="C14" s="11">
        <f>'[6]input data'!E187</f>
        <v>26</v>
      </c>
      <c r="D14" s="11">
        <f>'[6]input data'!E188</f>
        <v>28</v>
      </c>
      <c r="E14" s="11">
        <f>'[6]input data'!E189</f>
        <v>28.6</v>
      </c>
      <c r="F14" s="11">
        <f>'[6]input data'!E190</f>
        <v>30.2</v>
      </c>
      <c r="G14" s="11">
        <f>'[6]input data'!E191</f>
        <v>29.6</v>
      </c>
      <c r="H14" s="11">
        <f>'[6]input data'!E192</f>
        <v>29.2</v>
      </c>
      <c r="I14" s="11">
        <f>'[6]input data'!E193</f>
        <v>25.8</v>
      </c>
      <c r="J14" s="11">
        <f>'[6]input data'!E194</f>
        <v>25.4</v>
      </c>
      <c r="K14" s="11">
        <f>'[6]input data'!E195</f>
        <v>25.2</v>
      </c>
      <c r="L14" s="11">
        <f>'[6]input data'!E196</f>
        <v>24.6</v>
      </c>
      <c r="M14" s="11">
        <f>'[6]input data'!E197</f>
        <v>23.8</v>
      </c>
      <c r="N14" s="11">
        <f>'[6]input data'!E198</f>
        <v>23.6</v>
      </c>
      <c r="O14" s="12">
        <f t="shared" si="0"/>
        <v>30.2</v>
      </c>
      <c r="P14" s="13">
        <f t="shared" si="1"/>
        <v>23.6</v>
      </c>
      <c r="Q14" s="16">
        <f t="shared" si="6"/>
        <v>26.492307692307694</v>
      </c>
      <c r="T14" s="15">
        <v>6</v>
      </c>
      <c r="U14" s="11">
        <f>INDEX('[6]input data'!$F$1:$F$1108,U63,1)</f>
        <v>23.2</v>
      </c>
      <c r="V14" s="11">
        <f>INDEX('[6]input data'!$F$1:$F$1108,V63,1)</f>
        <v>24</v>
      </c>
      <c r="W14" s="11">
        <f>INDEX('[6]input data'!$F$1:$F$1108,W63,1)</f>
        <v>24.8</v>
      </c>
      <c r="X14" s="11">
        <f>INDEX('[6]input data'!$F$1:$F$1108,X63,1)</f>
        <v>24.8</v>
      </c>
      <c r="Y14" s="11">
        <f>INDEX('[6]input data'!$F$1:$F$1108,Y63,1)</f>
        <v>25.4</v>
      </c>
      <c r="Z14" s="11">
        <f>INDEX('[6]input data'!$F$1:$F$1108,Z63,1)</f>
        <v>25.4</v>
      </c>
      <c r="AA14" s="11">
        <f>INDEX('[6]input data'!$F$1:$F$1108,AA63,1)</f>
        <v>25.4</v>
      </c>
      <c r="AB14" s="11">
        <f>INDEX('[6]input data'!$F$1:$F$1108,AB63,1)</f>
        <v>24.2</v>
      </c>
      <c r="AC14" s="11">
        <f>INDEX('[6]input data'!$F$1:$F$1108,AC63,1)</f>
        <v>23.4</v>
      </c>
      <c r="AD14" s="11">
        <f>INDEX('[6]input data'!$F$1:$F$1108,AD63,1)</f>
        <v>23.4</v>
      </c>
      <c r="AE14" s="11">
        <f>INDEX('[6]input data'!$F$1:$F$1108,AE63,1)</f>
        <v>23</v>
      </c>
      <c r="AF14" s="11">
        <f>INDEX('[6]input data'!$F$1:$F$1108,AF63,1)</f>
        <v>22.8</v>
      </c>
      <c r="AG14" s="11">
        <f>INDEX('[6]input data'!$F$1:$F$1108,AG63,1)</f>
        <v>23</v>
      </c>
      <c r="AH14" s="12">
        <f t="shared" si="2"/>
        <v>25.4</v>
      </c>
      <c r="AI14" s="13">
        <f t="shared" si="3"/>
        <v>22.8</v>
      </c>
      <c r="AJ14" s="16">
        <f t="shared" si="7"/>
        <v>24.061538461538461</v>
      </c>
      <c r="AM14" s="15">
        <v>6</v>
      </c>
      <c r="AN14" s="11">
        <f>INDEX('[6]input data'!$G$1:$G$1108,AO63,1)</f>
        <v>22.536281516172753</v>
      </c>
      <c r="AO14" s="11">
        <f>INDEX('[6]input data'!$G$1:$G$1108,AP63,1)</f>
        <v>22.991501967304046</v>
      </c>
      <c r="AP14" s="11">
        <f>INDEX('[6]input data'!$G$1:$G$1108,AQ63,1)</f>
        <v>23.28808865472617</v>
      </c>
      <c r="AQ14" s="11">
        <f>INDEX('[6]input data'!$G$1:$G$1108,AR63,1)</f>
        <v>23.011327145203094</v>
      </c>
      <c r="AR14" s="11">
        <f>INDEX('[6]input data'!$G$1:$G$1108,AS63,1)</f>
        <v>23.211561155971527</v>
      </c>
      <c r="AS14" s="11">
        <f>INDEX('[6]input data'!$G$1:$G$1108,AT63,1)</f>
        <v>23.485447924589423</v>
      </c>
      <c r="AT14" s="11">
        <f>INDEX('[6]input data'!$G$1:$G$1108,AU63,1)</f>
        <v>23.665869730219789</v>
      </c>
      <c r="AU14" s="11">
        <f>INDEX('[6]input data'!$G$1:$G$1108,AV63,1)</f>
        <v>23.384370540910407</v>
      </c>
      <c r="AV14" s="11">
        <f>INDEX('[6]input data'!$G$1:$G$1108,AW63,1)</f>
        <v>22.361484869154971</v>
      </c>
      <c r="AW14" s="11">
        <f>INDEX('[6]input data'!$G$1:$G$1108,AX63,1)</f>
        <v>22.45741703757486</v>
      </c>
      <c r="AX14" s="11">
        <f>INDEX('[6]input data'!$G$1:$G$1108,AY63,1)</f>
        <v>22.13650602405399</v>
      </c>
      <c r="AY14" s="11">
        <f>INDEX('[6]input data'!$G$1:$G$1108,AZ63,1)</f>
        <v>22.221122917405996</v>
      </c>
      <c r="AZ14" s="11">
        <f>INDEX('[6]input data'!$G$1:$G$1108,BA63,1)</f>
        <v>22.616977894785251</v>
      </c>
      <c r="BA14" s="12">
        <f t="shared" si="4"/>
        <v>23.665869730219789</v>
      </c>
      <c r="BB14" s="13">
        <f t="shared" si="5"/>
        <v>22.13650602405399</v>
      </c>
      <c r="BC14" s="16">
        <f t="shared" si="8"/>
        <v>22.874458259851711</v>
      </c>
    </row>
    <row r="15" spans="1:57" ht="14.25" customHeight="1" x14ac:dyDescent="0.25">
      <c r="A15" s="15">
        <v>7</v>
      </c>
      <c r="B15" s="11">
        <f>'[6]input data'!E222</f>
        <v>23.2</v>
      </c>
      <c r="C15" s="11">
        <f>'[6]input data'!E223</f>
        <v>25.3</v>
      </c>
      <c r="D15" s="11">
        <f>'[6]input data'!E224</f>
        <v>26.8</v>
      </c>
      <c r="E15" s="11">
        <f>'[6]input data'!E225</f>
        <v>29.2</v>
      </c>
      <c r="F15" s="11">
        <f>'[6]input data'!E226</f>
        <v>30.1</v>
      </c>
      <c r="G15" s="11">
        <f>'[6]input data'!E227</f>
        <v>30.4</v>
      </c>
      <c r="H15" s="11">
        <f>'[6]input data'!E228</f>
        <v>31.3</v>
      </c>
      <c r="I15" s="11">
        <f>'[6]input data'!E229</f>
        <v>31.2</v>
      </c>
      <c r="J15" s="11">
        <f>'[6]input data'!E230</f>
        <v>30.8</v>
      </c>
      <c r="K15" s="11">
        <f>'[6]input data'!E231</f>
        <v>30.6</v>
      </c>
      <c r="L15" s="11">
        <f>'[6]input data'!E232</f>
        <v>29</v>
      </c>
      <c r="M15" s="11">
        <f>'[6]input data'!E233</f>
        <v>27.6</v>
      </c>
      <c r="N15" s="11">
        <f>'[6]input data'!E234</f>
        <v>27</v>
      </c>
      <c r="O15" s="12">
        <f t="shared" si="0"/>
        <v>31.3</v>
      </c>
      <c r="P15" s="13">
        <f t="shared" si="1"/>
        <v>23.2</v>
      </c>
      <c r="Q15" s="16">
        <f t="shared" si="6"/>
        <v>28.653846153846157</v>
      </c>
      <c r="T15" s="15">
        <v>7</v>
      </c>
      <c r="U15" s="11">
        <f>INDEX('[6]input data'!$F$1:$F$1108,U64,1)</f>
        <v>22.6</v>
      </c>
      <c r="V15" s="11">
        <f>INDEX('[6]input data'!$F$1:$F$1108,V64,1)</f>
        <v>23.3</v>
      </c>
      <c r="W15" s="11">
        <f>INDEX('[6]input data'!$F$1:$F$1108,W64,1)</f>
        <v>24.5</v>
      </c>
      <c r="X15" s="11">
        <f>INDEX('[6]input data'!$F$1:$F$1108,X64,1)</f>
        <v>25.2</v>
      </c>
      <c r="Y15" s="11">
        <f>INDEX('[6]input data'!$F$1:$F$1108,Y64,1)</f>
        <v>25</v>
      </c>
      <c r="Z15" s="11">
        <f>INDEX('[6]input data'!$F$1:$F$1108,Z64,1)</f>
        <v>24.5</v>
      </c>
      <c r="AA15" s="11">
        <f>INDEX('[6]input data'!$F$1:$F$1108,AA64,1)</f>
        <v>24.8</v>
      </c>
      <c r="AB15" s="11">
        <f>INDEX('[6]input data'!$F$1:$F$1108,AB64,1)</f>
        <v>24.8</v>
      </c>
      <c r="AC15" s="11">
        <f>INDEX('[6]input data'!$F$1:$F$1108,AC64,1)</f>
        <v>24.3</v>
      </c>
      <c r="AD15" s="11">
        <f>INDEX('[6]input data'!$F$1:$F$1108,AD64,1)</f>
        <v>24.8</v>
      </c>
      <c r="AE15" s="11">
        <f>INDEX('[6]input data'!$F$1:$F$1108,AE64,1)</f>
        <v>26.3</v>
      </c>
      <c r="AF15" s="11">
        <f>INDEX('[6]input data'!$F$1:$F$1108,AF64,1)</f>
        <v>25.6</v>
      </c>
      <c r="AG15" s="11">
        <f>INDEX('[6]input data'!$F$1:$F$1108,AG64,1)</f>
        <v>25.2</v>
      </c>
      <c r="AH15" s="12">
        <f t="shared" si="2"/>
        <v>26.3</v>
      </c>
      <c r="AI15" s="13">
        <f t="shared" si="3"/>
        <v>22.6</v>
      </c>
      <c r="AJ15" s="16">
        <f t="shared" si="7"/>
        <v>24.684615384615391</v>
      </c>
      <c r="AM15" s="15">
        <v>7</v>
      </c>
      <c r="AN15" s="11">
        <f>INDEX('[6]input data'!$G$1:$G$1108,AO64,1)</f>
        <v>22.210821758183659</v>
      </c>
      <c r="AO15" s="11">
        <f>INDEX('[6]input data'!$G$1:$G$1108,AP64,1)</f>
        <v>22.256369744847241</v>
      </c>
      <c r="AP15" s="11">
        <f>INDEX('[6]input data'!$G$1:$G$1108,AQ64,1)</f>
        <v>23.379436669800825</v>
      </c>
      <c r="AQ15" s="11">
        <f>INDEX('[6]input data'!$G$1:$G$1108,AR64,1)</f>
        <v>23.356890846549941</v>
      </c>
      <c r="AR15" s="11">
        <f>INDEX('[6]input data'!$G$1:$G$1108,AS64,1)</f>
        <v>22.622991398306905</v>
      </c>
      <c r="AS15" s="11">
        <f>INDEX('[6]input data'!$G$1:$G$1108,AT64,1)</f>
        <v>21.663260375206157</v>
      </c>
      <c r="AT15" s="11">
        <f>INDEX('[6]input data'!$G$1:$G$1108,AU64,1)</f>
        <v>21.713090782217442</v>
      </c>
      <c r="AU15" s="11">
        <f>INDEX('[6]input data'!$G$1:$G$1108,AV64,1)</f>
        <v>21.762806904664341</v>
      </c>
      <c r="AV15" s="11">
        <f>INDEX('[6]input data'!$G$1:$G$1108,AW64,1)</f>
        <v>21.12624143647675</v>
      </c>
      <c r="AW15" s="11">
        <f>INDEX('[6]input data'!$G$1:$G$1108,AX64,1)</f>
        <v>22.058366904828024</v>
      </c>
      <c r="AX15" s="11">
        <f>INDEX('[6]input data'!$G$1:$G$1108,AY64,1)</f>
        <v>25.107343636585934</v>
      </c>
      <c r="AY15" s="11">
        <f>INDEX('[6]input data'!$G$1:$G$1108,AZ64,1)</f>
        <v>24.666213473453418</v>
      </c>
      <c r="AZ15" s="11">
        <f>INDEX('[6]input data'!$G$1:$G$1108,BA64,1)</f>
        <v>24.335116740668042</v>
      </c>
      <c r="BA15" s="12">
        <f t="shared" si="4"/>
        <v>25.107343636585934</v>
      </c>
      <c r="BB15" s="13">
        <f t="shared" si="5"/>
        <v>21.12624143647675</v>
      </c>
      <c r="BC15" s="16">
        <f t="shared" si="8"/>
        <v>22.789150051676057</v>
      </c>
    </row>
    <row r="16" spans="1:57" ht="14.25" customHeight="1" x14ac:dyDescent="0.25">
      <c r="A16" s="15">
        <v>8</v>
      </c>
      <c r="B16" s="11">
        <f>'[6]input data'!E258</f>
        <v>25</v>
      </c>
      <c r="C16" s="11">
        <f>'[6]input data'!E259</f>
        <v>27</v>
      </c>
      <c r="D16" s="11">
        <f>'[6]input data'!E260</f>
        <v>28.3</v>
      </c>
      <c r="E16" s="11">
        <f>'[6]input data'!E261</f>
        <v>29.8</v>
      </c>
      <c r="F16" s="11">
        <f>'[6]input data'!E262</f>
        <v>30.6</v>
      </c>
      <c r="G16" s="11">
        <f>'[6]input data'!E263</f>
        <v>31.8</v>
      </c>
      <c r="H16" s="11">
        <f>'[6]input data'!E264</f>
        <v>32</v>
      </c>
      <c r="I16" s="11">
        <f>'[6]input data'!E265</f>
        <v>29.8</v>
      </c>
      <c r="J16" s="11">
        <f>'[6]input data'!E266</f>
        <v>28.7</v>
      </c>
      <c r="K16" s="11">
        <f>'[6]input data'!E267</f>
        <v>23.5</v>
      </c>
      <c r="L16" s="11">
        <f>'[6]input data'!E268</f>
        <v>23.1</v>
      </c>
      <c r="M16" s="11">
        <f>'[6]input data'!E269</f>
        <v>23.3</v>
      </c>
      <c r="N16" s="11">
        <f>'[6]input data'!E270</f>
        <v>23.2</v>
      </c>
      <c r="O16" s="12">
        <f t="shared" si="0"/>
        <v>32</v>
      </c>
      <c r="P16" s="13">
        <f t="shared" si="1"/>
        <v>23.1</v>
      </c>
      <c r="Q16" s="16">
        <f t="shared" si="6"/>
        <v>27.392307692307693</v>
      </c>
      <c r="T16" s="15">
        <v>8</v>
      </c>
      <c r="U16" s="11">
        <f>INDEX('[6]input data'!$F$1:$F$1108,U65,1)</f>
        <v>23.8</v>
      </c>
      <c r="V16" s="11">
        <f>INDEX('[6]input data'!$F$1:$F$1108,V65,1)</f>
        <v>24.4</v>
      </c>
      <c r="W16" s="11">
        <f>INDEX('[6]input data'!$F$1:$F$1108,W65,1)</f>
        <v>24.8</v>
      </c>
      <c r="X16" s="11">
        <f>INDEX('[6]input data'!$F$1:$F$1108,X65,1)</f>
        <v>25.2</v>
      </c>
      <c r="Y16" s="11">
        <f>INDEX('[6]input data'!$F$1:$F$1108,Y65,1)</f>
        <v>25.2</v>
      </c>
      <c r="Z16" s="11">
        <f>INDEX('[6]input data'!$F$1:$F$1108,Z65,1)</f>
        <v>25.8</v>
      </c>
      <c r="AA16" s="11">
        <f>INDEX('[6]input data'!$F$1:$F$1108,AA65,1)</f>
        <v>26</v>
      </c>
      <c r="AB16" s="11">
        <f>INDEX('[6]input data'!$F$1:$F$1108,AB65,1)</f>
        <v>26.4</v>
      </c>
      <c r="AC16" s="11">
        <f>INDEX('[6]input data'!$F$1:$F$1108,AC65,1)</f>
        <v>26.3</v>
      </c>
      <c r="AD16" s="11">
        <f>INDEX('[6]input data'!$F$1:$F$1108,AD65,1)</f>
        <v>22.8</v>
      </c>
      <c r="AE16" s="11">
        <f>INDEX('[6]input data'!$F$1:$F$1108,AE65,1)</f>
        <v>22.6</v>
      </c>
      <c r="AF16" s="11">
        <f>INDEX('[6]input data'!$F$1:$F$1108,AF65,1)</f>
        <v>22.8</v>
      </c>
      <c r="AG16" s="11">
        <f>INDEX('[6]input data'!$F$1:$F$1108,AG65,1)</f>
        <v>23</v>
      </c>
      <c r="AH16" s="12">
        <f t="shared" si="2"/>
        <v>26.4</v>
      </c>
      <c r="AI16" s="13">
        <f t="shared" si="3"/>
        <v>22.6</v>
      </c>
      <c r="AJ16" s="16">
        <f t="shared" si="7"/>
        <v>24.546153846153853</v>
      </c>
      <c r="AM16" s="15">
        <v>8</v>
      </c>
      <c r="AN16" s="11">
        <f>INDEX('[6]input data'!$G$1:$G$1108,AO65,1)</f>
        <v>23.154171566343187</v>
      </c>
      <c r="AO16" s="11">
        <f>INDEX('[6]input data'!$G$1:$G$1108,AP65,1)</f>
        <v>23.135934889422426</v>
      </c>
      <c r="AP16" s="11">
        <f>INDEX('[6]input data'!$G$1:$G$1108,AQ65,1)</f>
        <v>23.15021314722178</v>
      </c>
      <c r="AQ16" s="11">
        <f>INDEX('[6]input data'!$G$1:$G$1108,AR65,1)</f>
        <v>23.081131949841016</v>
      </c>
      <c r="AR16" s="11">
        <f>INDEX('[6]input data'!$G$1:$G$1108,AS65,1)</f>
        <v>22.707092960719798</v>
      </c>
      <c r="AS16" s="11">
        <f>INDEX('[6]input data'!$G$1:$G$1108,AT65,1)</f>
        <v>23.110371218160086</v>
      </c>
      <c r="AT16" s="11">
        <f>INDEX('[6]input data'!$G$1:$G$1108,AU65,1)</f>
        <v>23.33914678575648</v>
      </c>
      <c r="AU16" s="11">
        <f>INDEX('[6]input data'!$G$1:$G$1108,AV65,1)</f>
        <v>24.921074218465066</v>
      </c>
      <c r="AV16" s="11">
        <f>INDEX('[6]input data'!$G$1:$G$1108,AW65,1)</f>
        <v>25.231854951335155</v>
      </c>
      <c r="AW16" s="11">
        <f>INDEX('[6]input data'!$G$1:$G$1108,AX65,1)</f>
        <v>22.365904409973691</v>
      </c>
      <c r="AX16" s="11">
        <f>INDEX('[6]input data'!$G$1:$G$1108,AY65,1)</f>
        <v>22.259232010125956</v>
      </c>
      <c r="AY16" s="11">
        <f>INDEX('[6]input data'!$G$1:$G$1108,AZ65,1)</f>
        <v>22.461810497075199</v>
      </c>
      <c r="AZ16" s="11">
        <f>INDEX('[6]input data'!$G$1:$G$1108,BA65,1)</f>
        <v>22.805789529148537</v>
      </c>
      <c r="BA16" s="12">
        <f t="shared" si="4"/>
        <v>25.231854951335155</v>
      </c>
      <c r="BB16" s="13">
        <f t="shared" si="5"/>
        <v>22.259232010125956</v>
      </c>
      <c r="BC16" s="16">
        <f t="shared" si="8"/>
        <v>23.209517548737566</v>
      </c>
    </row>
    <row r="17" spans="1:55" ht="14.25" customHeight="1" x14ac:dyDescent="0.25">
      <c r="A17" s="15">
        <v>9</v>
      </c>
      <c r="B17" s="11">
        <f>'[6]input data'!E294</f>
        <v>23.5</v>
      </c>
      <c r="C17" s="11">
        <f>'[6]input data'!E295</f>
        <v>25</v>
      </c>
      <c r="D17" s="11">
        <f>'[6]input data'!E296</f>
        <v>26.6</v>
      </c>
      <c r="E17" s="11">
        <f>'[6]input data'!E297</f>
        <v>27.4</v>
      </c>
      <c r="F17" s="11">
        <f>'[6]input data'!E298</f>
        <v>28.2</v>
      </c>
      <c r="G17" s="11">
        <f>'[6]input data'!E299</f>
        <v>28.6</v>
      </c>
      <c r="H17" s="11">
        <f>'[6]input data'!E300</f>
        <v>29</v>
      </c>
      <c r="I17" s="11">
        <f>'[6]input data'!E301</f>
        <v>29.8</v>
      </c>
      <c r="J17" s="11">
        <f>'[6]input data'!E302</f>
        <v>29.8</v>
      </c>
      <c r="K17" s="11">
        <f>'[6]input data'!E303</f>
        <v>29</v>
      </c>
      <c r="L17" s="11">
        <f>'[6]input data'!E304</f>
        <v>28</v>
      </c>
      <c r="M17" s="11">
        <f>'[6]input data'!E305</f>
        <v>26.8</v>
      </c>
      <c r="N17" s="11">
        <f>'[6]input data'!E306</f>
        <v>26</v>
      </c>
      <c r="O17" s="12">
        <f t="shared" si="0"/>
        <v>29.8</v>
      </c>
      <c r="P17" s="13">
        <f t="shared" si="1"/>
        <v>23.5</v>
      </c>
      <c r="Q17" s="16">
        <f t="shared" si="6"/>
        <v>27.515384615384615</v>
      </c>
      <c r="T17" s="15">
        <v>9</v>
      </c>
      <c r="U17" s="11">
        <f>INDEX('[6]input data'!$F$1:$F$1108,U66,1)</f>
        <v>23</v>
      </c>
      <c r="V17" s="11">
        <f>INDEX('[6]input data'!$F$1:$F$1108,V66,1)</f>
        <v>24</v>
      </c>
      <c r="W17" s="11">
        <f>INDEX('[6]input data'!$F$1:$F$1108,W66,1)</f>
        <v>24.6</v>
      </c>
      <c r="X17" s="11">
        <f>INDEX('[6]input data'!$F$1:$F$1108,X66,1)</f>
        <v>24.6</v>
      </c>
      <c r="Y17" s="11">
        <f>INDEX('[6]input data'!$F$1:$F$1108,Y66,1)</f>
        <v>24.8</v>
      </c>
      <c r="Z17" s="11">
        <f>INDEX('[6]input data'!$F$1:$F$1108,Z66,1)</f>
        <v>24.8</v>
      </c>
      <c r="AA17" s="11">
        <f>INDEX('[6]input data'!$F$1:$F$1108,AA66,1)</f>
        <v>25</v>
      </c>
      <c r="AB17" s="11">
        <f>INDEX('[6]input data'!$F$1:$F$1108,AB66,1)</f>
        <v>25.8</v>
      </c>
      <c r="AC17" s="11">
        <f>INDEX('[6]input data'!$F$1:$F$1108,AC66,1)</f>
        <v>25.8</v>
      </c>
      <c r="AD17" s="11">
        <f>INDEX('[6]input data'!$F$1:$F$1108,AD66,1)</f>
        <v>25.8</v>
      </c>
      <c r="AE17" s="11">
        <f>INDEX('[6]input data'!$F$1:$F$1108,AE66,1)</f>
        <v>26</v>
      </c>
      <c r="AF17" s="11">
        <f>INDEX('[6]input data'!$F$1:$F$1108,AF66,1)</f>
        <v>25.6</v>
      </c>
      <c r="AG17" s="11">
        <f>INDEX('[6]input data'!$F$1:$F$1108,AG66,1)</f>
        <v>25</v>
      </c>
      <c r="AH17" s="12">
        <f t="shared" si="2"/>
        <v>26</v>
      </c>
      <c r="AI17" s="13">
        <f t="shared" si="3"/>
        <v>23</v>
      </c>
      <c r="AJ17" s="16">
        <f t="shared" si="7"/>
        <v>24.984615384615388</v>
      </c>
      <c r="AM17" s="15">
        <v>9</v>
      </c>
      <c r="AN17" s="11">
        <f>INDEX('[6]input data'!$G$1:$G$1108,AO66,1)</f>
        <v>22.664358131383011</v>
      </c>
      <c r="AO17" s="11">
        <f>INDEX('[6]input data'!$G$1:$G$1108,AP66,1)</f>
        <v>23.451002870250118</v>
      </c>
      <c r="AP17" s="11">
        <f>INDEX('[6]input data'!$G$1:$G$1108,AQ66,1)</f>
        <v>23.620401055617794</v>
      </c>
      <c r="AQ17" s="11">
        <f>INDEX('[6]input data'!$G$1:$G$1108,AR66,1)</f>
        <v>23.256970699803183</v>
      </c>
      <c r="AR17" s="11">
        <f>INDEX('[6]input data'!$G$1:$G$1108,AS66,1)</f>
        <v>23.196283144013933</v>
      </c>
      <c r="AS17" s="11">
        <f>INDEX('[6]input data'!$G$1:$G$1108,AT66,1)</f>
        <v>23.011327145203094</v>
      </c>
      <c r="AT17" s="11">
        <f>INDEX('[6]input data'!$G$1:$G$1108,AU66,1)</f>
        <v>23.13765699199967</v>
      </c>
      <c r="AU17" s="11">
        <f>INDEX('[6]input data'!$G$1:$G$1108,AV66,1)</f>
        <v>24.013096932917858</v>
      </c>
      <c r="AV17" s="11">
        <f>INDEX('[6]input data'!$G$1:$G$1108,AW66,1)</f>
        <v>24.013096932917858</v>
      </c>
      <c r="AW17" s="11">
        <f>INDEX('[6]input data'!$G$1:$G$1108,AX66,1)</f>
        <v>24.362543776675032</v>
      </c>
      <c r="AX17" s="11">
        <f>INDEX('[6]input data'!$G$1:$G$1108,AY66,1)</f>
        <v>25.083754616146514</v>
      </c>
      <c r="AY17" s="11">
        <f>INDEX('[6]input data'!$G$1:$G$1108,AZ66,1)</f>
        <v>25.004046888190331</v>
      </c>
      <c r="AZ17" s="11">
        <f>INDEX('[6]input data'!$G$1:$G$1108,BA66,1)</f>
        <v>24.474280736128826</v>
      </c>
      <c r="BA17" s="12">
        <f t="shared" si="4"/>
        <v>25.083754616146514</v>
      </c>
      <c r="BB17" s="13">
        <f t="shared" si="5"/>
        <v>22.664358131383011</v>
      </c>
      <c r="BC17" s="16">
        <f t="shared" si="8"/>
        <v>23.791447686249789</v>
      </c>
    </row>
    <row r="18" spans="1:55" ht="14.25" customHeight="1" x14ac:dyDescent="0.25">
      <c r="A18" s="15">
        <v>10</v>
      </c>
      <c r="B18" s="11">
        <f>'[6]input data'!E330</f>
        <v>23.6</v>
      </c>
      <c r="C18" s="11">
        <f>'[6]input data'!E331</f>
        <v>25</v>
      </c>
      <c r="D18" s="11">
        <f>'[6]input data'!E332</f>
        <v>26.8</v>
      </c>
      <c r="E18" s="11">
        <f>'[6]input data'!E333</f>
        <v>28.3</v>
      </c>
      <c r="F18" s="11">
        <f>'[6]input data'!E334</f>
        <v>29.6</v>
      </c>
      <c r="G18" s="11">
        <f>'[6]input data'!E335</f>
        <v>29.8</v>
      </c>
      <c r="H18" s="11">
        <f>'[6]input data'!E336</f>
        <v>30</v>
      </c>
      <c r="I18" s="11">
        <f>'[6]input data'!E337</f>
        <v>30.5</v>
      </c>
      <c r="J18" s="11">
        <f>'[6]input data'!E338</f>
        <v>30.7</v>
      </c>
      <c r="K18" s="11">
        <f>'[6]input data'!E339</f>
        <v>29.2</v>
      </c>
      <c r="L18" s="11">
        <f>'[6]input data'!E340</f>
        <v>28.2</v>
      </c>
      <c r="M18" s="11">
        <f>'[6]input data'!E341</f>
        <v>27.4</v>
      </c>
      <c r="N18" s="11">
        <f>'[6]input data'!E342</f>
        <v>27.2</v>
      </c>
      <c r="O18" s="12">
        <f t="shared" si="0"/>
        <v>30.7</v>
      </c>
      <c r="P18" s="13">
        <f t="shared" si="1"/>
        <v>23.6</v>
      </c>
      <c r="Q18" s="16">
        <f t="shared" si="6"/>
        <v>28.176923076923075</v>
      </c>
      <c r="T18" s="15">
        <v>10</v>
      </c>
      <c r="U18" s="11">
        <f>INDEX('[6]input data'!$F$1:$F$1108,U67,1)</f>
        <v>22.8</v>
      </c>
      <c r="V18" s="11">
        <f>INDEX('[6]input data'!$F$1:$F$1108,V67,1)</f>
        <v>24</v>
      </c>
      <c r="W18" s="11">
        <f>INDEX('[6]input data'!$F$1:$F$1108,W67,1)</f>
        <v>24</v>
      </c>
      <c r="X18" s="11">
        <f>INDEX('[6]input data'!$F$1:$F$1108,X67,1)</f>
        <v>24.3</v>
      </c>
      <c r="Y18" s="11">
        <f>INDEX('[6]input data'!$F$1:$F$1108,Y67,1)</f>
        <v>24.8</v>
      </c>
      <c r="Z18" s="11">
        <f>INDEX('[6]input data'!$F$1:$F$1108,Z67,1)</f>
        <v>25</v>
      </c>
      <c r="AA18" s="11">
        <f>INDEX('[6]input data'!$F$1:$F$1108,AA67,1)</f>
        <v>25.3</v>
      </c>
      <c r="AB18" s="11">
        <f>INDEX('[6]input data'!$F$1:$F$1108,AB67,1)</f>
        <v>25.6</v>
      </c>
      <c r="AC18" s="11">
        <f>INDEX('[6]input data'!$F$1:$F$1108,AC67,1)</f>
        <v>25.9</v>
      </c>
      <c r="AD18" s="11">
        <f>INDEX('[6]input data'!$F$1:$F$1108,AD67,1)</f>
        <v>25.2</v>
      </c>
      <c r="AE18" s="11">
        <f>INDEX('[6]input data'!$F$1:$F$1108,AE67,1)</f>
        <v>25.2</v>
      </c>
      <c r="AF18" s="11">
        <f>INDEX('[6]input data'!$F$1:$F$1108,AF67,1)</f>
        <v>25.3</v>
      </c>
      <c r="AG18" s="11">
        <f>INDEX('[6]input data'!$F$1:$F$1108,AG67,1)</f>
        <v>25.6</v>
      </c>
      <c r="AH18" s="12">
        <f t="shared" si="2"/>
        <v>25.9</v>
      </c>
      <c r="AI18" s="13">
        <f t="shared" si="3"/>
        <v>22.8</v>
      </c>
      <c r="AJ18" s="16">
        <f t="shared" si="7"/>
        <v>24.846153846153847</v>
      </c>
      <c r="AM18" s="15">
        <v>10</v>
      </c>
      <c r="AN18" s="11">
        <f>INDEX('[6]input data'!$G$1:$G$1108,AO67,1)</f>
        <v>22.317767571519479</v>
      </c>
      <c r="AO18" s="11">
        <f>INDEX('[6]input data'!$G$1:$G$1108,AP67,1)</f>
        <v>23.451002870250118</v>
      </c>
      <c r="AP18" s="11">
        <f>INDEX('[6]input data'!$G$1:$G$1108,AQ67,1)</f>
        <v>22.615697420007322</v>
      </c>
      <c r="AQ18" s="11">
        <f>INDEX('[6]input data'!$G$1:$G$1108,AR67,1)</f>
        <v>22.368295271271318</v>
      </c>
      <c r="AR18" s="11">
        <f>INDEX('[6]input data'!$G$1:$G$1108,AS67,1)</f>
        <v>22.540866348822316</v>
      </c>
      <c r="AS18" s="11">
        <f>INDEX('[6]input data'!$G$1:$G$1108,AT67,1)</f>
        <v>22.764750111093644</v>
      </c>
      <c r="AT18" s="11">
        <f>INDEX('[6]input data'!$G$1:$G$1108,AU67,1)</f>
        <v>23.146169992834317</v>
      </c>
      <c r="AU18" s="11">
        <f>INDEX('[6]input data'!$G$1:$G$1108,AV67,1)</f>
        <v>23.38900195668537</v>
      </c>
      <c r="AV18" s="11">
        <f>INDEX('[6]input data'!$G$1:$G$1108,AW67,1)</f>
        <v>23.768335035597001</v>
      </c>
      <c r="AW18" s="11">
        <f>INDEX('[6]input data'!$G$1:$G$1108,AX67,1)</f>
        <v>23.356890846549941</v>
      </c>
      <c r="AX18" s="11">
        <f>INDEX('[6]input data'!$G$1:$G$1108,AY67,1)</f>
        <v>23.807773416804665</v>
      </c>
      <c r="AY18" s="11">
        <f>INDEX('[6]input data'!$G$1:$G$1108,AZ67,1)</f>
        <v>24.309414993591773</v>
      </c>
      <c r="AZ18" s="11">
        <f>INDEX('[6]input data'!$G$1:$G$1108,BA67,1)</f>
        <v>24.835872856569932</v>
      </c>
      <c r="BA18" s="12">
        <f t="shared" si="4"/>
        <v>24.835872856569932</v>
      </c>
      <c r="BB18" s="13">
        <f t="shared" si="5"/>
        <v>22.317767571519479</v>
      </c>
      <c r="BC18" s="16">
        <f t="shared" si="8"/>
        <v>23.282449130122863</v>
      </c>
    </row>
    <row r="19" spans="1:55" ht="14.25" customHeight="1" x14ac:dyDescent="0.25">
      <c r="A19" s="15">
        <v>11</v>
      </c>
      <c r="B19" s="11">
        <f>'[6]input data'!E366</f>
        <v>24.9</v>
      </c>
      <c r="C19" s="11">
        <f>'[6]input data'!E367</f>
        <v>26.7</v>
      </c>
      <c r="D19" s="11">
        <f>'[6]input data'!E368</f>
        <v>28.2</v>
      </c>
      <c r="E19" s="11">
        <f>'[6]input data'!E369</f>
        <v>29.6</v>
      </c>
      <c r="F19" s="11">
        <f>'[6]input data'!E370</f>
        <v>30.4</v>
      </c>
      <c r="G19" s="11">
        <f>'[6]input data'!E371</f>
        <v>30.8</v>
      </c>
      <c r="H19" s="11">
        <f>'[6]input data'!E372</f>
        <v>31.6</v>
      </c>
      <c r="I19" s="11">
        <f>'[6]input data'!E373</f>
        <v>31</v>
      </c>
      <c r="J19" s="11">
        <f>'[6]input data'!E374</f>
        <v>28.2</v>
      </c>
      <c r="K19" s="11">
        <f>'[6]input data'!E375</f>
        <v>26.2</v>
      </c>
      <c r="L19" s="11">
        <f>'[6]input data'!E376</f>
        <v>25.4</v>
      </c>
      <c r="M19" s="11">
        <f>'[6]input data'!E377</f>
        <v>24.8</v>
      </c>
      <c r="N19" s="11">
        <f>'[6]input data'!E378</f>
        <v>24.8</v>
      </c>
      <c r="O19" s="12">
        <f t="shared" si="0"/>
        <v>31.6</v>
      </c>
      <c r="P19" s="13">
        <f t="shared" si="1"/>
        <v>24.8</v>
      </c>
      <c r="Q19" s="16">
        <f t="shared" si="6"/>
        <v>27.892307692307693</v>
      </c>
      <c r="T19" s="15">
        <v>11</v>
      </c>
      <c r="U19" s="11">
        <f>INDEX('[6]input data'!$F$1:$F$1108,U68,1)</f>
        <v>23.4</v>
      </c>
      <c r="V19" s="11">
        <f>INDEX('[6]input data'!$F$1:$F$1108,V68,1)</f>
        <v>23.4</v>
      </c>
      <c r="W19" s="11">
        <f>INDEX('[6]input data'!$F$1:$F$1108,W68,1)</f>
        <v>25</v>
      </c>
      <c r="X19" s="11">
        <f>INDEX('[6]input data'!$F$1:$F$1108,X68,1)</f>
        <v>25</v>
      </c>
      <c r="Y19" s="11">
        <f>INDEX('[6]input data'!$F$1:$F$1108,Y68,1)</f>
        <v>25.5</v>
      </c>
      <c r="Z19" s="11">
        <f>INDEX('[6]input data'!$F$1:$F$1108,Z68,1)</f>
        <v>26</v>
      </c>
      <c r="AA19" s="11">
        <f>INDEX('[6]input data'!$F$1:$F$1108,AA68,1)</f>
        <v>25.7</v>
      </c>
      <c r="AB19" s="11">
        <f>INDEX('[6]input data'!$F$1:$F$1108,AB68,1)</f>
        <v>25.8</v>
      </c>
      <c r="AC19" s="11">
        <f>INDEX('[6]input data'!$F$1:$F$1108,AC68,1)</f>
        <v>25.8</v>
      </c>
      <c r="AD19" s="11">
        <f>INDEX('[6]input data'!$F$1:$F$1108,AD68,1)</f>
        <v>24.2</v>
      </c>
      <c r="AE19" s="11">
        <f>INDEX('[6]input data'!$F$1:$F$1108,AE68,1)</f>
        <v>24.6</v>
      </c>
      <c r="AF19" s="11">
        <f>INDEX('[6]input data'!$F$1:$F$1108,AF68,1)</f>
        <v>24</v>
      </c>
      <c r="AG19" s="11">
        <f>INDEX('[6]input data'!$F$1:$F$1108,AG68,1)</f>
        <v>24</v>
      </c>
      <c r="AH19" s="12">
        <f t="shared" si="2"/>
        <v>26</v>
      </c>
      <c r="AI19" s="13">
        <f t="shared" si="3"/>
        <v>23.4</v>
      </c>
      <c r="AJ19" s="16">
        <f t="shared" si="7"/>
        <v>24.800000000000004</v>
      </c>
      <c r="AM19" s="15">
        <v>11</v>
      </c>
      <c r="AN19" s="11">
        <f>INDEX('[6]input data'!$G$1:$G$1108,AO68,1)</f>
        <v>22.600405815370323</v>
      </c>
      <c r="AO19" s="11">
        <f>INDEX('[6]input data'!$G$1:$G$1108,AP68,1)</f>
        <v>21.725702399335123</v>
      </c>
      <c r="AP19" s="11">
        <f>INDEX('[6]input data'!$G$1:$G$1108,AQ68,1)</f>
        <v>23.503366381695525</v>
      </c>
      <c r="AQ19" s="11">
        <f>INDEX('[6]input data'!$G$1:$G$1108,AR68,1)</f>
        <v>22.858668311959782</v>
      </c>
      <c r="AR19" s="11">
        <f>INDEX('[6]input data'!$G$1:$G$1108,AS68,1)</f>
        <v>23.277303667603046</v>
      </c>
      <c r="AS19" s="11">
        <f>INDEX('[6]input data'!$G$1:$G$1108,AT68,1)</f>
        <v>23.879464107884509</v>
      </c>
      <c r="AT19" s="11">
        <f>INDEX('[6]input data'!$G$1:$G$1108,AU68,1)</f>
        <v>23.042283468686726</v>
      </c>
      <c r="AU19" s="11">
        <f>INDEX('[6]input data'!$G$1:$G$1108,AV68,1)</f>
        <v>23.476621444388034</v>
      </c>
      <c r="AV19" s="11">
        <f>INDEX('[6]input data'!$G$1:$G$1108,AW68,1)</f>
        <v>24.705723804490532</v>
      </c>
      <c r="AW19" s="11">
        <f>INDEX('[6]input data'!$G$1:$G$1108,AX68,1)</f>
        <v>23.201256751926248</v>
      </c>
      <c r="AX19" s="11">
        <f>INDEX('[6]input data'!$G$1:$G$1108,AY68,1)</f>
        <v>24.152855495117279</v>
      </c>
      <c r="AY19" s="11">
        <f>INDEX('[6]input data'!$G$1:$G$1108,AZ68,1)</f>
        <v>23.541582806104632</v>
      </c>
      <c r="AZ19" s="11">
        <f>INDEX('[6]input data'!$G$1:$G$1108,BA68,1)</f>
        <v>23.541582806104632</v>
      </c>
      <c r="BA19" s="12">
        <f t="shared" si="4"/>
        <v>24.705723804490532</v>
      </c>
      <c r="BB19" s="13">
        <f t="shared" si="5"/>
        <v>21.725702399335123</v>
      </c>
      <c r="BC19" s="16">
        <f t="shared" si="8"/>
        <v>23.346678250820499</v>
      </c>
    </row>
    <row r="20" spans="1:55" ht="14.25" customHeight="1" x14ac:dyDescent="0.25">
      <c r="A20" s="15">
        <v>12</v>
      </c>
      <c r="B20" s="11">
        <f>'[6]input data'!E402</f>
        <v>23.9</v>
      </c>
      <c r="C20" s="11">
        <f>'[6]input data'!E403</f>
        <v>25.6</v>
      </c>
      <c r="D20" s="11">
        <f>'[6]input data'!E404</f>
        <v>27</v>
      </c>
      <c r="E20" s="11">
        <f>'[6]input data'!E405</f>
        <v>29</v>
      </c>
      <c r="F20" s="11">
        <f>'[6]input data'!E406</f>
        <v>29.7</v>
      </c>
      <c r="G20" s="11">
        <f>'[6]input data'!E407</f>
        <v>30.6</v>
      </c>
      <c r="H20" s="11">
        <f>'[6]input data'!E408</f>
        <v>30.8</v>
      </c>
      <c r="I20" s="11">
        <f>'[6]input data'!E409</f>
        <v>29.9</v>
      </c>
      <c r="J20" s="11">
        <f>'[6]input data'!E410</f>
        <v>28.2</v>
      </c>
      <c r="K20" s="11">
        <f>'[6]input data'!E411</f>
        <v>27.7</v>
      </c>
      <c r="L20" s="11">
        <f>'[6]input data'!E412</f>
        <v>27.2</v>
      </c>
      <c r="M20" s="11">
        <f>'[6]input data'!E413</f>
        <v>26.9</v>
      </c>
      <c r="N20" s="11">
        <f>'[6]input data'!E414</f>
        <v>26.4</v>
      </c>
      <c r="O20" s="12">
        <f t="shared" si="0"/>
        <v>30.8</v>
      </c>
      <c r="P20" s="13">
        <f t="shared" si="1"/>
        <v>23.9</v>
      </c>
      <c r="Q20" s="16">
        <f t="shared" si="6"/>
        <v>27.91538461538461</v>
      </c>
      <c r="T20" s="15">
        <v>12</v>
      </c>
      <c r="U20" s="11">
        <f>INDEX('[6]input data'!$F$1:$F$1108,U69,1)</f>
        <v>23.4</v>
      </c>
      <c r="V20" s="11">
        <f>INDEX('[6]input data'!$F$1:$F$1108,V69,1)</f>
        <v>23.9</v>
      </c>
      <c r="W20" s="11">
        <f>INDEX('[6]input data'!$F$1:$F$1108,W69,1)</f>
        <v>23.9</v>
      </c>
      <c r="X20" s="11">
        <f>INDEX('[6]input data'!$F$1:$F$1108,X69,1)</f>
        <v>24.8</v>
      </c>
      <c r="Y20" s="11">
        <f>INDEX('[6]input data'!$F$1:$F$1108,Y69,1)</f>
        <v>25</v>
      </c>
      <c r="Z20" s="11">
        <f>INDEX('[6]input data'!$F$1:$F$1108,Z69,1)</f>
        <v>25.4</v>
      </c>
      <c r="AA20" s="11">
        <f>INDEX('[6]input data'!$F$1:$F$1108,AA69,1)</f>
        <v>24.6</v>
      </c>
      <c r="AB20" s="11">
        <f>INDEX('[6]input data'!$F$1:$F$1108,AB69,1)</f>
        <v>25.6</v>
      </c>
      <c r="AC20" s="11">
        <f>INDEX('[6]input data'!$F$1:$F$1108,AC69,1)</f>
        <v>25.9</v>
      </c>
      <c r="AD20" s="11">
        <f>INDEX('[6]input data'!$F$1:$F$1108,AD69,1)</f>
        <v>25.1</v>
      </c>
      <c r="AE20" s="11">
        <f>INDEX('[6]input data'!$F$1:$F$1108,AE69,1)</f>
        <v>25</v>
      </c>
      <c r="AF20" s="11">
        <f>INDEX('[6]input data'!$F$1:$F$1108,AF69,1)</f>
        <v>25.2</v>
      </c>
      <c r="AG20" s="11">
        <f>INDEX('[6]input data'!$F$1:$F$1108,AG69,1)</f>
        <v>25.1</v>
      </c>
      <c r="AH20" s="12">
        <f t="shared" si="2"/>
        <v>25.9</v>
      </c>
      <c r="AI20" s="13">
        <f t="shared" si="3"/>
        <v>23.4</v>
      </c>
      <c r="AJ20" s="16">
        <f t="shared" si="7"/>
        <v>24.838461538461537</v>
      </c>
      <c r="AM20" s="15">
        <v>12</v>
      </c>
      <c r="AN20" s="11">
        <f>INDEX('[6]input data'!$G$1:$G$1108,AO69,1)</f>
        <v>23.069362589016496</v>
      </c>
      <c r="AO20" s="11">
        <f>INDEX('[6]input data'!$G$1:$G$1108,AP69,1)</f>
        <v>23.026370764979553</v>
      </c>
      <c r="AP20" s="11">
        <f>INDEX('[6]input data'!$G$1:$G$1108,AQ69,1)</f>
        <v>22.364967773946255</v>
      </c>
      <c r="AQ20" s="11">
        <f>INDEX('[6]input data'!$G$1:$G$1108,AR69,1)</f>
        <v>22.824546080853771</v>
      </c>
      <c r="AR20" s="11">
        <f>INDEX('[6]input data'!$G$1:$G$1108,AS69,1)</f>
        <v>22.811767552763925</v>
      </c>
      <c r="AS20" s="11">
        <f>INDEX('[6]input data'!$G$1:$G$1108,AT69,1)</f>
        <v>23.026747545268133</v>
      </c>
      <c r="AT20" s="11">
        <f>INDEX('[6]input data'!$G$1:$G$1108,AU69,1)</f>
        <v>21.629341608776524</v>
      </c>
      <c r="AU20" s="11">
        <f>INDEX('[6]input data'!$G$1:$G$1108,AV69,1)</f>
        <v>23.66036389064061</v>
      </c>
      <c r="AV20" s="11">
        <f>INDEX('[6]input data'!$G$1:$G$1108,AW69,1)</f>
        <v>24.853252730292759</v>
      </c>
      <c r="AW20" s="11">
        <f>INDEX('[6]input data'!$G$1:$G$1108,AX69,1)</f>
        <v>23.879159206070124</v>
      </c>
      <c r="AX20" s="11">
        <f>INDEX('[6]input data'!$G$1:$G$1108,AY69,1)</f>
        <v>23.950825647173037</v>
      </c>
      <c r="AY20" s="11">
        <f>INDEX('[6]input data'!$G$1:$G$1108,AZ69,1)</f>
        <v>24.378412047418134</v>
      </c>
      <c r="AZ20" s="11">
        <f>INDEX('[6]input data'!$G$1:$G$1108,BA69,1)</f>
        <v>24.447696529014969</v>
      </c>
      <c r="BA20" s="12">
        <f t="shared" si="4"/>
        <v>24.853252730292759</v>
      </c>
      <c r="BB20" s="13">
        <f t="shared" si="5"/>
        <v>21.629341608776524</v>
      </c>
      <c r="BC20" s="16">
        <f t="shared" si="8"/>
        <v>23.378677997401098</v>
      </c>
    </row>
    <row r="21" spans="1:55" ht="14.25" customHeight="1" x14ac:dyDescent="0.25">
      <c r="A21" s="15">
        <v>13</v>
      </c>
      <c r="B21" s="11">
        <f>'[6]input data'!E438</f>
        <v>24.2</v>
      </c>
      <c r="C21" s="11">
        <f>'[6]input data'!E439</f>
        <v>26</v>
      </c>
      <c r="D21" s="11">
        <f>'[6]input data'!E440</f>
        <v>27.5</v>
      </c>
      <c r="E21" s="11">
        <f>'[6]input data'!E441</f>
        <v>28.2</v>
      </c>
      <c r="F21" s="11">
        <f>'[6]input data'!E442</f>
        <v>28.4</v>
      </c>
      <c r="G21" s="11">
        <f>'[6]input data'!E443</f>
        <v>28.5</v>
      </c>
      <c r="H21" s="11">
        <f>'[6]input data'!E444</f>
        <v>22.6</v>
      </c>
      <c r="I21" s="11">
        <f>'[6]input data'!E445</f>
        <v>23.3</v>
      </c>
      <c r="J21" s="11">
        <f>'[6]input data'!E446</f>
        <v>23.2</v>
      </c>
      <c r="K21" s="11">
        <f>'[6]input data'!E447</f>
        <v>23.1</v>
      </c>
      <c r="L21" s="11">
        <f>'[6]input data'!E448</f>
        <v>23.3</v>
      </c>
      <c r="M21" s="11">
        <f>'[6]input data'!E449</f>
        <v>23.1</v>
      </c>
      <c r="N21" s="11">
        <f>'[6]input data'!E450</f>
        <v>23.1</v>
      </c>
      <c r="O21" s="12">
        <f t="shared" si="0"/>
        <v>28.5</v>
      </c>
      <c r="P21" s="13">
        <f t="shared" si="1"/>
        <v>22.6</v>
      </c>
      <c r="Q21" s="16">
        <f t="shared" si="6"/>
        <v>24.961538461538467</v>
      </c>
      <c r="T21" s="15">
        <v>13</v>
      </c>
      <c r="U21" s="11">
        <f>INDEX('[6]input data'!$F$1:$F$1108,U70,1)</f>
        <v>23.3</v>
      </c>
      <c r="V21" s="11">
        <f>INDEX('[6]input data'!$F$1:$F$1108,V70,1)</f>
        <v>24.2</v>
      </c>
      <c r="W21" s="11">
        <f>INDEX('[6]input data'!$F$1:$F$1108,W70,1)</f>
        <v>24.8</v>
      </c>
      <c r="X21" s="11">
        <f>INDEX('[6]input data'!$F$1:$F$1108,X70,1)</f>
        <v>25.2</v>
      </c>
      <c r="Y21" s="11">
        <f>INDEX('[6]input data'!$F$1:$F$1108,Y70,1)</f>
        <v>25.7</v>
      </c>
      <c r="Z21" s="11">
        <f>INDEX('[6]input data'!$F$1:$F$1108,Z70,1)</f>
        <v>25.8</v>
      </c>
      <c r="AA21" s="11">
        <f>INDEX('[6]input data'!$F$1:$F$1108,AA70,1)</f>
        <v>22.4</v>
      </c>
      <c r="AB21" s="11">
        <f>INDEX('[6]input data'!$F$1:$F$1108,AB70,1)</f>
        <v>22.6</v>
      </c>
      <c r="AC21" s="11">
        <f>INDEX('[6]input data'!$F$1:$F$1108,AC70,1)</f>
        <v>23</v>
      </c>
      <c r="AD21" s="11">
        <f>INDEX('[6]input data'!$F$1:$F$1108,AD70,1)</f>
        <v>23</v>
      </c>
      <c r="AE21" s="11">
        <f>INDEX('[6]input data'!$F$1:$F$1108,AE70,1)</f>
        <v>23.1</v>
      </c>
      <c r="AF21" s="11">
        <f>INDEX('[6]input data'!$F$1:$F$1108,AF70,1)</f>
        <v>22.9</v>
      </c>
      <c r="AG21" s="11">
        <f>INDEX('[6]input data'!$F$1:$F$1108,AG70,1)</f>
        <v>22.9</v>
      </c>
      <c r="AH21" s="12">
        <f t="shared" si="2"/>
        <v>25.8</v>
      </c>
      <c r="AI21" s="13">
        <f t="shared" si="3"/>
        <v>22.4</v>
      </c>
      <c r="AJ21" s="16">
        <f t="shared" si="7"/>
        <v>23.761538461538461</v>
      </c>
      <c r="AM21" s="15">
        <v>13</v>
      </c>
      <c r="AN21" s="11">
        <f>INDEX('[6]input data'!$G$1:$G$1108,AO70,1)</f>
        <v>22.780930742954624</v>
      </c>
      <c r="AO21" s="11">
        <f>INDEX('[6]input data'!$G$1:$G$1108,AP70,1)</f>
        <v>23.293034575471221</v>
      </c>
      <c r="AP21" s="11">
        <f>INDEX('[6]input data'!$G$1:$G$1108,AQ70,1)</f>
        <v>23.51567808679572</v>
      </c>
      <c r="AQ21" s="11">
        <f>INDEX('[6]input data'!$G$1:$G$1108,AR70,1)</f>
        <v>23.807773416804665</v>
      </c>
      <c r="AR21" s="11">
        <f>INDEX('[6]input data'!$G$1:$G$1108,AS70,1)</f>
        <v>24.471718851012717</v>
      </c>
      <c r="AS21" s="11">
        <f>INDEX('[6]input data'!$G$1:$G$1108,AT70,1)</f>
        <v>24.577750330162949</v>
      </c>
      <c r="AT21" s="11">
        <f>INDEX('[6]input data'!$G$1:$G$1108,AU70,1)</f>
        <v>22.202667252878626</v>
      </c>
      <c r="AU21" s="11">
        <f>INDEX('[6]input data'!$G$1:$G$1108,AV70,1)</f>
        <v>22.162286557115888</v>
      </c>
      <c r="AV21" s="11">
        <f>INDEX('[6]input data'!$G$1:$G$1108,AW70,1)</f>
        <v>22.805789529148537</v>
      </c>
      <c r="AW21" s="11">
        <f>INDEX('[6]input data'!$G$1:$G$1108,AX70,1)</f>
        <v>22.852698999072828</v>
      </c>
      <c r="AX21" s="11">
        <f>INDEX('[6]input data'!$G$1:$G$1108,AY70,1)</f>
        <v>22.906299592291269</v>
      </c>
      <c r="AY21" s="11">
        <f>INDEX('[6]input data'!$G$1:$G$1108,AZ70,1)</f>
        <v>22.705276554090879</v>
      </c>
      <c r="AZ21" s="11">
        <f>INDEX('[6]input data'!$G$1:$G$1108,BA70,1)</f>
        <v>22.705276554090879</v>
      </c>
      <c r="BA21" s="12">
        <f t="shared" si="4"/>
        <v>24.577750330162949</v>
      </c>
      <c r="BB21" s="13">
        <f t="shared" si="5"/>
        <v>22.162286557115888</v>
      </c>
      <c r="BC21" s="16">
        <f t="shared" si="8"/>
        <v>23.137475464760829</v>
      </c>
    </row>
    <row r="22" spans="1:55" ht="14.25" customHeight="1" x14ac:dyDescent="0.25">
      <c r="A22" s="15">
        <v>14</v>
      </c>
      <c r="B22" s="11">
        <f>'[6]input data'!E474</f>
        <v>23.4</v>
      </c>
      <c r="C22" s="11">
        <f>'[6]input data'!E475</f>
        <v>25</v>
      </c>
      <c r="D22" s="11">
        <f>'[6]input data'!E476</f>
        <v>27</v>
      </c>
      <c r="E22" s="11">
        <f>'[6]input data'!E477</f>
        <v>28</v>
      </c>
      <c r="F22" s="11">
        <f>'[6]input data'!E478</f>
        <v>28.2</v>
      </c>
      <c r="G22" s="11">
        <f>'[6]input data'!E479</f>
        <v>26.2</v>
      </c>
      <c r="H22" s="11">
        <f>'[6]input data'!E480</f>
        <v>29.2</v>
      </c>
      <c r="I22" s="11">
        <f>'[6]input data'!E481</f>
        <v>27.1</v>
      </c>
      <c r="J22" s="11">
        <f>'[6]input data'!E482</f>
        <v>25.8</v>
      </c>
      <c r="K22" s="11">
        <f>'[6]input data'!E483</f>
        <v>26.2</v>
      </c>
      <c r="L22" s="11">
        <f>'[6]input data'!E484</f>
        <v>25.8</v>
      </c>
      <c r="M22" s="11">
        <f>'[6]input data'!E485</f>
        <v>25.4</v>
      </c>
      <c r="N22" s="11">
        <f>'[6]input data'!E486</f>
        <v>25</v>
      </c>
      <c r="O22" s="12">
        <f t="shared" si="0"/>
        <v>29.2</v>
      </c>
      <c r="P22" s="13">
        <f t="shared" si="1"/>
        <v>23.4</v>
      </c>
      <c r="Q22" s="16">
        <f t="shared" si="6"/>
        <v>26.330769230769228</v>
      </c>
      <c r="T22" s="15">
        <v>14</v>
      </c>
      <c r="U22" s="11">
        <f>INDEX('[6]input data'!$F$1:$F$1108,U71,1)</f>
        <v>22.8</v>
      </c>
      <c r="V22" s="11">
        <f>INDEX('[6]input data'!$F$1:$F$1108,V71,1)</f>
        <v>23.6</v>
      </c>
      <c r="W22" s="11">
        <f>INDEX('[6]input data'!$F$1:$F$1108,W71,1)</f>
        <v>24.4</v>
      </c>
      <c r="X22" s="11">
        <f>INDEX('[6]input data'!$F$1:$F$1108,X71,1)</f>
        <v>24.2</v>
      </c>
      <c r="Y22" s="11">
        <f>INDEX('[6]input data'!$F$1:$F$1108,Y71,1)</f>
        <v>24.6</v>
      </c>
      <c r="Z22" s="11">
        <f>INDEX('[6]input data'!$F$1:$F$1108,Z71,1)</f>
        <v>24.2</v>
      </c>
      <c r="AA22" s="11">
        <f>INDEX('[6]input data'!$F$1:$F$1108,AA71,1)</f>
        <v>25.6</v>
      </c>
      <c r="AB22" s="11">
        <f>INDEX('[6]input data'!$F$1:$F$1108,AB71,1)</f>
        <v>24.3</v>
      </c>
      <c r="AC22" s="11">
        <f>INDEX('[6]input data'!$F$1:$F$1108,AC71,1)</f>
        <v>23.5</v>
      </c>
      <c r="AD22" s="11">
        <f>INDEX('[6]input data'!$F$1:$F$1108,AD71,1)</f>
        <v>24</v>
      </c>
      <c r="AE22" s="11">
        <f>INDEX('[6]input data'!$F$1:$F$1108,AE71,1)</f>
        <v>24</v>
      </c>
      <c r="AF22" s="11">
        <f>INDEX('[6]input data'!$F$1:$F$1108,AF71,1)</f>
        <v>23.8</v>
      </c>
      <c r="AG22" s="11">
        <f>INDEX('[6]input data'!$F$1:$F$1108,AG71,1)</f>
        <v>23.6</v>
      </c>
      <c r="AH22" s="12">
        <f t="shared" si="2"/>
        <v>25.6</v>
      </c>
      <c r="AI22" s="13">
        <f t="shared" si="3"/>
        <v>22.8</v>
      </c>
      <c r="AJ22" s="16">
        <f t="shared" si="7"/>
        <v>24.046153846153853</v>
      </c>
      <c r="AM22" s="15">
        <v>14</v>
      </c>
      <c r="AN22" s="11">
        <f>INDEX('[6]input data'!$G$1:$G$1108,AO71,1)</f>
        <v>22.413918494565792</v>
      </c>
      <c r="AO22" s="11">
        <f>INDEX('[6]input data'!$G$1:$G$1108,AP71,1)</f>
        <v>22.854817544971361</v>
      </c>
      <c r="AP22" s="11">
        <f>INDEX('[6]input data'!$G$1:$G$1108,AQ71,1)</f>
        <v>23.135934889422426</v>
      </c>
      <c r="AQ22" s="11">
        <f>INDEX('[6]input data'!$G$1:$G$1108,AR71,1)</f>
        <v>22.354583733692817</v>
      </c>
      <c r="AR22" s="11">
        <f>INDEX('[6]input data'!$G$1:$G$1108,AS71,1)</f>
        <v>22.886439940964369</v>
      </c>
      <c r="AS22" s="11">
        <f>INDEX('[6]input data'!$G$1:$G$1108,AT71,1)</f>
        <v>23.201256751926248</v>
      </c>
      <c r="AT22" s="11">
        <f>INDEX('[6]input data'!$G$1:$G$1108,AU71,1)</f>
        <v>23.972138646793855</v>
      </c>
      <c r="AU22" s="11">
        <f>INDEX('[6]input data'!$G$1:$G$1108,AV71,1)</f>
        <v>22.93653381188777</v>
      </c>
      <c r="AV22" s="11">
        <f>INDEX('[6]input data'!$G$1:$G$1108,AW71,1)</f>
        <v>22.322554705614401</v>
      </c>
      <c r="AW22" s="11">
        <f>INDEX('[6]input data'!$G$1:$G$1108,AX71,1)</f>
        <v>22.898249002326494</v>
      </c>
      <c r="AX22" s="11">
        <f>INDEX('[6]input data'!$G$1:$G$1108,AY71,1)</f>
        <v>23.084297681296647</v>
      </c>
      <c r="AY22" s="11">
        <f>INDEX('[6]input data'!$G$1:$G$1108,AZ71,1)</f>
        <v>22.968814165589823</v>
      </c>
      <c r="AZ22" s="11">
        <f>INDEX('[6]input data'!$G$1:$G$1108,BA71,1)</f>
        <v>22.854817544971361</v>
      </c>
      <c r="BA22" s="12">
        <f t="shared" si="4"/>
        <v>23.972138646793855</v>
      </c>
      <c r="BB22" s="13">
        <f t="shared" si="5"/>
        <v>22.322554705614401</v>
      </c>
      <c r="BC22" s="16">
        <f t="shared" si="8"/>
        <v>22.914181301078717</v>
      </c>
    </row>
    <row r="23" spans="1:55" ht="14.25" customHeight="1" x14ac:dyDescent="0.25">
      <c r="A23" s="15">
        <v>15</v>
      </c>
      <c r="B23" s="11">
        <f>'[6]input data'!E510</f>
        <v>24.4</v>
      </c>
      <c r="C23" s="11">
        <f>'[6]input data'!E511</f>
        <v>26.1</v>
      </c>
      <c r="D23" s="11">
        <f>'[6]input data'!E512</f>
        <v>27.4</v>
      </c>
      <c r="E23" s="11">
        <f>'[6]input data'!E513</f>
        <v>28.6</v>
      </c>
      <c r="F23" s="11">
        <f>'[6]input data'!E514</f>
        <v>30.1</v>
      </c>
      <c r="G23" s="11">
        <f>'[6]input data'!E515</f>
        <v>31.1</v>
      </c>
      <c r="H23" s="11">
        <f>'[6]input data'!E516</f>
        <v>31.8</v>
      </c>
      <c r="I23" s="11">
        <f>'[6]input data'!E517</f>
        <v>31.6</v>
      </c>
      <c r="J23" s="11">
        <f>'[6]input data'!E518</f>
        <v>29.4</v>
      </c>
      <c r="K23" s="11">
        <f>'[6]input data'!E519</f>
        <v>28.6</v>
      </c>
      <c r="L23" s="11">
        <f>'[6]input data'!E520</f>
        <v>27.6</v>
      </c>
      <c r="M23" s="11">
        <f>'[6]input data'!E521</f>
        <v>27.4</v>
      </c>
      <c r="N23" s="11">
        <f>'[6]input data'!E522</f>
        <v>26.6</v>
      </c>
      <c r="O23" s="12">
        <f t="shared" si="0"/>
        <v>31.8</v>
      </c>
      <c r="P23" s="13">
        <f t="shared" si="1"/>
        <v>24.4</v>
      </c>
      <c r="Q23" s="16">
        <f t="shared" si="6"/>
        <v>28.515384615384619</v>
      </c>
      <c r="T23" s="15">
        <v>15</v>
      </c>
      <c r="U23" s="11">
        <f>INDEX('[6]input data'!$F$1:$F$1108,U72,1)</f>
        <v>23.2</v>
      </c>
      <c r="V23" s="11">
        <f>INDEX('[6]input data'!$F$1:$F$1108,V72,1)</f>
        <v>24.3</v>
      </c>
      <c r="W23" s="11">
        <f>INDEX('[6]input data'!$F$1:$F$1108,W72,1)</f>
        <v>24.9</v>
      </c>
      <c r="X23" s="11">
        <f>INDEX('[6]input data'!$F$1:$F$1108,X72,1)</f>
        <v>24.8</v>
      </c>
      <c r="Y23" s="11">
        <f>INDEX('[6]input data'!$F$1:$F$1108,Y72,1)</f>
        <v>25.2</v>
      </c>
      <c r="Z23" s="11">
        <f>INDEX('[6]input data'!$F$1:$F$1108,Z72,1)</f>
        <v>25.4</v>
      </c>
      <c r="AA23" s="11">
        <f>INDEX('[6]input data'!$F$1:$F$1108,AA72,1)</f>
        <v>25.4</v>
      </c>
      <c r="AB23" s="11">
        <f>INDEX('[6]input data'!$F$1:$F$1108,AB72,1)</f>
        <v>25.2</v>
      </c>
      <c r="AC23" s="11">
        <f>INDEX('[6]input data'!$F$1:$F$1108,AC72,1)</f>
        <v>26.2</v>
      </c>
      <c r="AD23" s="11">
        <f>INDEX('[6]input data'!$F$1:$F$1108,AD72,1)</f>
        <v>26.2</v>
      </c>
      <c r="AE23" s="11">
        <f>INDEX('[6]input data'!$F$1:$F$1108,AE72,1)</f>
        <v>25.8</v>
      </c>
      <c r="AF23" s="11">
        <f>INDEX('[6]input data'!$F$1:$F$1108,AF72,1)</f>
        <v>25.6</v>
      </c>
      <c r="AG23" s="11">
        <f>INDEX('[6]input data'!$F$1:$F$1108,AG72,1)</f>
        <v>25.4</v>
      </c>
      <c r="AH23" s="12">
        <f t="shared" si="2"/>
        <v>26.2</v>
      </c>
      <c r="AI23" s="13">
        <f t="shared" si="3"/>
        <v>23.2</v>
      </c>
      <c r="AJ23" s="16">
        <f t="shared" si="7"/>
        <v>25.199999999999996</v>
      </c>
      <c r="AM23" s="15">
        <v>15</v>
      </c>
      <c r="AN23" s="11">
        <f>INDEX('[6]input data'!$G$1:$G$1108,AO72,1)</f>
        <v>22.536281516172753</v>
      </c>
      <c r="AO23" s="11">
        <f>INDEX('[6]input data'!$G$1:$G$1108,AP72,1)</f>
        <v>23.397362074909108</v>
      </c>
      <c r="AP23" s="11">
        <f>INDEX('[6]input data'!$G$1:$G$1108,AQ72,1)</f>
        <v>23.7118407810832</v>
      </c>
      <c r="AQ23" s="11">
        <f>INDEX('[6]input data'!$G$1:$G$1108,AR72,1)</f>
        <v>23.011327145203094</v>
      </c>
      <c r="AR23" s="11">
        <f>INDEX('[6]input data'!$G$1:$G$1108,AS72,1)</f>
        <v>22.941732713579075</v>
      </c>
      <c r="AS23" s="11">
        <f>INDEX('[6]input data'!$G$1:$G$1108,AT72,1)</f>
        <v>22.793163865594536</v>
      </c>
      <c r="AT23" s="11">
        <f>INDEX('[6]input data'!$G$1:$G$1108,AU72,1)</f>
        <v>22.461217290434405</v>
      </c>
      <c r="AU23" s="11">
        <f>INDEX('[6]input data'!$G$1:$G$1108,AV72,1)</f>
        <v>22.228875201649902</v>
      </c>
      <c r="AV23" s="11">
        <f>INDEX('[6]input data'!$G$1:$G$1108,AW72,1)</f>
        <v>24.791013339087943</v>
      </c>
      <c r="AW23" s="11">
        <f>INDEX('[6]input data'!$G$1:$G$1108,AX72,1)</f>
        <v>25.126693789475187</v>
      </c>
      <c r="AX23" s="11">
        <f>INDEX('[6]input data'!$G$1:$G$1108,AY72,1)</f>
        <v>24.959139380333962</v>
      </c>
      <c r="AY23" s="11">
        <f>INDEX('[6]input data'!$G$1:$G$1108,AZ72,1)</f>
        <v>24.751230598214192</v>
      </c>
      <c r="AZ23" s="11">
        <f>INDEX('[6]input data'!$G$1:$G$1108,BA72,1)</f>
        <v>24.798771745606889</v>
      </c>
      <c r="BA23" s="12">
        <f t="shared" si="4"/>
        <v>25.126693789475187</v>
      </c>
      <c r="BB23" s="13">
        <f t="shared" si="5"/>
        <v>22.228875201649902</v>
      </c>
      <c r="BC23" s="16">
        <f t="shared" si="8"/>
        <v>23.654511495488016</v>
      </c>
    </row>
    <row r="24" spans="1:55" ht="14.25" customHeight="1" x14ac:dyDescent="0.25">
      <c r="A24" s="15">
        <v>16</v>
      </c>
      <c r="B24" s="11">
        <f>'[6]input data'!E546</f>
        <v>24</v>
      </c>
      <c r="C24" s="11">
        <f>'[6]input data'!E547</f>
        <v>24.8</v>
      </c>
      <c r="D24" s="11">
        <f>'[6]input data'!E548</f>
        <v>26.6</v>
      </c>
      <c r="E24" s="11">
        <f>'[6]input data'!E549</f>
        <v>28.6</v>
      </c>
      <c r="F24" s="11">
        <f>'[6]input data'!E550</f>
        <v>29.1</v>
      </c>
      <c r="G24" s="11">
        <f>'[6]input data'!E551</f>
        <v>30.6</v>
      </c>
      <c r="H24" s="11">
        <f>'[6]input data'!E552</f>
        <v>30.4</v>
      </c>
      <c r="I24" s="11">
        <f>'[6]input data'!E553</f>
        <v>30.2</v>
      </c>
      <c r="J24" s="11">
        <f>'[6]input data'!E554</f>
        <v>25</v>
      </c>
      <c r="K24" s="11">
        <f>'[6]input data'!E555</f>
        <v>25.3</v>
      </c>
      <c r="L24" s="11">
        <f>'[6]input data'!E556</f>
        <v>25.1</v>
      </c>
      <c r="M24" s="11">
        <f>'[6]input data'!E557</f>
        <v>24.6</v>
      </c>
      <c r="N24" s="11">
        <f>'[6]input data'!E558</f>
        <v>24.3</v>
      </c>
      <c r="O24" s="12">
        <f t="shared" si="0"/>
        <v>30.6</v>
      </c>
      <c r="P24" s="13">
        <f t="shared" si="1"/>
        <v>24</v>
      </c>
      <c r="Q24" s="16">
        <f t="shared" si="6"/>
        <v>26.815384615384616</v>
      </c>
      <c r="T24" s="15">
        <v>16</v>
      </c>
      <c r="U24" s="11">
        <f>INDEX('[6]input data'!$F$1:$F$1108,U73,1)</f>
        <v>23.2</v>
      </c>
      <c r="V24" s="11">
        <f>INDEX('[6]input data'!$F$1:$F$1108,V73,1)</f>
        <v>23.8</v>
      </c>
      <c r="W24" s="11">
        <f>INDEX('[6]input data'!$F$1:$F$1108,W73,1)</f>
        <v>24.2</v>
      </c>
      <c r="X24" s="11">
        <f>INDEX('[6]input data'!$F$1:$F$1108,X73,1)</f>
        <v>24.4</v>
      </c>
      <c r="Y24" s="11">
        <f>INDEX('[6]input data'!$F$1:$F$1108,Y73,1)</f>
        <v>24.7</v>
      </c>
      <c r="Z24" s="11">
        <f>INDEX('[6]input data'!$F$1:$F$1108,Z73,1)</f>
        <v>25.4</v>
      </c>
      <c r="AA24" s="11">
        <f>INDEX('[6]input data'!$F$1:$F$1108,AA73,1)</f>
        <v>25.8</v>
      </c>
      <c r="AB24" s="11">
        <f>INDEX('[6]input data'!$F$1:$F$1108,AB73,1)</f>
        <v>25.7</v>
      </c>
      <c r="AC24" s="11">
        <f>INDEX('[6]input data'!$F$1:$F$1108,AC73,1)</f>
        <v>24</v>
      </c>
      <c r="AD24" s="11">
        <f>INDEX('[6]input data'!$F$1:$F$1108,AD73,1)</f>
        <v>24.1</v>
      </c>
      <c r="AE24" s="11">
        <f>INDEX('[6]input data'!$F$1:$F$1108,AE73,1)</f>
        <v>24</v>
      </c>
      <c r="AF24" s="11">
        <f>INDEX('[6]input data'!$F$1:$F$1108,AF73,1)</f>
        <v>23.5</v>
      </c>
      <c r="AG24" s="11">
        <f>INDEX('[6]input data'!$F$1:$F$1108,AG73,1)</f>
        <v>23.6</v>
      </c>
      <c r="AH24" s="12">
        <f t="shared" si="2"/>
        <v>25.8</v>
      </c>
      <c r="AI24" s="13">
        <f t="shared" si="3"/>
        <v>23.2</v>
      </c>
      <c r="AJ24" s="16">
        <f t="shared" si="7"/>
        <v>24.338461538461537</v>
      </c>
      <c r="AM24" s="15">
        <v>16</v>
      </c>
      <c r="AN24" s="11">
        <f>INDEX('[6]input data'!$G$1:$G$1108,AO73,1)</f>
        <v>22.725900467116261</v>
      </c>
      <c r="AO24" s="11">
        <f>INDEX('[6]input data'!$G$1:$G$1108,AP73,1)</f>
        <v>23.246174595512937</v>
      </c>
      <c r="AP24" s="11">
        <f>INDEX('[6]input data'!$G$1:$G$1108,AQ73,1)</f>
        <v>23.016356945678069</v>
      </c>
      <c r="AQ24" s="11">
        <f>INDEX('[6]input data'!$G$1:$G$1108,AR73,1)</f>
        <v>22.382571693636379</v>
      </c>
      <c r="AR24" s="11">
        <f>INDEX('[6]input data'!$G$1:$G$1108,AS73,1)</f>
        <v>22.619517945782292</v>
      </c>
      <c r="AS24" s="11">
        <f>INDEX('[6]input data'!$G$1:$G$1108,AT73,1)</f>
        <v>23.026747545268133</v>
      </c>
      <c r="AT24" s="11">
        <f>INDEX('[6]input data'!$G$1:$G$1108,AU73,1)</f>
        <v>23.746748358606883</v>
      </c>
      <c r="AU24" s="11">
        <f>INDEX('[6]input data'!$G$1:$G$1108,AV73,1)</f>
        <v>23.680904262603566</v>
      </c>
      <c r="AV24" s="11">
        <f>INDEX('[6]input data'!$G$1:$G$1108,AW73,1)</f>
        <v>23.451002870250118</v>
      </c>
      <c r="AW24" s="11">
        <f>INDEX('[6]input data'!$G$1:$G$1108,AX73,1)</f>
        <v>23.462870826766924</v>
      </c>
      <c r="AX24" s="11">
        <f>INDEX('[6]input data'!$G$1:$G$1108,AY73,1)</f>
        <v>23.405550429464302</v>
      </c>
      <c r="AY24" s="11">
        <f>INDEX('[6]input data'!$G$1:$G$1108,AZ73,1)</f>
        <v>22.892122789540583</v>
      </c>
      <c r="AZ24" s="11">
        <f>INDEX('[6]input data'!$G$1:$G$1108,BA73,1)</f>
        <v>23.179943131895257</v>
      </c>
      <c r="BA24" s="12">
        <f t="shared" si="4"/>
        <v>23.746748358606883</v>
      </c>
      <c r="BB24" s="13">
        <f t="shared" si="5"/>
        <v>22.382571693636379</v>
      </c>
      <c r="BC24" s="16">
        <f t="shared" si="8"/>
        <v>23.141262450932437</v>
      </c>
    </row>
    <row r="25" spans="1:55" ht="14.25" customHeight="1" x14ac:dyDescent="0.25">
      <c r="A25" s="15">
        <v>17</v>
      </c>
      <c r="B25" s="11">
        <f>'[6]input data'!E582</f>
        <v>23.2</v>
      </c>
      <c r="C25" s="11">
        <f>'[6]input data'!E583</f>
        <v>25.2</v>
      </c>
      <c r="D25" s="11">
        <f>'[6]input data'!E584</f>
        <v>26.4</v>
      </c>
      <c r="E25" s="11">
        <f>'[6]input data'!E585</f>
        <v>27.1</v>
      </c>
      <c r="F25" s="11">
        <f>'[6]input data'!E586</f>
        <v>28.3</v>
      </c>
      <c r="G25" s="11">
        <f>'[6]input data'!E587</f>
        <v>28.6</v>
      </c>
      <c r="H25" s="11">
        <f>'[6]input data'!E588</f>
        <v>29.7</v>
      </c>
      <c r="I25" s="11">
        <f>'[6]input data'!E589</f>
        <v>29.2</v>
      </c>
      <c r="J25" s="11">
        <f>'[6]input data'!E590</f>
        <v>26.2</v>
      </c>
      <c r="K25" s="11">
        <f>'[6]input data'!E591</f>
        <v>24.8</v>
      </c>
      <c r="L25" s="11">
        <f>'[6]input data'!E592</f>
        <v>24.5</v>
      </c>
      <c r="M25" s="11">
        <f>'[6]input data'!E593</f>
        <v>24.2</v>
      </c>
      <c r="N25" s="11">
        <f>'[6]input data'!E594</f>
        <v>24</v>
      </c>
      <c r="O25" s="12">
        <f t="shared" si="0"/>
        <v>29.7</v>
      </c>
      <c r="P25" s="13">
        <f t="shared" si="1"/>
        <v>23.2</v>
      </c>
      <c r="Q25" s="16">
        <f t="shared" si="6"/>
        <v>26.261538461538461</v>
      </c>
      <c r="T25" s="15">
        <v>17</v>
      </c>
      <c r="U25" s="11">
        <f>INDEX('[6]input data'!$F$1:$F$1108,U74,1)</f>
        <v>22.8</v>
      </c>
      <c r="V25" s="11">
        <f>INDEX('[6]input data'!$F$1:$F$1108,V74,1)</f>
        <v>23.2</v>
      </c>
      <c r="W25" s="11">
        <f>INDEX('[6]input data'!$F$1:$F$1108,W74,1)</f>
        <v>24.2</v>
      </c>
      <c r="X25" s="11">
        <f>INDEX('[6]input data'!$F$1:$F$1108,X74,1)</f>
        <v>24.5</v>
      </c>
      <c r="Y25" s="11">
        <f>INDEX('[6]input data'!$F$1:$F$1108,Y74,1)</f>
        <v>25</v>
      </c>
      <c r="Z25" s="11">
        <f>INDEX('[6]input data'!$F$1:$F$1108,Z74,1)</f>
        <v>24.6</v>
      </c>
      <c r="AA25" s="11">
        <f>INDEX('[6]input data'!$F$1:$F$1108,AA74,1)</f>
        <v>25</v>
      </c>
      <c r="AB25" s="11">
        <f>INDEX('[6]input data'!$F$1:$F$1108,AB74,1)</f>
        <v>25.8</v>
      </c>
      <c r="AC25" s="11">
        <f>INDEX('[6]input data'!$F$1:$F$1108,AC74,1)</f>
        <v>25.4</v>
      </c>
      <c r="AD25" s="11">
        <f>INDEX('[6]input data'!$F$1:$F$1108,AD74,1)</f>
        <v>24.8</v>
      </c>
      <c r="AE25" s="11">
        <f>INDEX('[6]input data'!$F$1:$F$1108,AE74,1)</f>
        <v>23.6</v>
      </c>
      <c r="AF25" s="11">
        <f>INDEX('[6]input data'!$F$1:$F$1108,AF74,1)</f>
        <v>23.6</v>
      </c>
      <c r="AG25" s="11">
        <f>INDEX('[6]input data'!$F$1:$F$1108,AG74,1)</f>
        <v>23.4</v>
      </c>
      <c r="AH25" s="12">
        <f t="shared" si="2"/>
        <v>25.8</v>
      </c>
      <c r="AI25" s="13">
        <f t="shared" si="3"/>
        <v>22.8</v>
      </c>
      <c r="AJ25" s="16">
        <f t="shared" si="7"/>
        <v>24.300000000000004</v>
      </c>
      <c r="AM25" s="15">
        <v>17</v>
      </c>
      <c r="AN25" s="11">
        <f>INDEX('[6]input data'!$G$1:$G$1108,AO74,1)</f>
        <v>22.509581083658311</v>
      </c>
      <c r="AO25" s="11">
        <f>INDEX('[6]input data'!$G$1:$G$1108,AP74,1)</f>
        <v>22.151221893264331</v>
      </c>
      <c r="AP25" s="11">
        <f>INDEX('[6]input data'!$G$1:$G$1108,AQ74,1)</f>
        <v>23.109032442757304</v>
      </c>
      <c r="AQ25" s="11">
        <f>INDEX('[6]input data'!$G$1:$G$1108,AR74,1)</f>
        <v>23.242228744545454</v>
      </c>
      <c r="AR25" s="11">
        <f>INDEX('[6]input data'!$G$1:$G$1108,AS74,1)</f>
        <v>23.458036142724641</v>
      </c>
      <c r="AS25" s="11">
        <f>INDEX('[6]input data'!$G$1:$G$1108,AT74,1)</f>
        <v>22.698417218039328</v>
      </c>
      <c r="AT25" s="11">
        <f>INDEX('[6]input data'!$G$1:$G$1108,AU74,1)</f>
        <v>22.811767552763925</v>
      </c>
      <c r="AU25" s="11">
        <f>INDEX('[6]input data'!$G$1:$G$1108,AV74,1)</f>
        <v>24.275779153816018</v>
      </c>
      <c r="AV25" s="11">
        <f>INDEX('[6]input data'!$G$1:$G$1108,AW74,1)</f>
        <v>24.967266857285168</v>
      </c>
      <c r="AW25" s="11">
        <f>INDEX('[6]input data'!$G$1:$G$1108,AX74,1)</f>
        <v>24.699785870883705</v>
      </c>
      <c r="AX25" s="11">
        <f>INDEX('[6]input data'!$G$1:$G$1108,AY74,1)</f>
        <v>23.087618446210271</v>
      </c>
      <c r="AY25" s="11">
        <f>INDEX('[6]input data'!$G$1:$G$1108,AZ74,1)</f>
        <v>23.225937351919136</v>
      </c>
      <c r="AZ25" s="11">
        <f>INDEX('[6]input data'!$G$1:$G$1108,BA74,1)</f>
        <v>23.022986804446777</v>
      </c>
      <c r="BA25" s="12">
        <f t="shared" si="4"/>
        <v>24.967266857285168</v>
      </c>
      <c r="BB25" s="13">
        <f t="shared" si="5"/>
        <v>22.151221893264331</v>
      </c>
      <c r="BC25" s="16">
        <f t="shared" si="8"/>
        <v>23.32766612017803</v>
      </c>
    </row>
    <row r="26" spans="1:55" ht="14.25" customHeight="1" x14ac:dyDescent="0.25">
      <c r="A26" s="15">
        <v>18</v>
      </c>
      <c r="B26" s="11">
        <f>'[6]input data'!E618</f>
        <v>24.2</v>
      </c>
      <c r="C26" s="11">
        <f>'[6]input data'!E619</f>
        <v>26.4</v>
      </c>
      <c r="D26" s="11">
        <f>'[6]input data'!E620</f>
        <v>27.8</v>
      </c>
      <c r="E26" s="11">
        <f>'[6]input data'!E621</f>
        <v>28.4</v>
      </c>
      <c r="F26" s="11">
        <f>'[6]input data'!E622</f>
        <v>28.8</v>
      </c>
      <c r="G26" s="11">
        <f>'[6]input data'!E623</f>
        <v>29.4</v>
      </c>
      <c r="H26" s="11">
        <f>'[6]input data'!E624</f>
        <v>28.2</v>
      </c>
      <c r="I26" s="11">
        <f>'[6]input data'!E625</f>
        <v>28.2</v>
      </c>
      <c r="J26" s="11">
        <f>'[6]input data'!E626</f>
        <v>27.4</v>
      </c>
      <c r="K26" s="11">
        <f>'[6]input data'!E627</f>
        <v>25.6</v>
      </c>
      <c r="L26" s="11">
        <f>'[6]input data'!E628</f>
        <v>25</v>
      </c>
      <c r="M26" s="11">
        <f>'[6]input data'!E629</f>
        <v>24.8</v>
      </c>
      <c r="N26" s="11">
        <f>'[6]input data'!E630</f>
        <v>24</v>
      </c>
      <c r="O26" s="12">
        <f t="shared" si="0"/>
        <v>29.4</v>
      </c>
      <c r="P26" s="13">
        <f t="shared" si="1"/>
        <v>24</v>
      </c>
      <c r="Q26" s="16">
        <f t="shared" si="6"/>
        <v>26.784615384615385</v>
      </c>
      <c r="T26" s="15">
        <v>18</v>
      </c>
      <c r="U26" s="11">
        <f>INDEX('[6]input data'!$F$1:$F$1108,U75,1)</f>
        <v>23.4</v>
      </c>
      <c r="V26" s="11">
        <f>INDEX('[6]input data'!$F$1:$F$1108,V75,1)</f>
        <v>24.6</v>
      </c>
      <c r="W26" s="11">
        <f>INDEX('[6]input data'!$F$1:$F$1108,W75,1)</f>
        <v>24.8</v>
      </c>
      <c r="X26" s="11">
        <f>INDEX('[6]input data'!$F$1:$F$1108,X75,1)</f>
        <v>25</v>
      </c>
      <c r="Y26" s="11">
        <f>INDEX('[6]input data'!$F$1:$F$1108,Y75,1)</f>
        <v>25.3</v>
      </c>
      <c r="Z26" s="11">
        <f>INDEX('[6]input data'!$F$1:$F$1108,Z75,1)</f>
        <v>25.4</v>
      </c>
      <c r="AA26" s="11">
        <f>INDEX('[6]input data'!$F$1:$F$1108,AA75,1)</f>
        <v>25</v>
      </c>
      <c r="AB26" s="11">
        <f>INDEX('[6]input data'!$F$1:$F$1108,AB75,1)</f>
        <v>24.8</v>
      </c>
      <c r="AC26" s="11">
        <f>INDEX('[6]input data'!$F$1:$F$1108,AC75,1)</f>
        <v>24.2</v>
      </c>
      <c r="AD26" s="11">
        <f>INDEX('[6]input data'!$F$1:$F$1108,AD75,1)</f>
        <v>23.8</v>
      </c>
      <c r="AE26" s="11">
        <f>INDEX('[6]input data'!$F$1:$F$1108,AE75,1)</f>
        <v>23.4</v>
      </c>
      <c r="AF26" s="11">
        <f>INDEX('[6]input data'!$F$1:$F$1108,AF75,1)</f>
        <v>23.4</v>
      </c>
      <c r="AG26" s="11">
        <f>INDEX('[6]input data'!$F$1:$F$1108,AG75,1)</f>
        <v>23</v>
      </c>
      <c r="AH26" s="12">
        <f t="shared" si="2"/>
        <v>25.4</v>
      </c>
      <c r="AI26" s="13">
        <f t="shared" si="3"/>
        <v>23</v>
      </c>
      <c r="AJ26" s="16">
        <f t="shared" si="7"/>
        <v>24.315384615384612</v>
      </c>
      <c r="AM26" s="15">
        <v>18</v>
      </c>
      <c r="AN26" s="11">
        <f>INDEX('[6]input data'!$G$1:$G$1108,AO75,1)</f>
        <v>22.929892936995007</v>
      </c>
      <c r="AO26" s="11">
        <f>INDEX('[6]input data'!$G$1:$G$1108,AP75,1)</f>
        <v>23.710183186275557</v>
      </c>
      <c r="AP26" s="11">
        <f>INDEX('[6]input data'!$G$1:$G$1108,AQ75,1)</f>
        <v>23.379452040413032</v>
      </c>
      <c r="AQ26" s="11">
        <f>INDEX('[6]input data'!$G$1:$G$1108,AR75,1)</f>
        <v>23.412597481878489</v>
      </c>
      <c r="AR26" s="11">
        <f>INDEX('[6]input data'!$G$1:$G$1108,AS75,1)</f>
        <v>23.691896911833854</v>
      </c>
      <c r="AS26" s="11">
        <f>INDEX('[6]input data'!$G$1:$G$1108,AT75,1)</f>
        <v>23.575872804337322</v>
      </c>
      <c r="AT26" s="11">
        <f>INDEX('[6]input data'!$G$1:$G$1108,AU75,1)</f>
        <v>23.503366381695525</v>
      </c>
      <c r="AU26" s="11">
        <f>INDEX('[6]input data'!$G$1:$G$1108,AV75,1)</f>
        <v>23.196283144013933</v>
      </c>
      <c r="AV26" s="11">
        <f>INDEX('[6]input data'!$G$1:$G$1108,AW75,1)</f>
        <v>22.64104632271264</v>
      </c>
      <c r="AW26" s="11">
        <f>INDEX('[6]input data'!$G$1:$G$1108,AX75,1)</f>
        <v>22.875450234951316</v>
      </c>
      <c r="AX26" s="11">
        <f>INDEX('[6]input data'!$G$1:$G$1108,AY75,1)</f>
        <v>22.552863273036831</v>
      </c>
      <c r="AY26" s="11">
        <f>INDEX('[6]input data'!$G$1:$G$1108,AZ75,1)</f>
        <v>22.647828842860125</v>
      </c>
      <c r="AZ26" s="11">
        <f>INDEX('[6]input data'!$G$1:$G$1108,BA75,1)</f>
        <v>22.426257580226199</v>
      </c>
      <c r="BA26" s="12">
        <f t="shared" si="4"/>
        <v>23.710183186275557</v>
      </c>
      <c r="BB26" s="13">
        <f t="shared" si="5"/>
        <v>22.426257580226199</v>
      </c>
      <c r="BC26" s="16">
        <f t="shared" si="8"/>
        <v>23.118691626248449</v>
      </c>
    </row>
    <row r="27" spans="1:55" ht="14.25" customHeight="1" x14ac:dyDescent="0.25">
      <c r="A27" s="15">
        <v>19</v>
      </c>
      <c r="B27" s="11">
        <f>'[6]input data'!E654</f>
        <v>23.7</v>
      </c>
      <c r="C27" s="11">
        <f>'[6]input data'!E655</f>
        <v>25.7</v>
      </c>
      <c r="D27" s="11">
        <f>'[6]input data'!E656</f>
        <v>26.7</v>
      </c>
      <c r="E27" s="11">
        <f>'[6]input data'!E657</f>
        <v>28.3</v>
      </c>
      <c r="F27" s="11">
        <f>'[6]input data'!E658</f>
        <v>29.1</v>
      </c>
      <c r="G27" s="11">
        <f>'[6]input data'!E659</f>
        <v>29.6</v>
      </c>
      <c r="H27" s="11">
        <f>'[6]input data'!E660</f>
        <v>30.1</v>
      </c>
      <c r="I27" s="11">
        <f>'[6]input data'!E661</f>
        <v>30</v>
      </c>
      <c r="J27" s="11">
        <f>'[6]input data'!E662</f>
        <v>29.2</v>
      </c>
      <c r="K27" s="11">
        <f>'[6]input data'!E663</f>
        <v>27.9</v>
      </c>
      <c r="L27" s="11">
        <f>'[6]input data'!E664</f>
        <v>26.9</v>
      </c>
      <c r="M27" s="11">
        <f>'[6]input data'!E665</f>
        <v>25.7</v>
      </c>
      <c r="N27" s="11">
        <f>'[6]input data'!E666</f>
        <v>25.2</v>
      </c>
      <c r="O27" s="12">
        <f t="shared" si="0"/>
        <v>30.1</v>
      </c>
      <c r="P27" s="13">
        <f t="shared" si="1"/>
        <v>23.7</v>
      </c>
      <c r="Q27" s="16">
        <f t="shared" si="6"/>
        <v>27.546153846153839</v>
      </c>
      <c r="T27" s="15">
        <v>19</v>
      </c>
      <c r="U27" s="11">
        <f>INDEX('[6]input data'!$F$1:$F$1108,U76,1)</f>
        <v>22.7</v>
      </c>
      <c r="V27" s="11">
        <f>INDEX('[6]input data'!$F$1:$F$1108,V76,1)</f>
        <v>23.9</v>
      </c>
      <c r="W27" s="11">
        <f>INDEX('[6]input data'!$F$1:$F$1108,W76,1)</f>
        <v>24.4</v>
      </c>
      <c r="X27" s="11">
        <f>INDEX('[6]input data'!$F$1:$F$1108,X76,1)</f>
        <v>25</v>
      </c>
      <c r="Y27" s="11">
        <f>INDEX('[6]input data'!$F$1:$F$1108,Y76,1)</f>
        <v>25</v>
      </c>
      <c r="Z27" s="11">
        <f>INDEX('[6]input data'!$F$1:$F$1108,Z76,1)</f>
        <v>25.1</v>
      </c>
      <c r="AA27" s="11">
        <f>INDEX('[6]input data'!$F$1:$F$1108,AA76,1)</f>
        <v>25.5</v>
      </c>
      <c r="AB27" s="11">
        <f>INDEX('[6]input data'!$F$1:$F$1108,AB76,1)</f>
        <v>25.7</v>
      </c>
      <c r="AC27" s="11">
        <f>INDEX('[6]input data'!$F$1:$F$1108,AC76,1)</f>
        <v>25.9</v>
      </c>
      <c r="AD27" s="11">
        <f>INDEX('[6]input data'!$F$1:$F$1108,AD76,1)</f>
        <v>25.5</v>
      </c>
      <c r="AE27" s="11">
        <f>INDEX('[6]input data'!$F$1:$F$1108,AE76,1)</f>
        <v>25</v>
      </c>
      <c r="AF27" s="11">
        <f>INDEX('[6]input data'!$F$1:$F$1108,AF76,1)</f>
        <v>24.5</v>
      </c>
      <c r="AG27" s="11">
        <f>INDEX('[6]input data'!$F$1:$F$1108,AG76,1)</f>
        <v>24.3</v>
      </c>
      <c r="AH27" s="12">
        <f t="shared" si="2"/>
        <v>25.9</v>
      </c>
      <c r="AI27" s="13">
        <f t="shared" si="3"/>
        <v>22.7</v>
      </c>
      <c r="AJ27" s="16">
        <f t="shared" si="7"/>
        <v>24.807692307692307</v>
      </c>
      <c r="AM27" s="15">
        <v>19</v>
      </c>
      <c r="AN27" s="11">
        <f>INDEX('[6]input data'!$G$1:$G$1108,AO76,1)</f>
        <v>22.118531649149201</v>
      </c>
      <c r="AO27" s="11">
        <f>INDEX('[6]input data'!$G$1:$G$1108,AP76,1)</f>
        <v>22.979887879905885</v>
      </c>
      <c r="AP27" s="11">
        <f>INDEX('[6]input data'!$G$1:$G$1108,AQ76,1)</f>
        <v>23.273910219606915</v>
      </c>
      <c r="AQ27" s="11">
        <f>INDEX('[6]input data'!$G$1:$G$1108,AR76,1)</f>
        <v>23.458036142724641</v>
      </c>
      <c r="AR27" s="11">
        <f>INDEX('[6]input data'!$G$1:$G$1108,AS76,1)</f>
        <v>23.091443449890949</v>
      </c>
      <c r="AS27" s="11">
        <f>INDEX('[6]input data'!$G$1:$G$1108,AT76,1)</f>
        <v>23.016448789361732</v>
      </c>
      <c r="AT27" s="11">
        <f>INDEX('[6]input data'!$G$1:$G$1108,AU76,1)</f>
        <v>23.414268349656943</v>
      </c>
      <c r="AU27" s="11">
        <f>INDEX('[6]input data'!$G$1:$G$1108,AV76,1)</f>
        <v>23.770408878818561</v>
      </c>
      <c r="AV27" s="11">
        <f>INDEX('[6]input data'!$G$1:$G$1108,AW76,1)</f>
        <v>24.426638316096405</v>
      </c>
      <c r="AW27" s="11">
        <f>INDEX('[6]input data'!$G$1:$G$1108,AX76,1)</f>
        <v>24.389647873477603</v>
      </c>
      <c r="AX27" s="11">
        <f>INDEX('[6]input data'!$G$1:$G$1108,AY76,1)</f>
        <v>24.083040017724613</v>
      </c>
      <c r="AY27" s="11">
        <f>INDEX('[6]input data'!$G$1:$G$1108,AZ76,1)</f>
        <v>23.874222865361531</v>
      </c>
      <c r="AZ27" s="11">
        <f>INDEX('[6]input data'!$G$1:$G$1108,BA76,1)</f>
        <v>23.802754997291437</v>
      </c>
      <c r="BA27" s="12">
        <f t="shared" si="4"/>
        <v>24.426638316096405</v>
      </c>
      <c r="BB27" s="13">
        <f t="shared" si="5"/>
        <v>22.118531649149201</v>
      </c>
      <c r="BC27" s="16">
        <f t="shared" si="8"/>
        <v>23.515326109928189</v>
      </c>
    </row>
    <row r="28" spans="1:55" ht="14.25" customHeight="1" x14ac:dyDescent="0.25">
      <c r="A28" s="15">
        <v>20</v>
      </c>
      <c r="B28" s="11">
        <f>'[6]input data'!E690</f>
        <v>24.1</v>
      </c>
      <c r="C28" s="11">
        <f>'[6]input data'!E691</f>
        <v>25.6</v>
      </c>
      <c r="D28" s="11">
        <f>'[6]input data'!E692</f>
        <v>27</v>
      </c>
      <c r="E28" s="11">
        <f>'[6]input data'!E693</f>
        <v>28.9</v>
      </c>
      <c r="F28" s="11">
        <f>'[6]input data'!E694</f>
        <v>30.3</v>
      </c>
      <c r="G28" s="11">
        <f>'[6]input data'!E695</f>
        <v>29.9</v>
      </c>
      <c r="H28" s="11">
        <f>'[6]input data'!E696</f>
        <v>30.9</v>
      </c>
      <c r="I28" s="11">
        <f>'[6]input data'!E697</f>
        <v>30.6</v>
      </c>
      <c r="J28" s="11">
        <f>'[6]input data'!E698</f>
        <v>29.8</v>
      </c>
      <c r="K28" s="11">
        <f>'[6]input data'!E699</f>
        <v>28.9</v>
      </c>
      <c r="L28" s="11">
        <f>'[6]input data'!E700</f>
        <v>27.2</v>
      </c>
      <c r="M28" s="11">
        <f>'[6]input data'!E701</f>
        <v>26.2</v>
      </c>
      <c r="N28" s="11">
        <f>'[6]input data'!E702</f>
        <v>25.4</v>
      </c>
      <c r="O28" s="12">
        <f t="shared" si="0"/>
        <v>30.9</v>
      </c>
      <c r="P28" s="13">
        <f t="shared" si="1"/>
        <v>24.1</v>
      </c>
      <c r="Q28" s="16">
        <f t="shared" si="6"/>
        <v>28.061538461538458</v>
      </c>
      <c r="T28" s="15">
        <v>20</v>
      </c>
      <c r="U28" s="11">
        <f>INDEX('[6]input data'!$F$1:$F$1108,U77,1)</f>
        <v>23.4</v>
      </c>
      <c r="V28" s="11">
        <f>INDEX('[6]input data'!$F$1:$F$1108,V77,1)</f>
        <v>24.3</v>
      </c>
      <c r="W28" s="11">
        <f>INDEX('[6]input data'!$F$1:$F$1108,W77,1)</f>
        <v>24.3</v>
      </c>
      <c r="X28" s="11">
        <f>INDEX('[6]input data'!$F$1:$F$1108,X77,1)</f>
        <v>24.3</v>
      </c>
      <c r="Y28" s="11">
        <f>INDEX('[6]input data'!$F$1:$F$1108,Y77,1)</f>
        <v>25.1</v>
      </c>
      <c r="Z28" s="11">
        <f>INDEX('[6]input data'!$F$1:$F$1108,Z77,1)</f>
        <v>24.6</v>
      </c>
      <c r="AA28" s="11">
        <f>INDEX('[6]input data'!$F$1:$F$1108,AA77,1)</f>
        <v>25.1</v>
      </c>
      <c r="AB28" s="11">
        <f>INDEX('[6]input data'!$F$1:$F$1108,AB77,1)</f>
        <v>25.6</v>
      </c>
      <c r="AC28" s="11">
        <f>INDEX('[6]input data'!$F$1:$F$1108,AC77,1)</f>
        <v>25</v>
      </c>
      <c r="AD28" s="11">
        <f>INDEX('[6]input data'!$F$1:$F$1108,AD77,1)</f>
        <v>24.3</v>
      </c>
      <c r="AE28" s="11">
        <f>INDEX('[6]input data'!$F$1:$F$1108,AE77,1)</f>
        <v>24</v>
      </c>
      <c r="AF28" s="11">
        <f>INDEX('[6]input data'!$F$1:$F$1108,AF77,1)</f>
        <v>24</v>
      </c>
      <c r="AG28" s="11">
        <f>INDEX('[6]input data'!$F$1:$F$1108,AG77,1)</f>
        <v>23.8</v>
      </c>
      <c r="AH28" s="12">
        <f t="shared" si="2"/>
        <v>25.6</v>
      </c>
      <c r="AI28" s="13">
        <f t="shared" si="3"/>
        <v>23.4</v>
      </c>
      <c r="AJ28" s="16">
        <f t="shared" si="7"/>
        <v>24.446153846153848</v>
      </c>
      <c r="AM28" s="15">
        <v>20</v>
      </c>
      <c r="AN28" s="11">
        <f>INDEX('[6]input data'!$G$1:$G$1108,AO77,1)</f>
        <v>22.976497121725625</v>
      </c>
      <c r="AO28" s="11">
        <f>INDEX('[6]input data'!$G$1:$G$1108,AP77,1)</f>
        <v>23.623646261428956</v>
      </c>
      <c r="AP28" s="11">
        <f>INDEX('[6]input data'!$G$1:$G$1108,AQ77,1)</f>
        <v>22.983124403430299</v>
      </c>
      <c r="AQ28" s="11">
        <f>INDEX('[6]input data'!$G$1:$G$1108,AR77,1)</f>
        <v>22.07761858552043</v>
      </c>
      <c r="AR28" s="11">
        <f>INDEX('[6]input data'!$G$1:$G$1108,AS77,1)</f>
        <v>22.688443801576025</v>
      </c>
      <c r="AS28" s="11">
        <f>INDEX('[6]input data'!$G$1:$G$1108,AT77,1)</f>
        <v>22.07406509164646</v>
      </c>
      <c r="AT28" s="11">
        <f>INDEX('[6]input data'!$G$1:$G$1108,AU77,1)</f>
        <v>22.402689186927148</v>
      </c>
      <c r="AU28" s="11">
        <f>INDEX('[6]input data'!$G$1:$G$1108,AV77,1)</f>
        <v>23.343395747115117</v>
      </c>
      <c r="AV28" s="11">
        <f>INDEX('[6]input data'!$G$1:$G$1108,AW77,1)</f>
        <v>22.764750111093644</v>
      </c>
      <c r="AW28" s="11">
        <f>INDEX('[6]input data'!$G$1:$G$1108,AX77,1)</f>
        <v>22.07761858552043</v>
      </c>
      <c r="AX28" s="11">
        <f>INDEX('[6]input data'!$G$1:$G$1108,AY77,1)</f>
        <v>22.424951840849836</v>
      </c>
      <c r="AY28" s="11">
        <f>INDEX('[6]input data'!$G$1:$G$1108,AZ77,1)</f>
        <v>22.898249002326494</v>
      </c>
      <c r="AZ28" s="11">
        <f>INDEX('[6]input data'!$G$1:$G$1108,BA77,1)</f>
        <v>22.968814165589823</v>
      </c>
      <c r="BA28" s="12">
        <f t="shared" si="4"/>
        <v>23.623646261428956</v>
      </c>
      <c r="BB28" s="13">
        <f t="shared" si="5"/>
        <v>22.07406509164646</v>
      </c>
      <c r="BC28" s="16">
        <f t="shared" si="8"/>
        <v>22.715681838826946</v>
      </c>
    </row>
    <row r="29" spans="1:55" ht="14.25" customHeight="1" x14ac:dyDescent="0.25">
      <c r="A29" s="15">
        <v>21</v>
      </c>
      <c r="B29" s="11">
        <f>'[6]input data'!E726</f>
        <v>24</v>
      </c>
      <c r="C29" s="11">
        <f>'[6]input data'!E727</f>
        <v>25.5</v>
      </c>
      <c r="D29" s="11">
        <f>'[6]input data'!E728</f>
        <v>27</v>
      </c>
      <c r="E29" s="11">
        <f>'[6]input data'!E729</f>
        <v>29.2</v>
      </c>
      <c r="F29" s="11">
        <f>'[6]input data'!E730</f>
        <v>30.4</v>
      </c>
      <c r="G29" s="11">
        <f>'[6]input data'!E731</f>
        <v>30.8</v>
      </c>
      <c r="H29" s="11">
        <f>'[6]input data'!E732</f>
        <v>30.8</v>
      </c>
      <c r="I29" s="11">
        <f>'[6]input data'!E733</f>
        <v>30.8</v>
      </c>
      <c r="J29" s="11">
        <f>'[6]input data'!E734</f>
        <v>30.8</v>
      </c>
      <c r="K29" s="11">
        <f>'[6]input data'!E735</f>
        <v>30.4</v>
      </c>
      <c r="L29" s="11">
        <f>'[6]input data'!E736</f>
        <v>28.6</v>
      </c>
      <c r="M29" s="11">
        <f>'[6]input data'!E737</f>
        <v>27.6</v>
      </c>
      <c r="N29" s="11">
        <f>'[6]input data'!E738</f>
        <v>27.4</v>
      </c>
      <c r="O29" s="12">
        <f t="shared" si="0"/>
        <v>30.8</v>
      </c>
      <c r="P29" s="13">
        <f t="shared" si="1"/>
        <v>24</v>
      </c>
      <c r="Q29" s="16">
        <f t="shared" si="6"/>
        <v>28.715384615384615</v>
      </c>
      <c r="T29" s="15">
        <v>21</v>
      </c>
      <c r="U29" s="11">
        <f>INDEX('[6]input data'!$F$1:$F$1108,U78,1)</f>
        <v>22.6</v>
      </c>
      <c r="V29" s="11">
        <f>INDEX('[6]input data'!$F$1:$F$1108,V78,1)</f>
        <v>23.4</v>
      </c>
      <c r="W29" s="11">
        <f>INDEX('[6]input data'!$F$1:$F$1108,W78,1)</f>
        <v>24</v>
      </c>
      <c r="X29" s="11">
        <f>INDEX('[6]input data'!$F$1:$F$1108,X78,1)</f>
        <v>23.8</v>
      </c>
      <c r="Y29" s="11">
        <f>INDEX('[6]input data'!$F$1:$F$1108,Y78,1)</f>
        <v>24.2</v>
      </c>
      <c r="Z29" s="11">
        <f>INDEX('[6]input data'!$F$1:$F$1108,Z78,1)</f>
        <v>24.7</v>
      </c>
      <c r="AA29" s="11">
        <f>INDEX('[6]input data'!$F$1:$F$1108,AA78,1)</f>
        <v>24.3</v>
      </c>
      <c r="AB29" s="11">
        <f>INDEX('[6]input data'!$F$1:$F$1108,AB78,1)</f>
        <v>24.4</v>
      </c>
      <c r="AC29" s="11">
        <f>INDEX('[6]input data'!$F$1:$F$1108,AC78,1)</f>
        <v>24.4</v>
      </c>
      <c r="AD29" s="11">
        <f>INDEX('[6]input data'!$F$1:$F$1108,AD78,1)</f>
        <v>24.2</v>
      </c>
      <c r="AE29" s="11">
        <f>INDEX('[6]input data'!$F$1:$F$1108,AE78,1)</f>
        <v>24.6</v>
      </c>
      <c r="AF29" s="11">
        <f>INDEX('[6]input data'!$F$1:$F$1108,AF78,1)</f>
        <v>24.6</v>
      </c>
      <c r="AG29" s="11">
        <f>INDEX('[6]input data'!$F$1:$F$1108,AG78,1)</f>
        <v>24.4</v>
      </c>
      <c r="AH29" s="12">
        <f t="shared" si="2"/>
        <v>24.7</v>
      </c>
      <c r="AI29" s="13">
        <f t="shared" si="3"/>
        <v>22.6</v>
      </c>
      <c r="AJ29" s="16">
        <f t="shared" si="7"/>
        <v>24.123076923076926</v>
      </c>
      <c r="AM29" s="15">
        <v>21</v>
      </c>
      <c r="AN29" s="11">
        <f>INDEX('[6]input data'!$G$1:$G$1108,AO78,1)</f>
        <v>21.818982335509961</v>
      </c>
      <c r="AO29" s="11">
        <f>INDEX('[6]input data'!$G$1:$G$1108,AP78,1)</f>
        <v>22.313334889750408</v>
      </c>
      <c r="AP29" s="11">
        <f>INDEX('[6]input data'!$G$1:$G$1108,AQ78,1)</f>
        <v>22.520565860984291</v>
      </c>
      <c r="AQ29" s="11">
        <f>INDEX('[6]input data'!$G$1:$G$1108,AR78,1)</f>
        <v>21.110504772755601</v>
      </c>
      <c r="AR29" s="11">
        <f>INDEX('[6]input data'!$G$1:$G$1108,AS78,1)</f>
        <v>21.162935778277308</v>
      </c>
      <c r="AS29" s="11">
        <f>INDEX('[6]input data'!$G$1:$G$1108,AT78,1)</f>
        <v>21.795280440319502</v>
      </c>
      <c r="AT29" s="11">
        <f>INDEX('[6]input data'!$G$1:$G$1108,AU78,1)</f>
        <v>21.12624143647675</v>
      </c>
      <c r="AU29" s="11">
        <f>INDEX('[6]input data'!$G$1:$G$1108,AV78,1)</f>
        <v>21.294837240921414</v>
      </c>
      <c r="AV29" s="11">
        <f>INDEX('[6]input data'!$G$1:$G$1108,AW78,1)</f>
        <v>21.294837240921414</v>
      </c>
      <c r="AW29" s="11">
        <f>INDEX('[6]input data'!$G$1:$G$1108,AX78,1)</f>
        <v>21.162935778277308</v>
      </c>
      <c r="AX29" s="11">
        <f>INDEX('[6]input data'!$G$1:$G$1108,AY78,1)</f>
        <v>22.698417218039328</v>
      </c>
      <c r="AY29" s="11">
        <f>INDEX('[6]input data'!$G$1:$G$1108,AZ78,1)</f>
        <v>23.165015271595813</v>
      </c>
      <c r="AZ29" s="11">
        <f>INDEX('[6]input data'!$G$1:$G$1108,BA78,1)</f>
        <v>22.950390620266091</v>
      </c>
      <c r="BA29" s="12">
        <f t="shared" si="4"/>
        <v>23.165015271595813</v>
      </c>
      <c r="BB29" s="13">
        <f t="shared" si="5"/>
        <v>21.110504772755601</v>
      </c>
      <c r="BC29" s="16">
        <f t="shared" si="8"/>
        <v>21.878021452622708</v>
      </c>
    </row>
    <row r="30" spans="1:55" ht="14.25" customHeight="1" x14ac:dyDescent="0.25">
      <c r="A30" s="15">
        <v>22</v>
      </c>
      <c r="B30" s="11">
        <f>'[6]input data'!E762</f>
        <v>24.6</v>
      </c>
      <c r="C30" s="11">
        <f>'[6]input data'!E763</f>
        <v>26.2</v>
      </c>
      <c r="D30" s="11">
        <f>'[6]input data'!E764</f>
        <v>28</v>
      </c>
      <c r="E30" s="11">
        <f>'[6]input data'!E765</f>
        <v>29.2</v>
      </c>
      <c r="F30" s="11">
        <f>'[6]input data'!E766</f>
        <v>29.2</v>
      </c>
      <c r="G30" s="11">
        <f>'[6]input data'!E767</f>
        <v>30.2</v>
      </c>
      <c r="H30" s="11">
        <f>'[6]input data'!E768</f>
        <v>30.8</v>
      </c>
      <c r="I30" s="11">
        <f>'[6]input data'!E769</f>
        <v>31</v>
      </c>
      <c r="J30" s="11">
        <f>'[6]input data'!E770</f>
        <v>31</v>
      </c>
      <c r="K30" s="11">
        <f>'[6]input data'!E771</f>
        <v>30.3</v>
      </c>
      <c r="L30" s="11">
        <f>'[6]input data'!E772</f>
        <v>28.9</v>
      </c>
      <c r="M30" s="11">
        <f>'[6]input data'!E773</f>
        <v>27.5</v>
      </c>
      <c r="N30" s="11">
        <f>'[6]input data'!E774</f>
        <v>27</v>
      </c>
      <c r="O30" s="12">
        <f t="shared" si="0"/>
        <v>31</v>
      </c>
      <c r="P30" s="13">
        <f t="shared" si="1"/>
        <v>24.6</v>
      </c>
      <c r="Q30" s="16">
        <f t="shared" si="6"/>
        <v>28.761538461538461</v>
      </c>
      <c r="T30" s="15">
        <v>22</v>
      </c>
      <c r="U30" s="11">
        <f>INDEX('[6]input data'!$F$1:$F$1108,U79,1)</f>
        <v>22.8</v>
      </c>
      <c r="V30" s="11">
        <f>INDEX('[6]input data'!$F$1:$F$1108,V79,1)</f>
        <v>23.8</v>
      </c>
      <c r="W30" s="11">
        <f>INDEX('[6]input data'!$F$1:$F$1108,W79,1)</f>
        <v>24.2</v>
      </c>
      <c r="X30" s="11">
        <f>INDEX('[6]input data'!$F$1:$F$1108,X79,1)</f>
        <v>24.6</v>
      </c>
      <c r="Y30" s="11">
        <f>INDEX('[6]input data'!$F$1:$F$1108,Y79,1)</f>
        <v>24</v>
      </c>
      <c r="Z30" s="11">
        <f>INDEX('[6]input data'!$F$1:$F$1108,Z79,1)</f>
        <v>24.2</v>
      </c>
      <c r="AA30" s="11">
        <f>INDEX('[6]input data'!$F$1:$F$1108,AA79,1)</f>
        <v>24.3</v>
      </c>
      <c r="AB30" s="11">
        <f>INDEX('[6]input data'!$F$1:$F$1108,AB79,1)</f>
        <v>24</v>
      </c>
      <c r="AC30" s="11">
        <f>INDEX('[6]input data'!$F$1:$F$1108,AC79,1)</f>
        <v>24</v>
      </c>
      <c r="AD30" s="11">
        <f>INDEX('[6]input data'!$F$1:$F$1108,AD79,1)</f>
        <v>24.6</v>
      </c>
      <c r="AE30" s="11">
        <f>INDEX('[6]input data'!$F$1:$F$1108,AE79,1)</f>
        <v>24.4</v>
      </c>
      <c r="AF30" s="11">
        <f>INDEX('[6]input data'!$F$1:$F$1108,AF79,1)</f>
        <v>24</v>
      </c>
      <c r="AG30" s="11">
        <f>INDEX('[6]input data'!$F$1:$F$1108,AG79,1)</f>
        <v>23.6</v>
      </c>
      <c r="AH30" s="12">
        <f t="shared" si="2"/>
        <v>24.6</v>
      </c>
      <c r="AI30" s="13">
        <f t="shared" si="3"/>
        <v>22.8</v>
      </c>
      <c r="AJ30" s="16">
        <f t="shared" si="7"/>
        <v>24.03846153846154</v>
      </c>
      <c r="AM30" s="15">
        <v>22</v>
      </c>
      <c r="AN30" s="11">
        <f>INDEX('[6]input data'!$G$1:$G$1108,AO79,1)</f>
        <v>21.829495781399554</v>
      </c>
      <c r="AO30" s="11">
        <f>INDEX('[6]input data'!$G$1:$G$1108,AP79,1)</f>
        <v>22.592558509173742</v>
      </c>
      <c r="AP30" s="11">
        <f>INDEX('[6]input data'!$G$1:$G$1108,AQ79,1)</f>
        <v>22.354583733692817</v>
      </c>
      <c r="AQ30" s="11">
        <f>INDEX('[6]input data'!$G$1:$G$1108,AR79,1)</f>
        <v>22.412824160138996</v>
      </c>
      <c r="AR30" s="11">
        <f>INDEX('[6]input data'!$G$1:$G$1108,AS79,1)</f>
        <v>21.44106467360707</v>
      </c>
      <c r="AS30" s="11">
        <f>INDEX('[6]input data'!$G$1:$G$1108,AT79,1)</f>
        <v>21.265190011597987</v>
      </c>
      <c r="AT30" s="11">
        <f>INDEX('[6]input data'!$G$1:$G$1108,AU79,1)</f>
        <v>21.12624143647675</v>
      </c>
      <c r="AU30" s="11">
        <f>INDEX('[6]input data'!$G$1:$G$1108,AV79,1)</f>
        <v>20.508989309109545</v>
      </c>
      <c r="AV30" s="11">
        <f>INDEX('[6]input data'!$G$1:$G$1108,AW79,1)</f>
        <v>20.508989309109545</v>
      </c>
      <c r="AW30" s="11">
        <f>INDEX('[6]input data'!$G$1:$G$1108,AX79,1)</f>
        <v>21.877711058482507</v>
      </c>
      <c r="AX30" s="11">
        <f>INDEX('[6]input data'!$G$1:$G$1108,AY79,1)</f>
        <v>22.23790416583001</v>
      </c>
      <c r="AY30" s="11">
        <f>INDEX('[6]input data'!$G$1:$G$1108,AZ79,1)</f>
        <v>22.280614582943233</v>
      </c>
      <c r="AZ30" s="11">
        <f>INDEX('[6]input data'!$G$1:$G$1108,BA79,1)</f>
        <v>21.893778896731295</v>
      </c>
      <c r="BA30" s="12">
        <f t="shared" si="4"/>
        <v>22.592558509173742</v>
      </c>
      <c r="BB30" s="13">
        <f t="shared" si="5"/>
        <v>20.508989309109545</v>
      </c>
      <c r="BC30" s="16">
        <f t="shared" si="8"/>
        <v>21.717688125253314</v>
      </c>
    </row>
    <row r="31" spans="1:55" ht="14.25" customHeight="1" x14ac:dyDescent="0.25">
      <c r="A31" s="15">
        <v>23</v>
      </c>
      <c r="B31" s="11">
        <f>'[6]input data'!E798</f>
        <v>23.7</v>
      </c>
      <c r="C31" s="11">
        <f>'[6]input data'!E799</f>
        <v>25.1</v>
      </c>
      <c r="D31" s="11">
        <f>'[6]input data'!E800</f>
        <v>27</v>
      </c>
      <c r="E31" s="11">
        <f>'[6]input data'!E801</f>
        <v>29.2</v>
      </c>
      <c r="F31" s="11">
        <f>'[6]input data'!E802</f>
        <v>29.3</v>
      </c>
      <c r="G31" s="11">
        <f>'[6]input data'!E803</f>
        <v>29.6</v>
      </c>
      <c r="H31" s="11">
        <f>'[6]input data'!E804</f>
        <v>30.8</v>
      </c>
      <c r="I31" s="11">
        <f>'[6]input data'!E805</f>
        <v>29.9</v>
      </c>
      <c r="J31" s="11">
        <f>'[6]input data'!E806</f>
        <v>29.7</v>
      </c>
      <c r="K31" s="11">
        <f>'[6]input data'!E807</f>
        <v>28.5</v>
      </c>
      <c r="L31" s="11">
        <f>'[6]input data'!E808</f>
        <v>27.3</v>
      </c>
      <c r="M31" s="11">
        <f>'[6]input data'!E809</f>
        <v>26.3</v>
      </c>
      <c r="N31" s="11">
        <f>'[6]input data'!E810</f>
        <v>25.2</v>
      </c>
      <c r="O31" s="12">
        <f t="shared" si="0"/>
        <v>30.8</v>
      </c>
      <c r="P31" s="13">
        <f t="shared" si="1"/>
        <v>23.7</v>
      </c>
      <c r="Q31" s="16">
        <f t="shared" si="6"/>
        <v>27.815384615384616</v>
      </c>
      <c r="T31" s="15">
        <v>23</v>
      </c>
      <c r="U31" s="11">
        <f>INDEX('[6]input data'!$F$1:$F$1108,U80,1)</f>
        <v>22.1</v>
      </c>
      <c r="V31" s="11">
        <f>INDEX('[6]input data'!$F$1:$F$1108,V80,1)</f>
        <v>22.8</v>
      </c>
      <c r="W31" s="11">
        <f>INDEX('[6]input data'!$F$1:$F$1108,W80,1)</f>
        <v>24</v>
      </c>
      <c r="X31" s="11">
        <f>INDEX('[6]input data'!$F$1:$F$1108,X80,1)</f>
        <v>24.7</v>
      </c>
      <c r="Y31" s="11">
        <f>INDEX('[6]input data'!$F$1:$F$1108,Y80,1)</f>
        <v>25</v>
      </c>
      <c r="Z31" s="11">
        <f>INDEX('[6]input data'!$F$1:$F$1108,Z80,1)</f>
        <v>25</v>
      </c>
      <c r="AA31" s="11">
        <f>INDEX('[6]input data'!$F$1:$F$1108,AA80,1)</f>
        <v>25.1</v>
      </c>
      <c r="AB31" s="11">
        <f>INDEX('[6]input data'!$F$1:$F$1108,AB80,1)</f>
        <v>24.4</v>
      </c>
      <c r="AC31" s="11">
        <f>INDEX('[6]input data'!$F$1:$F$1108,AC80,1)</f>
        <v>25</v>
      </c>
      <c r="AD31" s="11">
        <f>INDEX('[6]input data'!$F$1:$F$1108,AD80,1)</f>
        <v>24.3</v>
      </c>
      <c r="AE31" s="11">
        <f>INDEX('[6]input data'!$F$1:$F$1108,AE80,1)</f>
        <v>24.3</v>
      </c>
      <c r="AF31" s="11">
        <f>INDEX('[6]input data'!$F$1:$F$1108,AF80,1)</f>
        <v>23.9</v>
      </c>
      <c r="AG31" s="11">
        <f>INDEX('[6]input data'!$F$1:$F$1108,AG80,1)</f>
        <v>23.9</v>
      </c>
      <c r="AH31" s="12">
        <f t="shared" si="2"/>
        <v>25.1</v>
      </c>
      <c r="AI31" s="13">
        <f t="shared" si="3"/>
        <v>22.1</v>
      </c>
      <c r="AJ31" s="16">
        <f t="shared" si="7"/>
        <v>24.192307692307693</v>
      </c>
      <c r="AM31" s="15">
        <v>23</v>
      </c>
      <c r="AN31" s="11">
        <f>INDEX('[6]input data'!$G$1:$G$1108,AO80,1)</f>
        <v>21.198152323005178</v>
      </c>
      <c r="AO31" s="11">
        <f>INDEX('[6]input data'!$G$1:$G$1108,AP80,1)</f>
        <v>21.580509743183754</v>
      </c>
      <c r="AP31" s="11">
        <f>INDEX('[6]input data'!$G$1:$G$1108,AQ80,1)</f>
        <v>22.520565860984291</v>
      </c>
      <c r="AQ31" s="11">
        <f>INDEX('[6]input data'!$G$1:$G$1108,AR80,1)</f>
        <v>22.572019626566767</v>
      </c>
      <c r="AR31" s="11">
        <f>INDEX('[6]input data'!$G$1:$G$1108,AS80,1)</f>
        <v>22.998676685198461</v>
      </c>
      <c r="AS31" s="11">
        <f>INDEX('[6]input data'!$G$1:$G$1108,AT80,1)</f>
        <v>22.858668311959782</v>
      </c>
      <c r="AT31" s="11">
        <f>INDEX('[6]input data'!$G$1:$G$1108,AU80,1)</f>
        <v>22.450616739376258</v>
      </c>
      <c r="AU31" s="11">
        <f>INDEX('[6]input data'!$G$1:$G$1108,AV80,1)</f>
        <v>21.747474325005232</v>
      </c>
      <c r="AV31" s="11">
        <f>INDEX('[6]input data'!$G$1:$G$1108,AW80,1)</f>
        <v>22.811767552763925</v>
      </c>
      <c r="AW31" s="11">
        <f>INDEX('[6]input data'!$G$1:$G$1108,AX80,1)</f>
        <v>22.2719012665546</v>
      </c>
      <c r="AX31" s="11">
        <f>INDEX('[6]input data'!$G$1:$G$1108,AY80,1)</f>
        <v>22.843006922506021</v>
      </c>
      <c r="AY31" s="11">
        <f>INDEX('[6]input data'!$G$1:$G$1108,AZ80,1)</f>
        <v>22.698565399467725</v>
      </c>
      <c r="AZ31" s="11">
        <f>INDEX('[6]input data'!$G$1:$G$1108,BA80,1)</f>
        <v>23.211169684950409</v>
      </c>
      <c r="BA31" s="12">
        <f t="shared" si="4"/>
        <v>23.211169684950409</v>
      </c>
      <c r="BB31" s="13">
        <f t="shared" si="5"/>
        <v>21.198152323005178</v>
      </c>
      <c r="BC31" s="16">
        <f t="shared" si="8"/>
        <v>22.443314957040187</v>
      </c>
    </row>
    <row r="32" spans="1:55" ht="14.25" customHeight="1" x14ac:dyDescent="0.25">
      <c r="A32" s="15">
        <v>24</v>
      </c>
      <c r="B32" s="11">
        <f>'[6]input data'!E834</f>
        <v>24</v>
      </c>
      <c r="C32" s="11">
        <f>'[6]input data'!E835</f>
        <v>25.7</v>
      </c>
      <c r="D32" s="11">
        <f>'[6]input data'!E836</f>
        <v>27.1</v>
      </c>
      <c r="E32" s="11">
        <f>'[6]input data'!E837</f>
        <v>28.8</v>
      </c>
      <c r="F32" s="11">
        <f>'[6]input data'!E838</f>
        <v>29.4</v>
      </c>
      <c r="G32" s="11">
        <f>'[6]input data'!E839</f>
        <v>29.7</v>
      </c>
      <c r="H32" s="11">
        <f>'[6]input data'!E840</f>
        <v>29.6</v>
      </c>
      <c r="I32" s="11">
        <f>'[6]input data'!E841</f>
        <v>29.6</v>
      </c>
      <c r="J32" s="11">
        <f>'[6]input data'!E842</f>
        <v>29</v>
      </c>
      <c r="K32" s="11">
        <f>'[6]input data'!E843</f>
        <v>28.6</v>
      </c>
      <c r="L32" s="11">
        <f>'[6]input data'!E844</f>
        <v>27.6</v>
      </c>
      <c r="M32" s="11">
        <f>'[6]input data'!E845</f>
        <v>26.8</v>
      </c>
      <c r="N32" s="11">
        <f>'[6]input data'!E846</f>
        <v>26.2</v>
      </c>
      <c r="O32" s="12">
        <f t="shared" si="0"/>
        <v>29.7</v>
      </c>
      <c r="P32" s="13">
        <f t="shared" si="1"/>
        <v>24</v>
      </c>
      <c r="Q32" s="16">
        <f t="shared" si="6"/>
        <v>27.853846153846156</v>
      </c>
      <c r="T32" s="15">
        <v>24</v>
      </c>
      <c r="U32" s="11">
        <f>INDEX('[6]input data'!$F$1:$F$1108,U81,1)</f>
        <v>23</v>
      </c>
      <c r="V32" s="11">
        <f>INDEX('[6]input data'!$F$1:$F$1108,V81,1)</f>
        <v>23.7</v>
      </c>
      <c r="W32" s="11">
        <f>INDEX('[6]input data'!$F$1:$F$1108,W81,1)</f>
        <v>23.8</v>
      </c>
      <c r="X32" s="11">
        <f>INDEX('[6]input data'!$F$1:$F$1108,X81,1)</f>
        <v>24.3</v>
      </c>
      <c r="Y32" s="11">
        <f>INDEX('[6]input data'!$F$1:$F$1108,Y81,1)</f>
        <v>24.2</v>
      </c>
      <c r="Z32" s="11">
        <f>INDEX('[6]input data'!$F$1:$F$1108,Z81,1)</f>
        <v>24.4</v>
      </c>
      <c r="AA32" s="11">
        <f>INDEX('[6]input data'!$F$1:$F$1108,AA81,1)</f>
        <v>24.5</v>
      </c>
      <c r="AB32" s="11">
        <f>INDEX('[6]input data'!$F$1:$F$1108,AB81,1)</f>
        <v>24.2</v>
      </c>
      <c r="AC32" s="11">
        <f>INDEX('[6]input data'!$F$1:$F$1108,AC81,1)</f>
        <v>24.2</v>
      </c>
      <c r="AD32" s="11">
        <f>INDEX('[6]input data'!$F$1:$F$1108,AD81,1)</f>
        <v>23.8</v>
      </c>
      <c r="AE32" s="11">
        <f>INDEX('[6]input data'!$F$1:$F$1108,AE81,1)</f>
        <v>24</v>
      </c>
      <c r="AF32" s="11">
        <f>INDEX('[6]input data'!$F$1:$F$1108,AF81,1)</f>
        <v>23.8</v>
      </c>
      <c r="AG32" s="11">
        <f>INDEX('[6]input data'!$F$1:$F$1108,AG81,1)</f>
        <v>23.6</v>
      </c>
      <c r="AH32" s="12">
        <f t="shared" si="2"/>
        <v>24.5</v>
      </c>
      <c r="AI32" s="13">
        <f t="shared" si="3"/>
        <v>23</v>
      </c>
      <c r="AJ32" s="16">
        <f t="shared" si="7"/>
        <v>23.961538461538467</v>
      </c>
      <c r="AM32" s="15">
        <v>24</v>
      </c>
      <c r="AN32" s="11">
        <f>INDEX('[6]input data'!$G$1:$G$1108,AO81,1)</f>
        <v>22.426257580226199</v>
      </c>
      <c r="AO32" s="11">
        <f>INDEX('[6]input data'!$G$1:$G$1108,AP81,1)</f>
        <v>22.676636327438867</v>
      </c>
      <c r="AP32" s="11">
        <f>INDEX('[6]input data'!$G$1:$G$1108,AQ81,1)</f>
        <v>22.160100545770419</v>
      </c>
      <c r="AQ32" s="11">
        <f>INDEX('[6]input data'!$G$1:$G$1108,AR81,1)</f>
        <v>22.126377822990293</v>
      </c>
      <c r="AR32" s="11">
        <f>INDEX('[6]input data'!$G$1:$G$1108,AS81,1)</f>
        <v>21.668699112332721</v>
      </c>
      <c r="AS32" s="11">
        <f>INDEX('[6]input data'!$G$1:$G$1108,AT81,1)</f>
        <v>21.84659101508656</v>
      </c>
      <c r="AT32" s="11">
        <f>INDEX('[6]input data'!$G$1:$G$1108,AU81,1)</f>
        <v>22.058377213189214</v>
      </c>
      <c r="AU32" s="11">
        <f>INDEX('[6]input data'!$G$1:$G$1108,AV81,1)</f>
        <v>21.568635253270578</v>
      </c>
      <c r="AV32" s="11">
        <f>INDEX('[6]input data'!$G$1:$G$1108,AW81,1)</f>
        <v>21.867237103039482</v>
      </c>
      <c r="AW32" s="11">
        <f>INDEX('[6]input data'!$G$1:$G$1108,AX81,1)</f>
        <v>21.416446175167959</v>
      </c>
      <c r="AX32" s="11">
        <f>INDEX('[6]input data'!$G$1:$G$1108,AY81,1)</f>
        <v>22.232255136844188</v>
      </c>
      <c r="AY32" s="11">
        <f>INDEX('[6]input data'!$G$1:$G$1108,AZ81,1)</f>
        <v>22.305359709723426</v>
      </c>
      <c r="AZ32" s="11">
        <f>INDEX('[6]input data'!$G$1:$G$1108,BA81,1)</f>
        <v>22.284100970206715</v>
      </c>
      <c r="BA32" s="12">
        <f t="shared" si="4"/>
        <v>22.676636327438867</v>
      </c>
      <c r="BB32" s="13">
        <f t="shared" si="5"/>
        <v>21.416446175167959</v>
      </c>
      <c r="BC32" s="16">
        <f t="shared" si="8"/>
        <v>22.049005689637433</v>
      </c>
    </row>
    <row r="33" spans="1:55" ht="14.25" customHeight="1" x14ac:dyDescent="0.25">
      <c r="A33" s="15">
        <v>25</v>
      </c>
      <c r="B33" s="11">
        <f>'[6]input data'!E870</f>
        <v>24</v>
      </c>
      <c r="C33" s="11">
        <f>'[6]input data'!E871</f>
        <v>25.2</v>
      </c>
      <c r="D33" s="11">
        <f>'[6]input data'!E872</f>
        <v>26.4</v>
      </c>
      <c r="E33" s="11">
        <f>'[6]input data'!E873</f>
        <v>27.8</v>
      </c>
      <c r="F33" s="11">
        <f>'[6]input data'!E874</f>
        <v>29.4</v>
      </c>
      <c r="G33" s="11">
        <f>'[6]input data'!E875</f>
        <v>29.8</v>
      </c>
      <c r="H33" s="11">
        <f>'[6]input data'!E876</f>
        <v>29.8</v>
      </c>
      <c r="I33" s="11">
        <f>'[6]input data'!E877</f>
        <v>29.6</v>
      </c>
      <c r="J33" s="11">
        <f>'[6]input data'!E878</f>
        <v>28.9</v>
      </c>
      <c r="K33" s="11">
        <f>'[6]input data'!E879</f>
        <v>28.6</v>
      </c>
      <c r="L33" s="11">
        <f>'[6]input data'!E880</f>
        <v>27.6</v>
      </c>
      <c r="M33" s="11">
        <f>'[6]input data'!E881</f>
        <v>27.1</v>
      </c>
      <c r="N33" s="11">
        <f>'[6]input data'!E882</f>
        <v>26.2</v>
      </c>
      <c r="O33" s="12">
        <f t="shared" si="0"/>
        <v>29.8</v>
      </c>
      <c r="P33" s="13">
        <f t="shared" si="1"/>
        <v>24</v>
      </c>
      <c r="Q33" s="16">
        <f t="shared" si="6"/>
        <v>27.723076923076924</v>
      </c>
      <c r="T33" s="15">
        <v>25</v>
      </c>
      <c r="U33" s="11">
        <f>INDEX('[6]input data'!$F$1:$F$1108,U82,1)</f>
        <v>22.4</v>
      </c>
      <c r="V33" s="11">
        <f>INDEX('[6]input data'!$F$1:$F$1108,V82,1)</f>
        <v>23.2</v>
      </c>
      <c r="W33" s="11">
        <f>INDEX('[6]input data'!$F$1:$F$1108,W82,1)</f>
        <v>23.6</v>
      </c>
      <c r="X33" s="11">
        <f>INDEX('[6]input data'!$F$1:$F$1108,X82,1)</f>
        <v>24</v>
      </c>
      <c r="Y33" s="11">
        <f>INDEX('[6]input data'!$F$1:$F$1108,Y82,1)</f>
        <v>24.6</v>
      </c>
      <c r="Z33" s="11">
        <f>INDEX('[6]input data'!$F$1:$F$1108,Z82,1)</f>
        <v>24.6</v>
      </c>
      <c r="AA33" s="11">
        <f>INDEX('[6]input data'!$F$1:$F$1108,AA82,1)</f>
        <v>24.9</v>
      </c>
      <c r="AB33" s="11">
        <f>INDEX('[6]input data'!$F$1:$F$1108,AB82,1)</f>
        <v>25.4</v>
      </c>
      <c r="AC33" s="11">
        <f>INDEX('[6]input data'!$F$1:$F$1108,AC82,1)</f>
        <v>25.6</v>
      </c>
      <c r="AD33" s="11">
        <f>INDEX('[6]input data'!$F$1:$F$1108,AD82,1)</f>
        <v>25</v>
      </c>
      <c r="AE33" s="11">
        <f>INDEX('[6]input data'!$F$1:$F$1108,AE82,1)</f>
        <v>24</v>
      </c>
      <c r="AF33" s="11">
        <f>INDEX('[6]input data'!$F$1:$F$1108,AF82,1)</f>
        <v>24</v>
      </c>
      <c r="AG33" s="11">
        <f>INDEX('[6]input data'!$F$1:$F$1108,AG82,1)</f>
        <v>24</v>
      </c>
      <c r="AH33" s="12">
        <f t="shared" si="2"/>
        <v>25.6</v>
      </c>
      <c r="AI33" s="13">
        <f t="shared" si="3"/>
        <v>22.4</v>
      </c>
      <c r="AJ33" s="16">
        <f t="shared" si="7"/>
        <v>24.253846153846151</v>
      </c>
      <c r="AM33" s="15">
        <v>25</v>
      </c>
      <c r="AN33" s="11">
        <f>INDEX('[6]input data'!$G$1:$G$1108,AO82,1)</f>
        <v>21.511181316989337</v>
      </c>
      <c r="AO33" s="11">
        <f>INDEX('[6]input data'!$G$1:$G$1108,AP82,1)</f>
        <v>22.151221893264331</v>
      </c>
      <c r="AP33" s="11">
        <f>INDEX('[6]input data'!$G$1:$G$1108,AQ82,1)</f>
        <v>22.18727787108098</v>
      </c>
      <c r="AQ33" s="11">
        <f>INDEX('[6]input data'!$G$1:$G$1108,AR82,1)</f>
        <v>22.135161586316389</v>
      </c>
      <c r="AR33" s="11">
        <f>INDEX('[6]input data'!$G$1:$G$1108,AS82,1)</f>
        <v>22.316656612844575</v>
      </c>
      <c r="AS33" s="11">
        <f>INDEX('[6]input data'!$G$1:$G$1108,AT82,1)</f>
        <v>22.122834462404985</v>
      </c>
      <c r="AT33" s="11">
        <f>INDEX('[6]input data'!$G$1:$G$1108,AU82,1)</f>
        <v>22.605433638695846</v>
      </c>
      <c r="AU33" s="11">
        <f>INDEX('[6]input data'!$G$1:$G$1108,AV82,1)</f>
        <v>23.485447924589423</v>
      </c>
      <c r="AV33" s="11">
        <f>INDEX('[6]input data'!$G$1:$G$1108,AW82,1)</f>
        <v>24.104211487776798</v>
      </c>
      <c r="AW33" s="11">
        <f>INDEX('[6]input data'!$G$1:$G$1108,AX82,1)</f>
        <v>23.321392650725961</v>
      </c>
      <c r="AX33" s="11">
        <f>INDEX('[6]input data'!$G$1:$G$1108,AY82,1)</f>
        <v>22.232255136844188</v>
      </c>
      <c r="AY33" s="11">
        <f>INDEX('[6]input data'!$G$1:$G$1108,AZ82,1)</f>
        <v>22.472819487579862</v>
      </c>
      <c r="AZ33" s="11">
        <f>INDEX('[6]input data'!$G$1:$G$1108,BA82,1)</f>
        <v>22.898249002326494</v>
      </c>
      <c r="BA33" s="12">
        <f t="shared" si="4"/>
        <v>24.104211487776798</v>
      </c>
      <c r="BB33" s="13">
        <f t="shared" si="5"/>
        <v>21.511181316989337</v>
      </c>
      <c r="BC33" s="16">
        <f t="shared" si="8"/>
        <v>22.580318697803015</v>
      </c>
    </row>
    <row r="34" spans="1:55" ht="14.25" customHeight="1" x14ac:dyDescent="0.25">
      <c r="A34" s="15">
        <v>26</v>
      </c>
      <c r="B34" s="11">
        <f>'[6]input data'!E906</f>
        <v>24</v>
      </c>
      <c r="C34" s="11">
        <f>'[6]input data'!E907</f>
        <v>25.6</v>
      </c>
      <c r="D34" s="11">
        <f>'[6]input data'!E908</f>
        <v>26.8</v>
      </c>
      <c r="E34" s="11">
        <f>'[6]input data'!E909</f>
        <v>28.4</v>
      </c>
      <c r="F34" s="11">
        <f>'[6]input data'!E910</f>
        <v>29.2</v>
      </c>
      <c r="G34" s="11">
        <f>'[6]input data'!E911</f>
        <v>28.2</v>
      </c>
      <c r="H34" s="11">
        <f>'[6]input data'!E912</f>
        <v>29</v>
      </c>
      <c r="I34" s="11">
        <f>'[6]input data'!E913</f>
        <v>27.8</v>
      </c>
      <c r="J34" s="11">
        <f>'[6]input data'!E914</f>
        <v>27</v>
      </c>
      <c r="K34" s="11">
        <f>'[6]input data'!E915</f>
        <v>26</v>
      </c>
      <c r="L34" s="11">
        <f>'[6]input data'!E916</f>
        <v>25.8</v>
      </c>
      <c r="M34" s="11">
        <f>'[6]input data'!E917</f>
        <v>25.4</v>
      </c>
      <c r="N34" s="11">
        <f>'[6]input data'!E918</f>
        <v>24.8</v>
      </c>
      <c r="O34" s="12">
        <f t="shared" si="0"/>
        <v>29.2</v>
      </c>
      <c r="P34" s="13">
        <f t="shared" si="1"/>
        <v>24</v>
      </c>
      <c r="Q34" s="16">
        <f t="shared" si="6"/>
        <v>26.76923076923077</v>
      </c>
      <c r="T34" s="15">
        <v>26</v>
      </c>
      <c r="U34" s="11">
        <f>INDEX('[6]input data'!$F$1:$F$1108,U83,1)</f>
        <v>23</v>
      </c>
      <c r="V34" s="11">
        <f>INDEX('[6]input data'!$F$1:$F$1108,V83,1)</f>
        <v>23.8</v>
      </c>
      <c r="W34" s="11">
        <f>INDEX('[6]input data'!$F$1:$F$1108,W83,1)</f>
        <v>24</v>
      </c>
      <c r="X34" s="11">
        <f>INDEX('[6]input data'!$F$1:$F$1108,X83,1)</f>
        <v>24.5</v>
      </c>
      <c r="Y34" s="11">
        <f>INDEX('[6]input data'!$F$1:$F$1108,Y83,1)</f>
        <v>24.5</v>
      </c>
      <c r="Z34" s="11">
        <f>INDEX('[6]input data'!$F$1:$F$1108,Z83,1)</f>
        <v>24.3</v>
      </c>
      <c r="AA34" s="11">
        <f>INDEX('[6]input data'!$F$1:$F$1108,AA83,1)</f>
        <v>25</v>
      </c>
      <c r="AB34" s="11">
        <f>INDEX('[6]input data'!$F$1:$F$1108,AB83,1)</f>
        <v>24.8</v>
      </c>
      <c r="AC34" s="11">
        <f>INDEX('[6]input data'!$F$1:$F$1108,AC83,1)</f>
        <v>24.4</v>
      </c>
      <c r="AD34" s="11">
        <f>INDEX('[6]input data'!$F$1:$F$1108,AD83,1)</f>
        <v>24.4</v>
      </c>
      <c r="AE34" s="11">
        <f>INDEX('[6]input data'!$F$1:$F$1108,AE83,1)</f>
        <v>24.2</v>
      </c>
      <c r="AF34" s="11">
        <f>INDEX('[6]input data'!$F$1:$F$1108,AF83,1)</f>
        <v>24</v>
      </c>
      <c r="AG34" s="11">
        <f>INDEX('[6]input data'!$F$1:$F$1108,AG83,1)</f>
        <v>23.4</v>
      </c>
      <c r="AH34" s="12">
        <f t="shared" si="2"/>
        <v>25</v>
      </c>
      <c r="AI34" s="13">
        <f t="shared" si="3"/>
        <v>23</v>
      </c>
      <c r="AJ34" s="16">
        <f t="shared" si="7"/>
        <v>24.176923076923078</v>
      </c>
      <c r="AM34" s="15">
        <v>26</v>
      </c>
      <c r="AN34" s="11">
        <f>INDEX('[6]input data'!$G$1:$G$1108,AO83,1)</f>
        <v>22.426257580226199</v>
      </c>
      <c r="AO34" s="11">
        <f>INDEX('[6]input data'!$G$1:$G$1108,AP83,1)</f>
        <v>22.875450234951316</v>
      </c>
      <c r="AP34" s="11">
        <f>INDEX('[6]input data'!$G$1:$G$1108,AQ83,1)</f>
        <v>22.615697420007322</v>
      </c>
      <c r="AQ34" s="11">
        <f>INDEX('[6]input data'!$G$1:$G$1108,AR83,1)</f>
        <v>22.635899802692006</v>
      </c>
      <c r="AR34" s="11">
        <f>INDEX('[6]input data'!$G$1:$G$1108,AS83,1)</f>
        <v>22.25286027093837</v>
      </c>
      <c r="AS34" s="11">
        <f>INDEX('[6]input data'!$G$1:$G$1108,AT83,1)</f>
        <v>22.416307835567977</v>
      </c>
      <c r="AT34" s="11">
        <f>INDEX('[6]input data'!$G$1:$G$1108,AU83,1)</f>
        <v>23.13765699199967</v>
      </c>
      <c r="AU34" s="11">
        <f>INDEX('[6]input data'!$G$1:$G$1108,AV83,1)</f>
        <v>23.379452040413032</v>
      </c>
      <c r="AV34" s="11">
        <f>INDEX('[6]input data'!$G$1:$G$1108,AW83,1)</f>
        <v>23.135934889422426</v>
      </c>
      <c r="AW34" s="11">
        <f>INDEX('[6]input data'!$G$1:$G$1108,AX83,1)</f>
        <v>23.592004375769026</v>
      </c>
      <c r="AX34" s="11">
        <f>INDEX('[6]input data'!$G$1:$G$1108,AY83,1)</f>
        <v>23.384370540910407</v>
      </c>
      <c r="AY34" s="11">
        <f>INDEX('[6]input data'!$G$1:$G$1108,AZ83,1)</f>
        <v>23.268536476619335</v>
      </c>
      <c r="AZ34" s="11">
        <f>INDEX('[6]input data'!$G$1:$G$1108,BA83,1)</f>
        <v>22.647828842860125</v>
      </c>
      <c r="BA34" s="12">
        <f t="shared" si="4"/>
        <v>23.592004375769026</v>
      </c>
      <c r="BB34" s="13">
        <f t="shared" si="5"/>
        <v>22.25286027093837</v>
      </c>
      <c r="BC34" s="16">
        <f t="shared" si="8"/>
        <v>22.905250561721324</v>
      </c>
    </row>
    <row r="35" spans="1:55" ht="14.25" customHeight="1" x14ac:dyDescent="0.25">
      <c r="A35" s="15">
        <v>27</v>
      </c>
      <c r="B35" s="11">
        <f>'[6]input data'!E942</f>
        <v>23.8</v>
      </c>
      <c r="C35" s="11">
        <f>'[6]input data'!E943</f>
        <v>25.3</v>
      </c>
      <c r="D35" s="11">
        <f>'[6]input data'!E944</f>
        <v>26.9</v>
      </c>
      <c r="E35" s="11">
        <f>'[6]input data'!E945</f>
        <v>27.4</v>
      </c>
      <c r="F35" s="11">
        <f>'[6]input data'!E946</f>
        <v>28.2</v>
      </c>
      <c r="G35" s="11">
        <f>'[6]input data'!E947</f>
        <v>28.8</v>
      </c>
      <c r="H35" s="11">
        <f>'[6]input data'!E948</f>
        <v>28</v>
      </c>
      <c r="I35" s="11">
        <f>'[6]input data'!E949</f>
        <v>27.8</v>
      </c>
      <c r="J35" s="11">
        <f>'[6]input data'!E950</f>
        <v>27.8</v>
      </c>
      <c r="K35" s="11">
        <f>'[6]input data'!E951</f>
        <v>27.6</v>
      </c>
      <c r="L35" s="11">
        <f>'[6]input data'!E952</f>
        <v>26.8</v>
      </c>
      <c r="M35" s="11">
        <f>'[6]input data'!E953</f>
        <v>26.4</v>
      </c>
      <c r="N35" s="11">
        <f>'[6]input data'!E954</f>
        <v>26.2</v>
      </c>
      <c r="O35" s="12">
        <f t="shared" si="0"/>
        <v>28.8</v>
      </c>
      <c r="P35" s="13">
        <f t="shared" si="1"/>
        <v>23.8</v>
      </c>
      <c r="Q35" s="16">
        <f t="shared" si="6"/>
        <v>27</v>
      </c>
      <c r="T35" s="15">
        <v>27</v>
      </c>
      <c r="U35" s="11">
        <f>INDEX('[6]input data'!$F$1:$F$1108,U84,1)</f>
        <v>23.2</v>
      </c>
      <c r="V35" s="11">
        <f>INDEX('[6]input data'!$F$1:$F$1108,V84,1)</f>
        <v>24</v>
      </c>
      <c r="W35" s="11">
        <f>INDEX('[6]input data'!$F$1:$F$1108,W84,1)</f>
        <v>24.1</v>
      </c>
      <c r="X35" s="11">
        <f>INDEX('[6]input data'!$F$1:$F$1108,X84,1)</f>
        <v>23.9</v>
      </c>
      <c r="Y35" s="11">
        <f>INDEX('[6]input data'!$F$1:$F$1108,Y84,1)</f>
        <v>24.2</v>
      </c>
      <c r="Z35" s="11">
        <f>INDEX('[6]input data'!$F$1:$F$1108,Z84,1)</f>
        <v>24.5</v>
      </c>
      <c r="AA35" s="11">
        <f>INDEX('[6]input data'!$F$1:$F$1108,AA84,1)</f>
        <v>24</v>
      </c>
      <c r="AB35" s="11">
        <f>INDEX('[6]input data'!$F$1:$F$1108,AB84,1)</f>
        <v>23.7</v>
      </c>
      <c r="AC35" s="11">
        <f>INDEX('[6]input data'!$F$1:$F$1108,AC84,1)</f>
        <v>23.6</v>
      </c>
      <c r="AD35" s="11">
        <f>INDEX('[6]input data'!$F$1:$F$1108,AD84,1)</f>
        <v>23.4</v>
      </c>
      <c r="AE35" s="11">
        <f>INDEX('[6]input data'!$F$1:$F$1108,AE84,1)</f>
        <v>23</v>
      </c>
      <c r="AF35" s="11">
        <f>INDEX('[6]input data'!$F$1:$F$1108,AF84,1)</f>
        <v>22.8</v>
      </c>
      <c r="AG35" s="11">
        <f>INDEX('[6]input data'!$F$1:$F$1108,AG84,1)</f>
        <v>22.8</v>
      </c>
      <c r="AH35" s="12">
        <f t="shared" si="2"/>
        <v>24.5</v>
      </c>
      <c r="AI35" s="13">
        <f t="shared" si="3"/>
        <v>22.8</v>
      </c>
      <c r="AJ35" s="16">
        <f t="shared" si="7"/>
        <v>23.630769230769236</v>
      </c>
      <c r="AM35" s="15">
        <v>27</v>
      </c>
      <c r="AN35" s="11">
        <f>INDEX('[6]input data'!$G$1:$G$1108,AO84,1)</f>
        <v>22.82000049036704</v>
      </c>
      <c r="AO35" s="11">
        <f>INDEX('[6]input data'!$G$1:$G$1108,AP84,1)</f>
        <v>23.314317799816159</v>
      </c>
      <c r="AP35" s="11">
        <f>INDEX('[6]input data'!$G$1:$G$1108,AQ84,1)</f>
        <v>22.722687846713878</v>
      </c>
      <c r="AQ35" s="11">
        <f>INDEX('[6]input data'!$G$1:$G$1108,AR84,1)</f>
        <v>22.171653956910621</v>
      </c>
      <c r="AR35" s="11">
        <f>INDEX('[6]input data'!$G$1:$G$1108,AS84,1)</f>
        <v>22.258119917094085</v>
      </c>
      <c r="AS35" s="11">
        <f>INDEX('[6]input data'!$G$1:$G$1108,AT84,1)</f>
        <v>22.445353361664548</v>
      </c>
      <c r="AT35" s="11">
        <f>INDEX('[6]input data'!$G$1:$G$1108,AU84,1)</f>
        <v>22.037563837182521</v>
      </c>
      <c r="AU35" s="11">
        <f>INDEX('[6]input data'!$G$1:$G$1108,AV84,1)</f>
        <v>21.656344429686591</v>
      </c>
      <c r="AV35" s="11">
        <f>INDEX('[6]input data'!$G$1:$G$1108,AW84,1)</f>
        <v>21.495161498275294</v>
      </c>
      <c r="AW35" s="11">
        <f>INDEX('[6]input data'!$G$1:$G$1108,AX84,1)</f>
        <v>21.272559563855115</v>
      </c>
      <c r="AX35" s="11">
        <f>INDEX('[6]input data'!$G$1:$G$1108,AY84,1)</f>
        <v>21.034052976354666</v>
      </c>
      <c r="AY35" s="11">
        <f>INDEX('[6]input data'!$G$1:$G$1108,AZ84,1)</f>
        <v>20.917179865716676</v>
      </c>
      <c r="AZ35" s="11">
        <f>INDEX('[6]input data'!$G$1:$G$1108,BA84,1)</f>
        <v>21.020779142687349</v>
      </c>
      <c r="BA35" s="12">
        <f t="shared" si="4"/>
        <v>23.314317799816159</v>
      </c>
      <c r="BB35" s="13">
        <f t="shared" si="5"/>
        <v>20.917179865716676</v>
      </c>
      <c r="BC35" s="16">
        <f t="shared" si="8"/>
        <v>21.935828822024966</v>
      </c>
    </row>
    <row r="36" spans="1:55" ht="14.25" customHeight="1" x14ac:dyDescent="0.25">
      <c r="A36" s="15">
        <v>28</v>
      </c>
      <c r="B36" s="11">
        <f>'[6]input data'!E978</f>
        <v>23.2</v>
      </c>
      <c r="C36" s="11">
        <f>'[6]input data'!E979</f>
        <v>25.4</v>
      </c>
      <c r="D36" s="11">
        <f>'[6]input data'!E980</f>
        <v>27</v>
      </c>
      <c r="E36" s="11">
        <f>'[6]input data'!E981</f>
        <v>27.6</v>
      </c>
      <c r="F36" s="11">
        <f>'[6]input data'!E982</f>
        <v>28.6</v>
      </c>
      <c r="G36" s="11">
        <f>'[6]input data'!E983</f>
        <v>28.8</v>
      </c>
      <c r="H36" s="11">
        <f>'[6]input data'!E984</f>
        <v>29.3</v>
      </c>
      <c r="I36" s="11">
        <f>'[6]input data'!E985</f>
        <v>30</v>
      </c>
      <c r="J36" s="11">
        <f>'[6]input data'!E986</f>
        <v>29.2</v>
      </c>
      <c r="K36" s="11">
        <f>'[6]input data'!E987</f>
        <v>28.2</v>
      </c>
      <c r="L36" s="11">
        <f>'[6]input data'!E988</f>
        <v>27.8</v>
      </c>
      <c r="M36" s="11">
        <f>'[6]input data'!E989</f>
        <v>26.3</v>
      </c>
      <c r="N36" s="11">
        <f>'[6]input data'!E990</f>
        <v>25.3</v>
      </c>
      <c r="O36" s="12">
        <f t="shared" si="0"/>
        <v>30</v>
      </c>
      <c r="P36" s="13">
        <f t="shared" si="1"/>
        <v>23.2</v>
      </c>
      <c r="Q36" s="16">
        <f t="shared" si="6"/>
        <v>27.438461538461542</v>
      </c>
      <c r="T36" s="15">
        <v>28</v>
      </c>
      <c r="U36" s="11">
        <f>INDEX('[6]input data'!$F$1:$F$1108,U85,1)</f>
        <v>21.6</v>
      </c>
      <c r="V36" s="11">
        <f>INDEX('[6]input data'!$F$1:$F$1108,V85,1)</f>
        <v>21.9</v>
      </c>
      <c r="W36" s="11">
        <f>INDEX('[6]input data'!$F$1:$F$1108,W85,1)</f>
        <v>22.6</v>
      </c>
      <c r="X36" s="11">
        <f>INDEX('[6]input data'!$F$1:$F$1108,X85,1)</f>
        <v>22.3</v>
      </c>
      <c r="Y36" s="11">
        <f>INDEX('[6]input data'!$F$1:$F$1108,Y85,1)</f>
        <v>23.2</v>
      </c>
      <c r="Z36" s="11">
        <f>INDEX('[6]input data'!$F$1:$F$1108,Z85,1)</f>
        <v>23.5</v>
      </c>
      <c r="AA36" s="11">
        <f>INDEX('[6]input data'!$F$1:$F$1108,AA85,1)</f>
        <v>23.5</v>
      </c>
      <c r="AB36" s="11">
        <f>INDEX('[6]input data'!$F$1:$F$1108,AB85,1)</f>
        <v>23.6</v>
      </c>
      <c r="AC36" s="11">
        <f>INDEX('[6]input data'!$F$1:$F$1108,AC85,1)</f>
        <v>23.1</v>
      </c>
      <c r="AD36" s="11">
        <f>INDEX('[6]input data'!$F$1:$F$1108,AD85,1)</f>
        <v>22.6</v>
      </c>
      <c r="AE36" s="11">
        <f>INDEX('[6]input data'!$F$1:$F$1108,AE85,1)</f>
        <v>23</v>
      </c>
      <c r="AF36" s="11">
        <f>INDEX('[6]input data'!$F$1:$F$1108,AF85,1)</f>
        <v>22.8</v>
      </c>
      <c r="AG36" s="11">
        <f>INDEX('[6]input data'!$F$1:$F$1108,AG85,1)</f>
        <v>22.7</v>
      </c>
      <c r="AH36" s="12">
        <f t="shared" si="2"/>
        <v>23.6</v>
      </c>
      <c r="AI36" s="13">
        <f t="shared" si="3"/>
        <v>21.6</v>
      </c>
      <c r="AJ36" s="16">
        <f t="shared" si="7"/>
        <v>22.799999999999997</v>
      </c>
      <c r="AM36" s="15">
        <v>28</v>
      </c>
      <c r="AN36" s="11">
        <f>INDEX('[6]input data'!$G$1:$G$1108,AO85,1)</f>
        <v>20.675874811421782</v>
      </c>
      <c r="AO36" s="11">
        <f>INDEX('[6]input data'!$G$1:$G$1108,AP85,1)</f>
        <v>19.979277815130907</v>
      </c>
      <c r="AP36" s="11">
        <f>INDEX('[6]input data'!$G$1:$G$1108,AQ85,1)</f>
        <v>20.271748407068376</v>
      </c>
      <c r="AQ36" s="11">
        <f>INDEX('[6]input data'!$G$1:$G$1108,AR85,1)</f>
        <v>19.433660472768377</v>
      </c>
      <c r="AR36" s="11">
        <f>INDEX('[6]input data'!$G$1:$G$1108,AS85,1)</f>
        <v>20.420189969101443</v>
      </c>
      <c r="AS36" s="11">
        <f>INDEX('[6]input data'!$G$1:$G$1108,AT85,1)</f>
        <v>20.818121940520413</v>
      </c>
      <c r="AT36" s="11">
        <f>INDEX('[6]input data'!$G$1:$G$1108,AU85,1)</f>
        <v>20.555151902502885</v>
      </c>
      <c r="AU36" s="11">
        <f>INDEX('[6]input data'!$G$1:$G$1108,AV85,1)</f>
        <v>20.3529113362864</v>
      </c>
      <c r="AV36" s="11">
        <f>INDEX('[6]input data'!$G$1:$G$1108,AW85,1)</f>
        <v>19.925079415693265</v>
      </c>
      <c r="AW36" s="11">
        <f>INDEX('[6]input data'!$G$1:$G$1108,AX85,1)</f>
        <v>19.614827236180819</v>
      </c>
      <c r="AX36" s="11">
        <f>INDEX('[6]input data'!$G$1:$G$1108,AY85,1)</f>
        <v>20.510558597962596</v>
      </c>
      <c r="AY36" s="11">
        <f>INDEX('[6]input data'!$G$1:$G$1108,AZ85,1)</f>
        <v>20.9690515715928</v>
      </c>
      <c r="AZ36" s="11">
        <f>INDEX('[6]input data'!$G$1:$G$1108,BA85,1)</f>
        <v>21.322486397648682</v>
      </c>
      <c r="BA36" s="12">
        <f t="shared" si="4"/>
        <v>21.322486397648682</v>
      </c>
      <c r="BB36" s="13">
        <f t="shared" si="5"/>
        <v>19.433660472768377</v>
      </c>
      <c r="BC36" s="16">
        <f t="shared" si="8"/>
        <v>20.372995374913749</v>
      </c>
    </row>
    <row r="37" spans="1:55" ht="14.25" customHeight="1" x14ac:dyDescent="0.25">
      <c r="A37" s="15">
        <v>29</v>
      </c>
      <c r="B37" s="11">
        <f>'[6]input data'!E1014</f>
        <v>21.9</v>
      </c>
      <c r="C37" s="11">
        <f>'[6]input data'!E1015</f>
        <v>23.8</v>
      </c>
      <c r="D37" s="11">
        <f>'[6]input data'!E1016</f>
        <v>26</v>
      </c>
      <c r="E37" s="11">
        <f>'[6]input data'!E1017</f>
        <v>27</v>
      </c>
      <c r="F37" s="11">
        <f>'[6]input data'!E1018</f>
        <v>28.2</v>
      </c>
      <c r="G37" s="11">
        <f>'[6]input data'!E1019</f>
        <v>29</v>
      </c>
      <c r="H37" s="11">
        <f>'[6]input data'!E1020</f>
        <v>29.2</v>
      </c>
      <c r="I37" s="11">
        <f>'[6]input data'!E1021</f>
        <v>29.6</v>
      </c>
      <c r="J37" s="11">
        <f>'[6]input data'!E1022</f>
        <v>29.6</v>
      </c>
      <c r="K37" s="11">
        <f>'[6]input data'!E1023</f>
        <v>28.3</v>
      </c>
      <c r="L37" s="11">
        <f>'[6]input data'!E1024</f>
        <v>26.7</v>
      </c>
      <c r="M37" s="11">
        <f>'[6]input data'!E1025</f>
        <v>25.4</v>
      </c>
      <c r="N37" s="11">
        <f>'[6]input data'!E1026</f>
        <v>24.2</v>
      </c>
      <c r="O37" s="12">
        <f t="shared" si="0"/>
        <v>29.6</v>
      </c>
      <c r="P37" s="13">
        <f t="shared" si="1"/>
        <v>21.9</v>
      </c>
      <c r="Q37" s="16">
        <f t="shared" si="6"/>
        <v>26.838461538461534</v>
      </c>
      <c r="T37" s="15">
        <v>29</v>
      </c>
      <c r="U37" s="11">
        <f>INDEX('[6]input data'!$F$1:$F$1108,U86,1)</f>
        <v>20.399999999999999</v>
      </c>
      <c r="V37" s="11">
        <f>INDEX('[6]input data'!$F$1:$F$1108,V86,1)</f>
        <v>21.6</v>
      </c>
      <c r="W37" s="11">
        <f>INDEX('[6]input data'!$F$1:$F$1108,W86,1)</f>
        <v>22.4</v>
      </c>
      <c r="X37" s="11">
        <f>INDEX('[6]input data'!$F$1:$F$1108,X86,1)</f>
        <v>21.8</v>
      </c>
      <c r="Y37" s="11">
        <f>INDEX('[6]input data'!$F$1:$F$1108,Y86,1)</f>
        <v>22.8</v>
      </c>
      <c r="Z37" s="11">
        <f>INDEX('[6]input data'!$F$1:$F$1108,Z86,1)</f>
        <v>22.6</v>
      </c>
      <c r="AA37" s="11">
        <f>INDEX('[6]input data'!$F$1:$F$1108,AA86,1)</f>
        <v>22.3</v>
      </c>
      <c r="AB37" s="11">
        <f>INDEX('[6]input data'!$F$1:$F$1108,AB86,1)</f>
        <v>23.2</v>
      </c>
      <c r="AC37" s="11">
        <f>INDEX('[6]input data'!$F$1:$F$1108,AC86,1)</f>
        <v>23.4</v>
      </c>
      <c r="AD37" s="11">
        <f>INDEX('[6]input data'!$F$1:$F$1108,AD86,1)</f>
        <v>23.2</v>
      </c>
      <c r="AE37" s="11">
        <f>INDEX('[6]input data'!$F$1:$F$1108,AE86,1)</f>
        <v>22.6</v>
      </c>
      <c r="AF37" s="11">
        <f>INDEX('[6]input data'!$F$1:$F$1108,AF86,1)</f>
        <v>22.4</v>
      </c>
      <c r="AG37" s="11">
        <f>INDEX('[6]input data'!$F$1:$F$1108,AG86,1)</f>
        <v>22</v>
      </c>
      <c r="AH37" s="12">
        <f t="shared" si="2"/>
        <v>23.4</v>
      </c>
      <c r="AI37" s="13">
        <f t="shared" si="3"/>
        <v>20.399999999999999</v>
      </c>
      <c r="AJ37" s="16">
        <f t="shared" si="7"/>
        <v>22.361538461538462</v>
      </c>
      <c r="AM37" s="15">
        <v>29</v>
      </c>
      <c r="AN37" s="11">
        <f>INDEX('[6]input data'!$G$1:$G$1108,AO86,1)</f>
        <v>19.475623145511683</v>
      </c>
      <c r="AO37" s="11">
        <f>INDEX('[6]input data'!$G$1:$G$1108,AP86,1)</f>
        <v>20.357443401417399</v>
      </c>
      <c r="AP37" s="11">
        <f>INDEX('[6]input data'!$G$1:$G$1108,AQ86,1)</f>
        <v>20.476712998006196</v>
      </c>
      <c r="AQ37" s="11">
        <f>INDEX('[6]input data'!$G$1:$G$1108,AR86,1)</f>
        <v>18.910005539594152</v>
      </c>
      <c r="AR37" s="11">
        <f>INDEX('[6]input data'!$G$1:$G$1108,AS86,1)</f>
        <v>19.957813261397046</v>
      </c>
      <c r="AS37" s="11">
        <f>INDEX('[6]input data'!$G$1:$G$1108,AT86,1)</f>
        <v>19.163493051589338</v>
      </c>
      <c r="AT37" s="11">
        <f>INDEX('[6]input data'!$G$1:$G$1108,AU86,1)</f>
        <v>18.510307781811029</v>
      </c>
      <c r="AU37" s="11">
        <f>INDEX('[6]input data'!$G$1:$G$1108,AV86,1)</f>
        <v>19.878805390793993</v>
      </c>
      <c r="AV37" s="11">
        <f>INDEX('[6]input data'!$G$1:$G$1108,AW86,1)</f>
        <v>20.224288506437016</v>
      </c>
      <c r="AW37" s="11">
        <f>INDEX('[6]input data'!$G$1:$G$1108,AX86,1)</f>
        <v>20.579565665081724</v>
      </c>
      <c r="AX37" s="11">
        <f>INDEX('[6]input data'!$G$1:$G$1108,AY86,1)</f>
        <v>20.432394670872537</v>
      </c>
      <c r="AY37" s="11">
        <f>INDEX('[6]input data'!$G$1:$G$1108,AZ86,1)</f>
        <v>20.793135845008763</v>
      </c>
      <c r="AZ37" s="11">
        <f>INDEX('[6]input data'!$G$1:$G$1108,BA86,1)</f>
        <v>20.782457166703743</v>
      </c>
      <c r="BA37" s="12">
        <f t="shared" si="4"/>
        <v>20.793135845008763</v>
      </c>
      <c r="BB37" s="13">
        <f t="shared" si="5"/>
        <v>18.510307781811029</v>
      </c>
      <c r="BC37" s="16">
        <f t="shared" si="8"/>
        <v>19.964772801863433</v>
      </c>
    </row>
    <row r="38" spans="1:55" ht="14.25" customHeight="1" x14ac:dyDescent="0.25">
      <c r="A38" s="15">
        <v>30</v>
      </c>
      <c r="B38" s="11">
        <f>'[6]input data'!E1050</f>
        <v>22.1</v>
      </c>
      <c r="C38" s="11">
        <f>'[6]input data'!E1051</f>
        <v>24.6</v>
      </c>
      <c r="D38" s="11">
        <f>'[6]input data'!E1052</f>
        <v>26.6</v>
      </c>
      <c r="E38" s="11">
        <f>'[6]input data'!E1053</f>
        <v>27.7</v>
      </c>
      <c r="F38" s="11">
        <f>'[6]input data'!E1054</f>
        <v>27.9</v>
      </c>
      <c r="G38" s="11">
        <f>'[6]input data'!E1055</f>
        <v>29</v>
      </c>
      <c r="H38" s="11">
        <f>'[6]input data'!E1056</f>
        <v>29.6</v>
      </c>
      <c r="I38" s="11">
        <f>'[6]input data'!E1057</f>
        <v>30.4</v>
      </c>
      <c r="J38" s="11">
        <f>'[6]input data'!E1058</f>
        <v>30.2</v>
      </c>
      <c r="K38" s="11">
        <f>'[6]input data'!E1059</f>
        <v>29.2</v>
      </c>
      <c r="L38" s="11">
        <f>'[6]input data'!E1060</f>
        <v>28.4</v>
      </c>
      <c r="M38" s="11">
        <f>'[6]input data'!E1061</f>
        <v>26.8</v>
      </c>
      <c r="N38" s="11">
        <f>'[6]input data'!E1062</f>
        <v>25.2</v>
      </c>
      <c r="O38" s="12">
        <f t="shared" si="0"/>
        <v>30.4</v>
      </c>
      <c r="P38" s="13">
        <f t="shared" si="1"/>
        <v>22.1</v>
      </c>
      <c r="Q38" s="16">
        <f t="shared" si="6"/>
        <v>27.515384615384615</v>
      </c>
      <c r="T38" s="15">
        <v>30</v>
      </c>
      <c r="U38" s="11">
        <f>INDEX('[6]input data'!$F$1:$F$1108,U87,1)</f>
        <v>20.6</v>
      </c>
      <c r="V38" s="11">
        <f>INDEX('[6]input data'!$F$1:$F$1108,V87,1)</f>
        <v>22.5</v>
      </c>
      <c r="W38" s="11">
        <f>INDEX('[6]input data'!$F$1:$F$1108,W87,1)</f>
        <v>23.3</v>
      </c>
      <c r="X38" s="11">
        <f>INDEX('[6]input data'!$F$1:$F$1108,X87,1)</f>
        <v>23.4</v>
      </c>
      <c r="Y38" s="11">
        <f>INDEX('[6]input data'!$F$1:$F$1108,Y87,1)</f>
        <v>23.1</v>
      </c>
      <c r="Z38" s="11">
        <f>INDEX('[6]input data'!$F$1:$F$1108,Z87,1)</f>
        <v>24.3</v>
      </c>
      <c r="AA38" s="11">
        <f>INDEX('[6]input data'!$F$1:$F$1108,AA87,1)</f>
        <v>22.8</v>
      </c>
      <c r="AB38" s="11">
        <f>INDEX('[6]input data'!$F$1:$F$1108,AB87,1)</f>
        <v>23.8</v>
      </c>
      <c r="AC38" s="11">
        <f>INDEX('[6]input data'!$F$1:$F$1108,AC87,1)</f>
        <v>24.2</v>
      </c>
      <c r="AD38" s="11">
        <f>INDEX('[6]input data'!$F$1:$F$1108,AD87,1)</f>
        <v>23.8</v>
      </c>
      <c r="AE38" s="11">
        <f>INDEX('[6]input data'!$F$1:$F$1108,AE87,1)</f>
        <v>23.2</v>
      </c>
      <c r="AF38" s="11">
        <f>INDEX('[6]input data'!$F$1:$F$1108,AF87,1)</f>
        <v>23.4</v>
      </c>
      <c r="AG38" s="11">
        <f>INDEX('[6]input data'!$F$1:$F$1108,AG87,1)</f>
        <v>22.8</v>
      </c>
      <c r="AH38" s="12">
        <f t="shared" si="2"/>
        <v>24.3</v>
      </c>
      <c r="AI38" s="13">
        <f t="shared" si="3"/>
        <v>20.6</v>
      </c>
      <c r="AJ38" s="16">
        <f t="shared" si="7"/>
        <v>23.169230769230772</v>
      </c>
      <c r="AM38" s="15">
        <v>30</v>
      </c>
      <c r="AN38" s="11">
        <f>INDEX('[6]input data'!$G$1:$G$1108,AO87,1)</f>
        <v>19.684708719261479</v>
      </c>
      <c r="AO38" s="11">
        <f>INDEX('[6]input data'!$G$1:$G$1108,AP87,1)</f>
        <v>21.363604163162531</v>
      </c>
      <c r="AP38" s="11">
        <f>INDEX('[6]input data'!$G$1:$G$1108,AQ87,1)</f>
        <v>21.616959657059734</v>
      </c>
      <c r="AQ38" s="11">
        <f>INDEX('[6]input data'!$G$1:$G$1108,AR87,1)</f>
        <v>21.221525162280933</v>
      </c>
      <c r="AR38" s="11">
        <f>INDEX('[6]input data'!$G$1:$G$1108,AS87,1)</f>
        <v>20.624118491254684</v>
      </c>
      <c r="AS38" s="11">
        <f>INDEX('[6]input data'!$G$1:$G$1108,AT87,1)</f>
        <v>22.02873246371059</v>
      </c>
      <c r="AT38" s="11">
        <f>INDEX('[6]input data'!$G$1:$G$1108,AU87,1)</f>
        <v>19.175591777310267</v>
      </c>
      <c r="AU38" s="11">
        <f>INDEX('[6]input data'!$G$1:$G$1108,AV87,1)</f>
        <v>20.483117326690671</v>
      </c>
      <c r="AV38" s="11">
        <f>INDEX('[6]input data'!$G$1:$G$1108,AW87,1)</f>
        <v>21.265190011597987</v>
      </c>
      <c r="AW38" s="11">
        <f>INDEX('[6]input data'!$G$1:$G$1108,AX87,1)</f>
        <v>21.110504772755601</v>
      </c>
      <c r="AX38" s="11">
        <f>INDEX('[6]input data'!$G$1:$G$1108,AY87,1)</f>
        <v>20.526592461483798</v>
      </c>
      <c r="AY38" s="11">
        <f>INDEX('[6]input data'!$G$1:$G$1108,AZ87,1)</f>
        <v>21.675891882100515</v>
      </c>
      <c r="AZ38" s="11">
        <f>INDEX('[6]input data'!$G$1:$G$1108,BA87,1)</f>
        <v>21.530312632790274</v>
      </c>
      <c r="BA38" s="12">
        <f t="shared" si="4"/>
        <v>22.02873246371059</v>
      </c>
      <c r="BB38" s="13">
        <f t="shared" si="5"/>
        <v>19.175591777310267</v>
      </c>
      <c r="BC38" s="16">
        <f t="shared" si="8"/>
        <v>20.946680732419928</v>
      </c>
    </row>
    <row r="39" spans="1:55" ht="14.25" customHeight="1" thickBot="1" x14ac:dyDescent="0.3">
      <c r="A39" s="1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7"/>
      <c r="P39" s="18"/>
      <c r="Q39" s="19"/>
      <c r="T39" s="15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2"/>
      <c r="AI39" s="20"/>
      <c r="AJ39" s="19"/>
      <c r="AM39" s="15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7"/>
      <c r="BB39" s="18"/>
      <c r="BC39" s="19"/>
    </row>
    <row r="40" spans="1:55" ht="14.25" customHeight="1" thickTop="1" x14ac:dyDescent="0.25">
      <c r="A40" s="21" t="s">
        <v>25</v>
      </c>
      <c r="B40" s="22">
        <f t="shared" ref="B40:Q40" si="9">MAX(B9:B39)</f>
        <v>25.1</v>
      </c>
      <c r="C40" s="22">
        <f t="shared" si="9"/>
        <v>27</v>
      </c>
      <c r="D40" s="22">
        <f t="shared" si="9"/>
        <v>28.5</v>
      </c>
      <c r="E40" s="22">
        <f t="shared" si="9"/>
        <v>29.8</v>
      </c>
      <c r="F40" s="22">
        <f t="shared" si="9"/>
        <v>30.6</v>
      </c>
      <c r="G40" s="22">
        <f t="shared" si="9"/>
        <v>31.8</v>
      </c>
      <c r="H40" s="22">
        <f t="shared" si="9"/>
        <v>32</v>
      </c>
      <c r="I40" s="22">
        <f t="shared" si="9"/>
        <v>31.6</v>
      </c>
      <c r="J40" s="22">
        <f t="shared" si="9"/>
        <v>31</v>
      </c>
      <c r="K40" s="22">
        <f t="shared" si="9"/>
        <v>30.6</v>
      </c>
      <c r="L40" s="22">
        <f t="shared" si="9"/>
        <v>29</v>
      </c>
      <c r="M40" s="22">
        <f t="shared" si="9"/>
        <v>27.6</v>
      </c>
      <c r="N40" s="22">
        <f t="shared" si="9"/>
        <v>27.4</v>
      </c>
      <c r="O40" s="12">
        <f t="shared" si="9"/>
        <v>32</v>
      </c>
      <c r="P40" s="23">
        <f t="shared" si="9"/>
        <v>25.1</v>
      </c>
      <c r="Q40" s="24">
        <f t="shared" si="9"/>
        <v>28.761538461538461</v>
      </c>
      <c r="T40" s="21" t="s">
        <v>25</v>
      </c>
      <c r="U40" s="22">
        <f t="shared" ref="U40:AJ40" si="10">MAX(U9:U39)</f>
        <v>24.2</v>
      </c>
      <c r="V40" s="22">
        <f t="shared" si="10"/>
        <v>24.6</v>
      </c>
      <c r="W40" s="22">
        <f t="shared" si="10"/>
        <v>25</v>
      </c>
      <c r="X40" s="22">
        <f t="shared" si="10"/>
        <v>25.2</v>
      </c>
      <c r="Y40" s="22">
        <f t="shared" si="10"/>
        <v>25.7</v>
      </c>
      <c r="Z40" s="22">
        <f t="shared" si="10"/>
        <v>26</v>
      </c>
      <c r="AA40" s="22">
        <f t="shared" si="10"/>
        <v>26</v>
      </c>
      <c r="AB40" s="22">
        <f t="shared" si="10"/>
        <v>26.4</v>
      </c>
      <c r="AC40" s="22">
        <f t="shared" si="10"/>
        <v>26.3</v>
      </c>
      <c r="AD40" s="22">
        <f t="shared" si="10"/>
        <v>26.2</v>
      </c>
      <c r="AE40" s="22">
        <f t="shared" si="10"/>
        <v>26.3</v>
      </c>
      <c r="AF40" s="22">
        <f t="shared" si="10"/>
        <v>25.6</v>
      </c>
      <c r="AG40" s="22">
        <f t="shared" si="10"/>
        <v>25.6</v>
      </c>
      <c r="AH40" s="25">
        <f t="shared" si="10"/>
        <v>26.4</v>
      </c>
      <c r="AI40" s="23">
        <f t="shared" si="10"/>
        <v>24</v>
      </c>
      <c r="AJ40" s="24">
        <f t="shared" si="10"/>
        <v>25.199999999999996</v>
      </c>
      <c r="AM40" s="21" t="s">
        <v>25</v>
      </c>
      <c r="AN40" s="22">
        <f t="shared" ref="AN40:BC40" si="11">MAX(AN9:AN39)</f>
        <v>23.834579423059534</v>
      </c>
      <c r="AO40" s="22">
        <f t="shared" si="11"/>
        <v>23.815999648741762</v>
      </c>
      <c r="AP40" s="22">
        <f t="shared" si="11"/>
        <v>23.829794165744062</v>
      </c>
      <c r="AQ40" s="22">
        <f t="shared" si="11"/>
        <v>24.051033335618328</v>
      </c>
      <c r="AR40" s="22">
        <f t="shared" si="11"/>
        <v>24.471718851012717</v>
      </c>
      <c r="AS40" s="22">
        <f t="shared" si="11"/>
        <v>24.577750330162949</v>
      </c>
      <c r="AT40" s="22">
        <f t="shared" si="11"/>
        <v>24.231346865433</v>
      </c>
      <c r="AU40" s="22">
        <f t="shared" si="11"/>
        <v>24.921074218465066</v>
      </c>
      <c r="AV40" s="22">
        <f t="shared" si="11"/>
        <v>25.231854951335155</v>
      </c>
      <c r="AW40" s="22">
        <f t="shared" si="11"/>
        <v>25.126693789475187</v>
      </c>
      <c r="AX40" s="22">
        <f t="shared" si="11"/>
        <v>25.107343636585934</v>
      </c>
      <c r="AY40" s="22">
        <f t="shared" si="11"/>
        <v>25.004046888190331</v>
      </c>
      <c r="AZ40" s="22">
        <f t="shared" si="11"/>
        <v>24.835872856569932</v>
      </c>
      <c r="BA40" s="12">
        <f t="shared" si="11"/>
        <v>25.231854951335155</v>
      </c>
      <c r="BB40" s="23">
        <f t="shared" si="11"/>
        <v>22.664358131383011</v>
      </c>
      <c r="BC40" s="24">
        <f t="shared" si="11"/>
        <v>23.791447686249789</v>
      </c>
    </row>
    <row r="41" spans="1:55" ht="14.25" customHeight="1" x14ac:dyDescent="0.25">
      <c r="A41" s="15" t="s">
        <v>26</v>
      </c>
      <c r="B41" s="26">
        <f t="shared" ref="B41:Q41" si="12">MIN(B9:B39)</f>
        <v>21.9</v>
      </c>
      <c r="C41" s="26">
        <f t="shared" si="12"/>
        <v>23.8</v>
      </c>
      <c r="D41" s="26">
        <f t="shared" si="12"/>
        <v>26</v>
      </c>
      <c r="E41" s="26">
        <f t="shared" si="12"/>
        <v>26.3</v>
      </c>
      <c r="F41" s="26">
        <f t="shared" si="12"/>
        <v>27</v>
      </c>
      <c r="G41" s="26">
        <f t="shared" si="12"/>
        <v>26.2</v>
      </c>
      <c r="H41" s="26">
        <f t="shared" si="12"/>
        <v>22.6</v>
      </c>
      <c r="I41" s="26">
        <f t="shared" si="12"/>
        <v>23.3</v>
      </c>
      <c r="J41" s="26">
        <f t="shared" si="12"/>
        <v>23.2</v>
      </c>
      <c r="K41" s="26">
        <f t="shared" si="12"/>
        <v>23.1</v>
      </c>
      <c r="L41" s="26">
        <f t="shared" si="12"/>
        <v>23.1</v>
      </c>
      <c r="M41" s="26">
        <f t="shared" si="12"/>
        <v>23.1</v>
      </c>
      <c r="N41" s="26">
        <f t="shared" si="12"/>
        <v>23.1</v>
      </c>
      <c r="O41" s="27">
        <f t="shared" si="12"/>
        <v>28.5</v>
      </c>
      <c r="P41" s="26">
        <f t="shared" si="12"/>
        <v>21.9</v>
      </c>
      <c r="Q41" s="28">
        <f t="shared" si="12"/>
        <v>24.961538461538467</v>
      </c>
      <c r="T41" s="15" t="s">
        <v>26</v>
      </c>
      <c r="U41" s="26">
        <f t="shared" ref="U41:AJ41" si="13">MIN(U9:U39)</f>
        <v>20.399999999999999</v>
      </c>
      <c r="V41" s="26">
        <f t="shared" si="13"/>
        <v>21.6</v>
      </c>
      <c r="W41" s="26">
        <f t="shared" si="13"/>
        <v>22.4</v>
      </c>
      <c r="X41" s="26">
        <f t="shared" si="13"/>
        <v>21.8</v>
      </c>
      <c r="Y41" s="26">
        <f t="shared" si="13"/>
        <v>22.8</v>
      </c>
      <c r="Z41" s="26">
        <f t="shared" si="13"/>
        <v>22.6</v>
      </c>
      <c r="AA41" s="26">
        <f t="shared" si="13"/>
        <v>22.3</v>
      </c>
      <c r="AB41" s="26">
        <f t="shared" si="13"/>
        <v>22.6</v>
      </c>
      <c r="AC41" s="26">
        <f t="shared" si="13"/>
        <v>23</v>
      </c>
      <c r="AD41" s="26">
        <f t="shared" si="13"/>
        <v>22.6</v>
      </c>
      <c r="AE41" s="26">
        <f t="shared" si="13"/>
        <v>22.6</v>
      </c>
      <c r="AF41" s="26">
        <f t="shared" si="13"/>
        <v>22.4</v>
      </c>
      <c r="AG41" s="26">
        <f t="shared" si="13"/>
        <v>22</v>
      </c>
      <c r="AH41" s="27">
        <f t="shared" si="13"/>
        <v>23.4</v>
      </c>
      <c r="AI41" s="26">
        <f t="shared" si="13"/>
        <v>20.399999999999999</v>
      </c>
      <c r="AJ41" s="28">
        <f t="shared" si="13"/>
        <v>22.361538461538462</v>
      </c>
      <c r="AM41" s="15" t="s">
        <v>26</v>
      </c>
      <c r="AN41" s="26">
        <f t="shared" ref="AN41:BC41" si="14">MIN(AN9:AN39)</f>
        <v>19.475623145511683</v>
      </c>
      <c r="AO41" s="26">
        <f t="shared" si="14"/>
        <v>19.979277815130907</v>
      </c>
      <c r="AP41" s="26">
        <f t="shared" si="14"/>
        <v>20.271748407068376</v>
      </c>
      <c r="AQ41" s="26">
        <f t="shared" si="14"/>
        <v>18.910005539594152</v>
      </c>
      <c r="AR41" s="26">
        <f t="shared" si="14"/>
        <v>19.957813261397046</v>
      </c>
      <c r="AS41" s="26">
        <f t="shared" si="14"/>
        <v>19.163493051589338</v>
      </c>
      <c r="AT41" s="26">
        <f t="shared" si="14"/>
        <v>18.510307781811029</v>
      </c>
      <c r="AU41" s="26">
        <f t="shared" si="14"/>
        <v>19.878805390793993</v>
      </c>
      <c r="AV41" s="26">
        <f t="shared" si="14"/>
        <v>19.925079415693265</v>
      </c>
      <c r="AW41" s="26">
        <f t="shared" si="14"/>
        <v>19.614827236180819</v>
      </c>
      <c r="AX41" s="26">
        <f t="shared" si="14"/>
        <v>20.432394670872537</v>
      </c>
      <c r="AY41" s="26">
        <f t="shared" si="14"/>
        <v>20.793135845008763</v>
      </c>
      <c r="AZ41" s="26">
        <f t="shared" si="14"/>
        <v>20.782457166703743</v>
      </c>
      <c r="BA41" s="27">
        <f t="shared" si="14"/>
        <v>20.793135845008763</v>
      </c>
      <c r="BB41" s="26">
        <f t="shared" si="14"/>
        <v>18.510307781811029</v>
      </c>
      <c r="BC41" s="28">
        <f t="shared" si="14"/>
        <v>19.964772801863433</v>
      </c>
    </row>
    <row r="42" spans="1:55" ht="14.25" customHeight="1" thickBot="1" x14ac:dyDescent="0.3">
      <c r="A42" s="29" t="s">
        <v>27</v>
      </c>
      <c r="B42" s="18">
        <f t="shared" ref="B42:Q42" si="15">AVERAGE(B9:B39)</f>
        <v>23.883333333333329</v>
      </c>
      <c r="C42" s="18">
        <f t="shared" si="15"/>
        <v>25.593333333333337</v>
      </c>
      <c r="D42" s="18">
        <f t="shared" si="15"/>
        <v>27.089999999999996</v>
      </c>
      <c r="E42" s="18">
        <f t="shared" si="15"/>
        <v>28.333333333333336</v>
      </c>
      <c r="F42" s="18">
        <f t="shared" si="15"/>
        <v>29.106666666666669</v>
      </c>
      <c r="G42" s="18">
        <f t="shared" si="15"/>
        <v>29.530000000000005</v>
      </c>
      <c r="H42" s="18">
        <f t="shared" si="15"/>
        <v>29.68333333333333</v>
      </c>
      <c r="I42" s="18">
        <f t="shared" si="15"/>
        <v>29.426666666666666</v>
      </c>
      <c r="J42" s="18">
        <f t="shared" si="15"/>
        <v>28.543333333333333</v>
      </c>
      <c r="K42" s="18">
        <f t="shared" si="15"/>
        <v>27.556666666666668</v>
      </c>
      <c r="L42" s="18">
        <f t="shared" si="15"/>
        <v>26.776666666666664</v>
      </c>
      <c r="M42" s="18">
        <f t="shared" si="15"/>
        <v>25.969999999999992</v>
      </c>
      <c r="N42" s="18">
        <f t="shared" si="15"/>
        <v>25.413333333333341</v>
      </c>
      <c r="O42" s="17">
        <f t="shared" si="15"/>
        <v>30.166666666666668</v>
      </c>
      <c r="P42" s="18">
        <f t="shared" si="15"/>
        <v>23.716666666666665</v>
      </c>
      <c r="Q42" s="19">
        <f t="shared" si="15"/>
        <v>27.454358974358968</v>
      </c>
      <c r="T42" s="29" t="s">
        <v>27</v>
      </c>
      <c r="U42" s="18">
        <f t="shared" ref="U42:AJ42" si="16">AVERAGE(U9:U39)</f>
        <v>22.856666666666669</v>
      </c>
      <c r="V42" s="18">
        <f t="shared" si="16"/>
        <v>23.65</v>
      </c>
      <c r="W42" s="18">
        <f t="shared" si="16"/>
        <v>24.166666666666668</v>
      </c>
      <c r="X42" s="18">
        <f t="shared" si="16"/>
        <v>24.409999999999993</v>
      </c>
      <c r="Y42" s="18">
        <f t="shared" si="16"/>
        <v>24.663333333333341</v>
      </c>
      <c r="Z42" s="18">
        <f t="shared" si="16"/>
        <v>24.84</v>
      </c>
      <c r="AA42" s="18">
        <f t="shared" si="16"/>
        <v>24.779999999999994</v>
      </c>
      <c r="AB42" s="18">
        <f t="shared" si="16"/>
        <v>24.893333333333334</v>
      </c>
      <c r="AC42" s="18">
        <f t="shared" si="16"/>
        <v>24.786666666666669</v>
      </c>
      <c r="AD42" s="18">
        <f t="shared" si="16"/>
        <v>24.353333333333335</v>
      </c>
      <c r="AE42" s="18">
        <f t="shared" si="16"/>
        <v>24.223333333333336</v>
      </c>
      <c r="AF42" s="18">
        <f t="shared" si="16"/>
        <v>24.036666666666658</v>
      </c>
      <c r="AG42" s="18">
        <f t="shared" si="16"/>
        <v>23.849999999999998</v>
      </c>
      <c r="AH42" s="17">
        <f t="shared" si="16"/>
        <v>25.413333333333338</v>
      </c>
      <c r="AI42" s="18">
        <f t="shared" si="16"/>
        <v>22.713333333333331</v>
      </c>
      <c r="AJ42" s="19">
        <f t="shared" si="16"/>
        <v>24.270000000000003</v>
      </c>
      <c r="AM42" s="29" t="s">
        <v>27</v>
      </c>
      <c r="AN42" s="18">
        <f t="shared" ref="AN42:BC42" si="17">AVERAGE(AN9:AN39)</f>
        <v>22.260341369574991</v>
      </c>
      <c r="AO42" s="18">
        <f t="shared" si="17"/>
        <v>22.64242866519329</v>
      </c>
      <c r="AP42" s="18">
        <f t="shared" si="17"/>
        <v>22.728566805249798</v>
      </c>
      <c r="AQ42" s="18">
        <f t="shared" si="17"/>
        <v>22.510164994426404</v>
      </c>
      <c r="AR42" s="18">
        <f t="shared" si="17"/>
        <v>22.54659552001133</v>
      </c>
      <c r="AS42" s="18">
        <f t="shared" si="17"/>
        <v>22.6248980574703</v>
      </c>
      <c r="AT42" s="18">
        <f t="shared" si="17"/>
        <v>22.451000142825183</v>
      </c>
      <c r="AU42" s="18">
        <f t="shared" si="17"/>
        <v>22.751762154681323</v>
      </c>
      <c r="AV42" s="18">
        <f t="shared" si="17"/>
        <v>22.988359838703722</v>
      </c>
      <c r="AW42" s="18">
        <f t="shared" si="17"/>
        <v>22.786552248078277</v>
      </c>
      <c r="AX42" s="18">
        <f t="shared" si="17"/>
        <v>22.956327553785552</v>
      </c>
      <c r="AY42" s="18">
        <f t="shared" si="17"/>
        <v>23.052509045337946</v>
      </c>
      <c r="AZ42" s="18">
        <f t="shared" si="17"/>
        <v>23.030737274578087</v>
      </c>
      <c r="BA42" s="17">
        <f t="shared" si="17"/>
        <v>23.861031134214837</v>
      </c>
      <c r="BB42" s="18">
        <f t="shared" si="17"/>
        <v>21.632489773287432</v>
      </c>
      <c r="BC42" s="19">
        <f t="shared" si="17"/>
        <v>22.717711051532021</v>
      </c>
    </row>
    <row r="43" spans="1:55" ht="13.8" thickTop="1" x14ac:dyDescent="0.25">
      <c r="T43" s="1"/>
      <c r="AM43" s="1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5" x14ac:dyDescent="0.25">
      <c r="C44" s="1" t="str">
        <f>[6]QFF!C42</f>
        <v>Mengetahui,</v>
      </c>
      <c r="T44" s="1"/>
      <c r="V44" s="1" t="str">
        <f>C44</f>
        <v>Mengetahui,</v>
      </c>
      <c r="AM44" s="1"/>
      <c r="AO44" s="1" t="str">
        <f>V44</f>
        <v>Mengetahui,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5" x14ac:dyDescent="0.25">
      <c r="C45" s="1" t="str">
        <f>[6]QFF!C43</f>
        <v>Kepala Stasiun Klimatologi Kelas IV</v>
      </c>
      <c r="N45" s="1" t="str">
        <f>[6]QFF!N43</f>
        <v>Pengolah</v>
      </c>
      <c r="T45" s="1"/>
      <c r="V45" s="1" t="str">
        <f>C45</f>
        <v>Kepala Stasiun Klimatologi Kelas IV</v>
      </c>
      <c r="AG45" s="1" t="str">
        <f>N45</f>
        <v>Pengolah</v>
      </c>
      <c r="AM45" s="1"/>
      <c r="AO45" s="1" t="str">
        <f>V45</f>
        <v>Kepala Stasiun Klimatologi Kelas IV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1" t="str">
        <f>AG45</f>
        <v>Pengolah</v>
      </c>
      <c r="BA45" s="2"/>
    </row>
    <row r="46" spans="1:55" x14ac:dyDescent="0.25">
      <c r="C46" s="1" t="str">
        <f>[6]QFF!C44</f>
        <v>Sleman Yogyakarta</v>
      </c>
      <c r="N46" s="1"/>
      <c r="T46" s="1"/>
      <c r="V46" s="1" t="str">
        <f>C46</f>
        <v>Sleman Yogyakarta</v>
      </c>
      <c r="AG46" s="1"/>
      <c r="AM46" s="1"/>
      <c r="AO46" s="1" t="str">
        <f>V46</f>
        <v>Sleman Yogyakarta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BA46" s="2"/>
    </row>
    <row r="47" spans="1:55" x14ac:dyDescent="0.25">
      <c r="C47" s="1"/>
      <c r="N47" s="1"/>
      <c r="T47" s="1"/>
      <c r="V47" s="1"/>
      <c r="AG47" s="1"/>
      <c r="AM47" s="1"/>
      <c r="AP47" s="2"/>
      <c r="AQ47" s="2"/>
      <c r="AR47" s="2"/>
      <c r="AS47" s="2"/>
      <c r="AT47" s="2"/>
      <c r="AU47" s="2"/>
      <c r="AV47" s="2"/>
      <c r="AW47" s="2"/>
      <c r="AX47" s="2"/>
      <c r="AY47" s="2"/>
      <c r="BA47" s="2"/>
    </row>
    <row r="48" spans="1:55" x14ac:dyDescent="0.25">
      <c r="C48" s="1"/>
      <c r="N48" s="1"/>
      <c r="T48" s="1"/>
      <c r="V48" s="1"/>
      <c r="AG48" s="1"/>
      <c r="AM48" s="1"/>
      <c r="AP48" s="2"/>
      <c r="AQ48" s="2"/>
      <c r="AR48" s="2"/>
      <c r="AS48" s="2"/>
      <c r="AT48" s="2"/>
      <c r="AU48" s="2"/>
      <c r="AV48" s="2"/>
      <c r="AW48" s="2"/>
      <c r="AX48" s="2"/>
      <c r="AY48" s="2"/>
      <c r="BA48" s="2"/>
    </row>
    <row r="49" spans="3:53" x14ac:dyDescent="0.25">
      <c r="C49" s="1"/>
      <c r="N49" s="1"/>
      <c r="T49" s="1"/>
      <c r="V49" s="1"/>
      <c r="AG49" s="1"/>
      <c r="AM49" s="1"/>
      <c r="AP49" s="2"/>
      <c r="AQ49" s="2"/>
      <c r="AR49" s="2"/>
      <c r="AS49" s="2"/>
      <c r="AT49" s="2"/>
      <c r="AU49" s="2"/>
      <c r="AV49" s="2"/>
      <c r="AW49" s="2"/>
      <c r="AX49" s="2"/>
      <c r="AY49" s="2"/>
      <c r="BA49" s="2"/>
    </row>
    <row r="50" spans="3:53" x14ac:dyDescent="0.25">
      <c r="C50" s="1"/>
      <c r="N50" s="1"/>
      <c r="T50" s="1"/>
      <c r="V50" s="1"/>
      <c r="AG50" s="1"/>
      <c r="AM50" s="1"/>
      <c r="AP50" s="2"/>
      <c r="AQ50" s="2"/>
      <c r="AR50" s="2"/>
      <c r="AS50" s="2"/>
      <c r="AT50" s="2"/>
      <c r="AU50" s="2"/>
      <c r="AV50" s="2"/>
      <c r="AW50" s="2"/>
      <c r="AX50" s="2"/>
      <c r="AY50" s="2"/>
      <c r="BA50" s="2"/>
    </row>
    <row r="51" spans="3:53" x14ac:dyDescent="0.25">
      <c r="C51" s="30" t="str">
        <f>[6]QFF!C49</f>
        <v>RENI KRANINGTYAS, SP, M.Si</v>
      </c>
      <c r="N51" s="30" t="str">
        <f>[6]QFF!N49</f>
        <v xml:space="preserve">TIM PEMBUAT LAPORAN </v>
      </c>
      <c r="T51" s="1"/>
      <c r="V51" s="30" t="str">
        <f>C51</f>
        <v>RENI KRANINGTYAS, SP, M.Si</v>
      </c>
      <c r="AG51" s="30" t="str">
        <f>N51</f>
        <v xml:space="preserve">TIM PEMBUAT LAPORAN </v>
      </c>
      <c r="AM51" s="1"/>
      <c r="AO51" s="30" t="str">
        <f>V51</f>
        <v>RENI KRANINGTYAS, SP, M.Si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30" t="str">
        <f>AG51</f>
        <v xml:space="preserve">TIM PEMBUAT LAPORAN </v>
      </c>
      <c r="BA51" s="2"/>
    </row>
    <row r="52" spans="3:53" x14ac:dyDescent="0.25">
      <c r="C52" s="1" t="str">
        <f>[6]QFF!C50</f>
        <v>NIP.  19740203 199703 2 001</v>
      </c>
      <c r="N52" s="1" t="str">
        <f>[6]QFF!N50</f>
        <v xml:space="preserve">PETUGAS OPERASIONAL </v>
      </c>
      <c r="T52" s="1"/>
      <c r="V52" s="1" t="str">
        <f>C52</f>
        <v>NIP.  19740203 199703 2 001</v>
      </c>
      <c r="AG52" s="1" t="str">
        <f>N52</f>
        <v xml:space="preserve">PETUGAS OPERASIONAL </v>
      </c>
      <c r="AM52" s="1"/>
      <c r="AO52" s="1" t="str">
        <f>V52</f>
        <v>NIP.  19740203 199703 2 001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1" t="str">
        <f>AG52</f>
        <v xml:space="preserve">PETUGAS OPERASIONAL </v>
      </c>
      <c r="BA52" s="2"/>
    </row>
    <row r="53" spans="3:53" x14ac:dyDescent="0.25">
      <c r="T53" s="1"/>
      <c r="AM53" s="1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6" spans="3:53" x14ac:dyDescent="0.25"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N56" s="31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</row>
    <row r="57" spans="3:53" x14ac:dyDescent="0.25">
      <c r="T57" s="31"/>
      <c r="U57" s="32">
        <v>0</v>
      </c>
      <c r="V57" s="32">
        <v>1</v>
      </c>
      <c r="W57" s="32">
        <v>2</v>
      </c>
      <c r="X57" s="32">
        <v>3</v>
      </c>
      <c r="Y57" s="32">
        <v>4</v>
      </c>
      <c r="Z57" s="32">
        <v>5</v>
      </c>
      <c r="AA57" s="32">
        <v>6</v>
      </c>
      <c r="AB57" s="32">
        <v>7</v>
      </c>
      <c r="AC57" s="32">
        <v>8</v>
      </c>
      <c r="AD57" s="32">
        <v>9</v>
      </c>
      <c r="AE57" s="32">
        <v>10</v>
      </c>
      <c r="AF57" s="32">
        <v>11</v>
      </c>
      <c r="AG57" s="32">
        <v>12</v>
      </c>
      <c r="AH57" s="31"/>
      <c r="AN57" s="31"/>
      <c r="AO57" s="32">
        <v>0</v>
      </c>
      <c r="AP57" s="32">
        <v>1</v>
      </c>
      <c r="AQ57" s="32">
        <v>2</v>
      </c>
      <c r="AR57" s="32">
        <v>3</v>
      </c>
      <c r="AS57" s="32">
        <v>4</v>
      </c>
      <c r="AT57" s="32">
        <v>5</v>
      </c>
      <c r="AU57" s="32">
        <v>6</v>
      </c>
      <c r="AV57" s="32">
        <v>7</v>
      </c>
      <c r="AW57" s="32">
        <v>8</v>
      </c>
      <c r="AX57" s="32">
        <v>9</v>
      </c>
      <c r="AY57" s="32">
        <v>10</v>
      </c>
      <c r="AZ57" s="32">
        <v>11</v>
      </c>
      <c r="BA57" s="32">
        <v>12</v>
      </c>
    </row>
    <row r="58" spans="3:53" x14ac:dyDescent="0.25">
      <c r="T58" s="31"/>
      <c r="U58" s="32">
        <v>6</v>
      </c>
      <c r="V58" s="32">
        <v>7</v>
      </c>
      <c r="W58" s="32">
        <v>8</v>
      </c>
      <c r="X58" s="32">
        <v>9</v>
      </c>
      <c r="Y58" s="32">
        <v>10</v>
      </c>
      <c r="Z58" s="32">
        <v>11</v>
      </c>
      <c r="AA58" s="32">
        <v>12</v>
      </c>
      <c r="AB58" s="32">
        <v>13</v>
      </c>
      <c r="AC58" s="32">
        <v>14</v>
      </c>
      <c r="AD58" s="32">
        <v>15</v>
      </c>
      <c r="AE58" s="32">
        <v>16</v>
      </c>
      <c r="AF58" s="32">
        <v>17</v>
      </c>
      <c r="AG58" s="32">
        <v>18</v>
      </c>
      <c r="AH58" s="31"/>
      <c r="AN58" s="31"/>
      <c r="AO58" s="32">
        <v>6</v>
      </c>
      <c r="AP58" s="32">
        <v>7</v>
      </c>
      <c r="AQ58" s="32">
        <v>8</v>
      </c>
      <c r="AR58" s="32">
        <v>9</v>
      </c>
      <c r="AS58" s="32">
        <v>10</v>
      </c>
      <c r="AT58" s="32">
        <v>11</v>
      </c>
      <c r="AU58" s="32">
        <v>12</v>
      </c>
      <c r="AV58" s="32">
        <v>13</v>
      </c>
      <c r="AW58" s="32">
        <v>14</v>
      </c>
      <c r="AX58" s="32">
        <v>15</v>
      </c>
      <c r="AY58" s="32">
        <v>16</v>
      </c>
      <c r="AZ58" s="32">
        <v>17</v>
      </c>
      <c r="BA58" s="32">
        <v>18</v>
      </c>
    </row>
    <row r="59" spans="3:53" x14ac:dyDescent="0.25">
      <c r="T59" s="31"/>
      <c r="U59" s="32">
        <v>42</v>
      </c>
      <c r="V59" s="32">
        <v>43</v>
      </c>
      <c r="W59" s="32">
        <v>44</v>
      </c>
      <c r="X59" s="32">
        <v>45</v>
      </c>
      <c r="Y59" s="32">
        <v>46</v>
      </c>
      <c r="Z59" s="32">
        <v>47</v>
      </c>
      <c r="AA59" s="32">
        <v>48</v>
      </c>
      <c r="AB59" s="32">
        <v>49</v>
      </c>
      <c r="AC59" s="32">
        <v>50</v>
      </c>
      <c r="AD59" s="32">
        <v>51</v>
      </c>
      <c r="AE59" s="32">
        <v>52</v>
      </c>
      <c r="AF59" s="32">
        <v>53</v>
      </c>
      <c r="AG59" s="32">
        <v>54</v>
      </c>
      <c r="AH59" s="31"/>
      <c r="AN59" s="31"/>
      <c r="AO59" s="32">
        <v>42</v>
      </c>
      <c r="AP59" s="32">
        <v>43</v>
      </c>
      <c r="AQ59" s="32">
        <v>44</v>
      </c>
      <c r="AR59" s="32">
        <v>45</v>
      </c>
      <c r="AS59" s="32">
        <v>46</v>
      </c>
      <c r="AT59" s="32">
        <v>47</v>
      </c>
      <c r="AU59" s="32">
        <v>48</v>
      </c>
      <c r="AV59" s="32">
        <v>49</v>
      </c>
      <c r="AW59" s="32">
        <v>50</v>
      </c>
      <c r="AX59" s="32">
        <v>51</v>
      </c>
      <c r="AY59" s="32">
        <v>52</v>
      </c>
      <c r="AZ59" s="32">
        <v>53</v>
      </c>
      <c r="BA59" s="32">
        <v>54</v>
      </c>
    </row>
    <row r="60" spans="3:53" x14ac:dyDescent="0.25">
      <c r="T60" s="31"/>
      <c r="U60" s="32">
        <f>U59+36</f>
        <v>78</v>
      </c>
      <c r="V60" s="32">
        <f t="shared" ref="V60:AG75" si="18">V59+36</f>
        <v>79</v>
      </c>
      <c r="W60" s="32">
        <f t="shared" si="18"/>
        <v>80</v>
      </c>
      <c r="X60" s="32">
        <f t="shared" si="18"/>
        <v>81</v>
      </c>
      <c r="Y60" s="32">
        <f t="shared" si="18"/>
        <v>82</v>
      </c>
      <c r="Z60" s="32">
        <f t="shared" si="18"/>
        <v>83</v>
      </c>
      <c r="AA60" s="32">
        <f t="shared" si="18"/>
        <v>84</v>
      </c>
      <c r="AB60" s="32">
        <f t="shared" si="18"/>
        <v>85</v>
      </c>
      <c r="AC60" s="32">
        <f t="shared" si="18"/>
        <v>86</v>
      </c>
      <c r="AD60" s="32">
        <f t="shared" si="18"/>
        <v>87</v>
      </c>
      <c r="AE60" s="32">
        <f t="shared" si="18"/>
        <v>88</v>
      </c>
      <c r="AF60" s="32">
        <f t="shared" si="18"/>
        <v>89</v>
      </c>
      <c r="AG60" s="32">
        <f t="shared" si="18"/>
        <v>90</v>
      </c>
      <c r="AH60" s="31"/>
      <c r="AN60" s="31"/>
      <c r="AO60" s="32">
        <f>AO59+36</f>
        <v>78</v>
      </c>
      <c r="AP60" s="32">
        <f t="shared" ref="AP60:BA75" si="19">AP59+36</f>
        <v>79</v>
      </c>
      <c r="AQ60" s="32">
        <f t="shared" si="19"/>
        <v>80</v>
      </c>
      <c r="AR60" s="32">
        <f t="shared" si="19"/>
        <v>81</v>
      </c>
      <c r="AS60" s="32">
        <f t="shared" si="19"/>
        <v>82</v>
      </c>
      <c r="AT60" s="32">
        <f t="shared" si="19"/>
        <v>83</v>
      </c>
      <c r="AU60" s="32">
        <f t="shared" si="19"/>
        <v>84</v>
      </c>
      <c r="AV60" s="32">
        <f t="shared" si="19"/>
        <v>85</v>
      </c>
      <c r="AW60" s="32">
        <f t="shared" si="19"/>
        <v>86</v>
      </c>
      <c r="AX60" s="32">
        <f t="shared" si="19"/>
        <v>87</v>
      </c>
      <c r="AY60" s="32">
        <f t="shared" si="19"/>
        <v>88</v>
      </c>
      <c r="AZ60" s="32">
        <f t="shared" si="19"/>
        <v>89</v>
      </c>
      <c r="BA60" s="32">
        <f t="shared" si="19"/>
        <v>90</v>
      </c>
    </row>
    <row r="61" spans="3:53" x14ac:dyDescent="0.25">
      <c r="T61" s="31"/>
      <c r="U61" s="32">
        <f t="shared" ref="U61:AG76" si="20">U60+36</f>
        <v>114</v>
      </c>
      <c r="V61" s="32">
        <f t="shared" si="18"/>
        <v>115</v>
      </c>
      <c r="W61" s="32">
        <f t="shared" si="18"/>
        <v>116</v>
      </c>
      <c r="X61" s="32">
        <f t="shared" si="18"/>
        <v>117</v>
      </c>
      <c r="Y61" s="32">
        <f t="shared" si="18"/>
        <v>118</v>
      </c>
      <c r="Z61" s="32">
        <f t="shared" si="18"/>
        <v>119</v>
      </c>
      <c r="AA61" s="32">
        <f t="shared" si="18"/>
        <v>120</v>
      </c>
      <c r="AB61" s="32">
        <f t="shared" si="18"/>
        <v>121</v>
      </c>
      <c r="AC61" s="32">
        <f t="shared" si="18"/>
        <v>122</v>
      </c>
      <c r="AD61" s="32">
        <f t="shared" si="18"/>
        <v>123</v>
      </c>
      <c r="AE61" s="32">
        <f t="shared" si="18"/>
        <v>124</v>
      </c>
      <c r="AF61" s="32">
        <f t="shared" si="18"/>
        <v>125</v>
      </c>
      <c r="AG61" s="32">
        <f t="shared" si="18"/>
        <v>126</v>
      </c>
      <c r="AH61" s="31"/>
      <c r="AN61" s="31"/>
      <c r="AO61" s="32">
        <f t="shared" ref="AO61:BA76" si="21">AO60+36</f>
        <v>114</v>
      </c>
      <c r="AP61" s="32">
        <f t="shared" si="19"/>
        <v>115</v>
      </c>
      <c r="AQ61" s="32">
        <f t="shared" si="19"/>
        <v>116</v>
      </c>
      <c r="AR61" s="32">
        <f t="shared" si="19"/>
        <v>117</v>
      </c>
      <c r="AS61" s="32">
        <f t="shared" si="19"/>
        <v>118</v>
      </c>
      <c r="AT61" s="32">
        <f t="shared" si="19"/>
        <v>119</v>
      </c>
      <c r="AU61" s="32">
        <f t="shared" si="19"/>
        <v>120</v>
      </c>
      <c r="AV61" s="32">
        <f t="shared" si="19"/>
        <v>121</v>
      </c>
      <c r="AW61" s="32">
        <f t="shared" si="19"/>
        <v>122</v>
      </c>
      <c r="AX61" s="32">
        <f t="shared" si="19"/>
        <v>123</v>
      </c>
      <c r="AY61" s="32">
        <f t="shared" si="19"/>
        <v>124</v>
      </c>
      <c r="AZ61" s="32">
        <f t="shared" si="19"/>
        <v>125</v>
      </c>
      <c r="BA61" s="32">
        <f t="shared" si="19"/>
        <v>126</v>
      </c>
    </row>
    <row r="62" spans="3:53" x14ac:dyDescent="0.25">
      <c r="T62" s="31"/>
      <c r="U62" s="32">
        <f t="shared" si="20"/>
        <v>150</v>
      </c>
      <c r="V62" s="32">
        <f t="shared" si="18"/>
        <v>151</v>
      </c>
      <c r="W62" s="32">
        <f t="shared" si="18"/>
        <v>152</v>
      </c>
      <c r="X62" s="32">
        <f t="shared" si="18"/>
        <v>153</v>
      </c>
      <c r="Y62" s="32">
        <f t="shared" si="18"/>
        <v>154</v>
      </c>
      <c r="Z62" s="32">
        <f t="shared" si="18"/>
        <v>155</v>
      </c>
      <c r="AA62" s="32">
        <f t="shared" si="18"/>
        <v>156</v>
      </c>
      <c r="AB62" s="32">
        <f t="shared" si="18"/>
        <v>157</v>
      </c>
      <c r="AC62" s="32">
        <f t="shared" si="18"/>
        <v>158</v>
      </c>
      <c r="AD62" s="32">
        <f t="shared" si="18"/>
        <v>159</v>
      </c>
      <c r="AE62" s="32">
        <f t="shared" si="18"/>
        <v>160</v>
      </c>
      <c r="AF62" s="32">
        <f t="shared" si="18"/>
        <v>161</v>
      </c>
      <c r="AG62" s="32">
        <f t="shared" si="18"/>
        <v>162</v>
      </c>
      <c r="AH62" s="31"/>
      <c r="AN62" s="31"/>
      <c r="AO62" s="32">
        <f t="shared" si="21"/>
        <v>150</v>
      </c>
      <c r="AP62" s="32">
        <f t="shared" si="19"/>
        <v>151</v>
      </c>
      <c r="AQ62" s="32">
        <f t="shared" si="19"/>
        <v>152</v>
      </c>
      <c r="AR62" s="32">
        <f t="shared" si="19"/>
        <v>153</v>
      </c>
      <c r="AS62" s="32">
        <f t="shared" si="19"/>
        <v>154</v>
      </c>
      <c r="AT62" s="32">
        <f t="shared" si="19"/>
        <v>155</v>
      </c>
      <c r="AU62" s="32">
        <f t="shared" si="19"/>
        <v>156</v>
      </c>
      <c r="AV62" s="32">
        <f t="shared" si="19"/>
        <v>157</v>
      </c>
      <c r="AW62" s="32">
        <f t="shared" si="19"/>
        <v>158</v>
      </c>
      <c r="AX62" s="32">
        <f t="shared" si="19"/>
        <v>159</v>
      </c>
      <c r="AY62" s="32">
        <f t="shared" si="19"/>
        <v>160</v>
      </c>
      <c r="AZ62" s="32">
        <f t="shared" si="19"/>
        <v>161</v>
      </c>
      <c r="BA62" s="32">
        <f t="shared" si="19"/>
        <v>162</v>
      </c>
    </row>
    <row r="63" spans="3:53" x14ac:dyDescent="0.25">
      <c r="T63" s="31"/>
      <c r="U63" s="32">
        <f t="shared" si="20"/>
        <v>186</v>
      </c>
      <c r="V63" s="32">
        <f t="shared" si="18"/>
        <v>187</v>
      </c>
      <c r="W63" s="32">
        <f t="shared" si="18"/>
        <v>188</v>
      </c>
      <c r="X63" s="32">
        <f t="shared" si="18"/>
        <v>189</v>
      </c>
      <c r="Y63" s="32">
        <f t="shared" si="18"/>
        <v>190</v>
      </c>
      <c r="Z63" s="32">
        <f t="shared" si="18"/>
        <v>191</v>
      </c>
      <c r="AA63" s="32">
        <f t="shared" si="18"/>
        <v>192</v>
      </c>
      <c r="AB63" s="32">
        <f t="shared" si="18"/>
        <v>193</v>
      </c>
      <c r="AC63" s="32">
        <f t="shared" si="18"/>
        <v>194</v>
      </c>
      <c r="AD63" s="32">
        <f t="shared" si="18"/>
        <v>195</v>
      </c>
      <c r="AE63" s="32">
        <f t="shared" si="18"/>
        <v>196</v>
      </c>
      <c r="AF63" s="32">
        <f t="shared" si="18"/>
        <v>197</v>
      </c>
      <c r="AG63" s="32">
        <f t="shared" si="18"/>
        <v>198</v>
      </c>
      <c r="AH63" s="31"/>
      <c r="AN63" s="31"/>
      <c r="AO63" s="32">
        <f t="shared" si="21"/>
        <v>186</v>
      </c>
      <c r="AP63" s="32">
        <f t="shared" si="19"/>
        <v>187</v>
      </c>
      <c r="AQ63" s="32">
        <f t="shared" si="19"/>
        <v>188</v>
      </c>
      <c r="AR63" s="32">
        <f t="shared" si="19"/>
        <v>189</v>
      </c>
      <c r="AS63" s="32">
        <f t="shared" si="19"/>
        <v>190</v>
      </c>
      <c r="AT63" s="32">
        <f t="shared" si="19"/>
        <v>191</v>
      </c>
      <c r="AU63" s="32">
        <f t="shared" si="19"/>
        <v>192</v>
      </c>
      <c r="AV63" s="32">
        <f t="shared" si="19"/>
        <v>193</v>
      </c>
      <c r="AW63" s="32">
        <f t="shared" si="19"/>
        <v>194</v>
      </c>
      <c r="AX63" s="32">
        <f t="shared" si="19"/>
        <v>195</v>
      </c>
      <c r="AY63" s="32">
        <f t="shared" si="19"/>
        <v>196</v>
      </c>
      <c r="AZ63" s="32">
        <f t="shared" si="19"/>
        <v>197</v>
      </c>
      <c r="BA63" s="32">
        <f t="shared" si="19"/>
        <v>198</v>
      </c>
    </row>
    <row r="64" spans="3:53" x14ac:dyDescent="0.25">
      <c r="T64" s="31"/>
      <c r="U64" s="32">
        <f t="shared" si="20"/>
        <v>222</v>
      </c>
      <c r="V64" s="32">
        <f t="shared" si="18"/>
        <v>223</v>
      </c>
      <c r="W64" s="32">
        <f t="shared" si="18"/>
        <v>224</v>
      </c>
      <c r="X64" s="32">
        <f t="shared" si="18"/>
        <v>225</v>
      </c>
      <c r="Y64" s="32">
        <f t="shared" si="18"/>
        <v>226</v>
      </c>
      <c r="Z64" s="32">
        <f t="shared" si="18"/>
        <v>227</v>
      </c>
      <c r="AA64" s="32">
        <f t="shared" si="18"/>
        <v>228</v>
      </c>
      <c r="AB64" s="32">
        <f t="shared" si="18"/>
        <v>229</v>
      </c>
      <c r="AC64" s="32">
        <f t="shared" si="18"/>
        <v>230</v>
      </c>
      <c r="AD64" s="32">
        <f t="shared" si="18"/>
        <v>231</v>
      </c>
      <c r="AE64" s="32">
        <f t="shared" si="18"/>
        <v>232</v>
      </c>
      <c r="AF64" s="32">
        <f t="shared" si="18"/>
        <v>233</v>
      </c>
      <c r="AG64" s="32">
        <f t="shared" si="18"/>
        <v>234</v>
      </c>
      <c r="AH64" s="31"/>
      <c r="AN64" s="31"/>
      <c r="AO64" s="32">
        <f t="shared" si="21"/>
        <v>222</v>
      </c>
      <c r="AP64" s="32">
        <f t="shared" si="19"/>
        <v>223</v>
      </c>
      <c r="AQ64" s="32">
        <f t="shared" si="19"/>
        <v>224</v>
      </c>
      <c r="AR64" s="32">
        <f t="shared" si="19"/>
        <v>225</v>
      </c>
      <c r="AS64" s="32">
        <f t="shared" si="19"/>
        <v>226</v>
      </c>
      <c r="AT64" s="32">
        <f t="shared" si="19"/>
        <v>227</v>
      </c>
      <c r="AU64" s="32">
        <f t="shared" si="19"/>
        <v>228</v>
      </c>
      <c r="AV64" s="32">
        <f t="shared" si="19"/>
        <v>229</v>
      </c>
      <c r="AW64" s="32">
        <f t="shared" si="19"/>
        <v>230</v>
      </c>
      <c r="AX64" s="32">
        <f t="shared" si="19"/>
        <v>231</v>
      </c>
      <c r="AY64" s="32">
        <f t="shared" si="19"/>
        <v>232</v>
      </c>
      <c r="AZ64" s="32">
        <f t="shared" si="19"/>
        <v>233</v>
      </c>
      <c r="BA64" s="32">
        <f t="shared" si="19"/>
        <v>234</v>
      </c>
    </row>
    <row r="65" spans="20:53" x14ac:dyDescent="0.25">
      <c r="T65" s="31"/>
      <c r="U65" s="32">
        <f t="shared" si="20"/>
        <v>258</v>
      </c>
      <c r="V65" s="32">
        <f t="shared" si="18"/>
        <v>259</v>
      </c>
      <c r="W65" s="32">
        <f t="shared" si="18"/>
        <v>260</v>
      </c>
      <c r="X65" s="32">
        <f t="shared" si="18"/>
        <v>261</v>
      </c>
      <c r="Y65" s="32">
        <f t="shared" si="18"/>
        <v>262</v>
      </c>
      <c r="Z65" s="32">
        <f t="shared" si="18"/>
        <v>263</v>
      </c>
      <c r="AA65" s="32">
        <f t="shared" si="18"/>
        <v>264</v>
      </c>
      <c r="AB65" s="32">
        <f t="shared" si="18"/>
        <v>265</v>
      </c>
      <c r="AC65" s="32">
        <f t="shared" si="18"/>
        <v>266</v>
      </c>
      <c r="AD65" s="32">
        <f t="shared" si="18"/>
        <v>267</v>
      </c>
      <c r="AE65" s="32">
        <f t="shared" si="18"/>
        <v>268</v>
      </c>
      <c r="AF65" s="32">
        <f t="shared" si="18"/>
        <v>269</v>
      </c>
      <c r="AG65" s="32">
        <f t="shared" si="18"/>
        <v>270</v>
      </c>
      <c r="AH65" s="31"/>
      <c r="AN65" s="31"/>
      <c r="AO65" s="32">
        <f t="shared" si="21"/>
        <v>258</v>
      </c>
      <c r="AP65" s="32">
        <f t="shared" si="19"/>
        <v>259</v>
      </c>
      <c r="AQ65" s="32">
        <f t="shared" si="19"/>
        <v>260</v>
      </c>
      <c r="AR65" s="32">
        <f t="shared" si="19"/>
        <v>261</v>
      </c>
      <c r="AS65" s="32">
        <f t="shared" si="19"/>
        <v>262</v>
      </c>
      <c r="AT65" s="32">
        <f t="shared" si="19"/>
        <v>263</v>
      </c>
      <c r="AU65" s="32">
        <f t="shared" si="19"/>
        <v>264</v>
      </c>
      <c r="AV65" s="32">
        <f t="shared" si="19"/>
        <v>265</v>
      </c>
      <c r="AW65" s="32">
        <f t="shared" si="19"/>
        <v>266</v>
      </c>
      <c r="AX65" s="32">
        <f t="shared" si="19"/>
        <v>267</v>
      </c>
      <c r="AY65" s="32">
        <f t="shared" si="19"/>
        <v>268</v>
      </c>
      <c r="AZ65" s="32">
        <f t="shared" si="19"/>
        <v>269</v>
      </c>
      <c r="BA65" s="32">
        <f t="shared" si="19"/>
        <v>270</v>
      </c>
    </row>
    <row r="66" spans="20:53" x14ac:dyDescent="0.25">
      <c r="T66" s="31"/>
      <c r="U66" s="32">
        <f t="shared" si="20"/>
        <v>294</v>
      </c>
      <c r="V66" s="32">
        <f t="shared" si="18"/>
        <v>295</v>
      </c>
      <c r="W66" s="32">
        <f t="shared" si="18"/>
        <v>296</v>
      </c>
      <c r="X66" s="32">
        <f t="shared" si="18"/>
        <v>297</v>
      </c>
      <c r="Y66" s="32">
        <f t="shared" si="18"/>
        <v>298</v>
      </c>
      <c r="Z66" s="32">
        <f t="shared" si="18"/>
        <v>299</v>
      </c>
      <c r="AA66" s="32">
        <f t="shared" si="18"/>
        <v>300</v>
      </c>
      <c r="AB66" s="32">
        <f t="shared" si="18"/>
        <v>301</v>
      </c>
      <c r="AC66" s="32">
        <f t="shared" si="18"/>
        <v>302</v>
      </c>
      <c r="AD66" s="32">
        <f t="shared" si="18"/>
        <v>303</v>
      </c>
      <c r="AE66" s="32">
        <f t="shared" si="18"/>
        <v>304</v>
      </c>
      <c r="AF66" s="32">
        <f t="shared" si="18"/>
        <v>305</v>
      </c>
      <c r="AG66" s="32">
        <f t="shared" si="18"/>
        <v>306</v>
      </c>
      <c r="AH66" s="31"/>
      <c r="AN66" s="31"/>
      <c r="AO66" s="32">
        <f t="shared" si="21"/>
        <v>294</v>
      </c>
      <c r="AP66" s="32">
        <f t="shared" si="19"/>
        <v>295</v>
      </c>
      <c r="AQ66" s="32">
        <f t="shared" si="19"/>
        <v>296</v>
      </c>
      <c r="AR66" s="32">
        <f t="shared" si="19"/>
        <v>297</v>
      </c>
      <c r="AS66" s="32">
        <f t="shared" si="19"/>
        <v>298</v>
      </c>
      <c r="AT66" s="32">
        <f t="shared" si="19"/>
        <v>299</v>
      </c>
      <c r="AU66" s="32">
        <f t="shared" si="19"/>
        <v>300</v>
      </c>
      <c r="AV66" s="32">
        <f t="shared" si="19"/>
        <v>301</v>
      </c>
      <c r="AW66" s="32">
        <f t="shared" si="19"/>
        <v>302</v>
      </c>
      <c r="AX66" s="32">
        <f t="shared" si="19"/>
        <v>303</v>
      </c>
      <c r="AY66" s="32">
        <f t="shared" si="19"/>
        <v>304</v>
      </c>
      <c r="AZ66" s="32">
        <f t="shared" si="19"/>
        <v>305</v>
      </c>
      <c r="BA66" s="32">
        <f t="shared" si="19"/>
        <v>306</v>
      </c>
    </row>
    <row r="67" spans="20:53" x14ac:dyDescent="0.25">
      <c r="T67" s="31"/>
      <c r="U67" s="32">
        <f t="shared" si="20"/>
        <v>330</v>
      </c>
      <c r="V67" s="32">
        <f t="shared" si="18"/>
        <v>331</v>
      </c>
      <c r="W67" s="32">
        <f t="shared" si="18"/>
        <v>332</v>
      </c>
      <c r="X67" s="32">
        <f t="shared" si="18"/>
        <v>333</v>
      </c>
      <c r="Y67" s="32">
        <f t="shared" si="18"/>
        <v>334</v>
      </c>
      <c r="Z67" s="32">
        <f t="shared" si="18"/>
        <v>335</v>
      </c>
      <c r="AA67" s="32">
        <f t="shared" si="18"/>
        <v>336</v>
      </c>
      <c r="AB67" s="32">
        <f t="shared" si="18"/>
        <v>337</v>
      </c>
      <c r="AC67" s="32">
        <f t="shared" si="18"/>
        <v>338</v>
      </c>
      <c r="AD67" s="32">
        <f t="shared" si="18"/>
        <v>339</v>
      </c>
      <c r="AE67" s="32">
        <f t="shared" si="18"/>
        <v>340</v>
      </c>
      <c r="AF67" s="32">
        <f t="shared" si="18"/>
        <v>341</v>
      </c>
      <c r="AG67" s="32">
        <f t="shared" si="18"/>
        <v>342</v>
      </c>
      <c r="AH67" s="31"/>
      <c r="AN67" s="31"/>
      <c r="AO67" s="32">
        <f t="shared" si="21"/>
        <v>330</v>
      </c>
      <c r="AP67" s="32">
        <f t="shared" si="19"/>
        <v>331</v>
      </c>
      <c r="AQ67" s="32">
        <f t="shared" si="19"/>
        <v>332</v>
      </c>
      <c r="AR67" s="32">
        <f t="shared" si="19"/>
        <v>333</v>
      </c>
      <c r="AS67" s="32">
        <f t="shared" si="19"/>
        <v>334</v>
      </c>
      <c r="AT67" s="32">
        <f t="shared" si="19"/>
        <v>335</v>
      </c>
      <c r="AU67" s="32">
        <f t="shared" si="19"/>
        <v>336</v>
      </c>
      <c r="AV67" s="32">
        <f t="shared" si="19"/>
        <v>337</v>
      </c>
      <c r="AW67" s="32">
        <f t="shared" si="19"/>
        <v>338</v>
      </c>
      <c r="AX67" s="32">
        <f t="shared" si="19"/>
        <v>339</v>
      </c>
      <c r="AY67" s="32">
        <f t="shared" si="19"/>
        <v>340</v>
      </c>
      <c r="AZ67" s="32">
        <f t="shared" si="19"/>
        <v>341</v>
      </c>
      <c r="BA67" s="32">
        <f t="shared" si="19"/>
        <v>342</v>
      </c>
    </row>
    <row r="68" spans="20:53" x14ac:dyDescent="0.25">
      <c r="T68" s="31"/>
      <c r="U68" s="32">
        <f t="shared" si="20"/>
        <v>366</v>
      </c>
      <c r="V68" s="32">
        <f t="shared" si="18"/>
        <v>367</v>
      </c>
      <c r="W68" s="32">
        <f t="shared" si="18"/>
        <v>368</v>
      </c>
      <c r="X68" s="32">
        <f t="shared" si="18"/>
        <v>369</v>
      </c>
      <c r="Y68" s="32">
        <f t="shared" si="18"/>
        <v>370</v>
      </c>
      <c r="Z68" s="32">
        <f t="shared" si="18"/>
        <v>371</v>
      </c>
      <c r="AA68" s="32">
        <f t="shared" si="18"/>
        <v>372</v>
      </c>
      <c r="AB68" s="32">
        <f t="shared" si="18"/>
        <v>373</v>
      </c>
      <c r="AC68" s="32">
        <f t="shared" si="18"/>
        <v>374</v>
      </c>
      <c r="AD68" s="32">
        <f t="shared" si="18"/>
        <v>375</v>
      </c>
      <c r="AE68" s="32">
        <f t="shared" si="18"/>
        <v>376</v>
      </c>
      <c r="AF68" s="32">
        <f t="shared" si="18"/>
        <v>377</v>
      </c>
      <c r="AG68" s="32">
        <f t="shared" si="18"/>
        <v>378</v>
      </c>
      <c r="AH68" s="31"/>
      <c r="AN68" s="31"/>
      <c r="AO68" s="32">
        <f t="shared" si="21"/>
        <v>366</v>
      </c>
      <c r="AP68" s="32">
        <f t="shared" si="19"/>
        <v>367</v>
      </c>
      <c r="AQ68" s="32">
        <f t="shared" si="19"/>
        <v>368</v>
      </c>
      <c r="AR68" s="32">
        <f t="shared" si="19"/>
        <v>369</v>
      </c>
      <c r="AS68" s="32">
        <f t="shared" si="19"/>
        <v>370</v>
      </c>
      <c r="AT68" s="32">
        <f t="shared" si="19"/>
        <v>371</v>
      </c>
      <c r="AU68" s="32">
        <f t="shared" si="19"/>
        <v>372</v>
      </c>
      <c r="AV68" s="32">
        <f t="shared" si="19"/>
        <v>373</v>
      </c>
      <c r="AW68" s="32">
        <f t="shared" si="19"/>
        <v>374</v>
      </c>
      <c r="AX68" s="32">
        <f t="shared" si="19"/>
        <v>375</v>
      </c>
      <c r="AY68" s="32">
        <f t="shared" si="19"/>
        <v>376</v>
      </c>
      <c r="AZ68" s="32">
        <f t="shared" si="19"/>
        <v>377</v>
      </c>
      <c r="BA68" s="32">
        <f t="shared" si="19"/>
        <v>378</v>
      </c>
    </row>
    <row r="69" spans="20:53" x14ac:dyDescent="0.25">
      <c r="T69" s="31"/>
      <c r="U69" s="32">
        <f t="shared" si="20"/>
        <v>402</v>
      </c>
      <c r="V69" s="32">
        <f t="shared" si="18"/>
        <v>403</v>
      </c>
      <c r="W69" s="32">
        <f t="shared" si="18"/>
        <v>404</v>
      </c>
      <c r="X69" s="32">
        <f t="shared" si="18"/>
        <v>405</v>
      </c>
      <c r="Y69" s="32">
        <f t="shared" si="18"/>
        <v>406</v>
      </c>
      <c r="Z69" s="32">
        <f t="shared" si="18"/>
        <v>407</v>
      </c>
      <c r="AA69" s="32">
        <f t="shared" si="18"/>
        <v>408</v>
      </c>
      <c r="AB69" s="32">
        <f t="shared" si="18"/>
        <v>409</v>
      </c>
      <c r="AC69" s="32">
        <f t="shared" si="18"/>
        <v>410</v>
      </c>
      <c r="AD69" s="32">
        <f t="shared" si="18"/>
        <v>411</v>
      </c>
      <c r="AE69" s="32">
        <f t="shared" si="18"/>
        <v>412</v>
      </c>
      <c r="AF69" s="32">
        <f t="shared" si="18"/>
        <v>413</v>
      </c>
      <c r="AG69" s="32">
        <f t="shared" si="18"/>
        <v>414</v>
      </c>
      <c r="AH69" s="31"/>
      <c r="AN69" s="31"/>
      <c r="AO69" s="32">
        <f t="shared" si="21"/>
        <v>402</v>
      </c>
      <c r="AP69" s="32">
        <f t="shared" si="19"/>
        <v>403</v>
      </c>
      <c r="AQ69" s="32">
        <f t="shared" si="19"/>
        <v>404</v>
      </c>
      <c r="AR69" s="32">
        <f t="shared" si="19"/>
        <v>405</v>
      </c>
      <c r="AS69" s="32">
        <f t="shared" si="19"/>
        <v>406</v>
      </c>
      <c r="AT69" s="32">
        <f t="shared" si="19"/>
        <v>407</v>
      </c>
      <c r="AU69" s="32">
        <f t="shared" si="19"/>
        <v>408</v>
      </c>
      <c r="AV69" s="32">
        <f t="shared" si="19"/>
        <v>409</v>
      </c>
      <c r="AW69" s="32">
        <f t="shared" si="19"/>
        <v>410</v>
      </c>
      <c r="AX69" s="32">
        <f t="shared" si="19"/>
        <v>411</v>
      </c>
      <c r="AY69" s="32">
        <f t="shared" si="19"/>
        <v>412</v>
      </c>
      <c r="AZ69" s="32">
        <f t="shared" si="19"/>
        <v>413</v>
      </c>
      <c r="BA69" s="32">
        <f t="shared" si="19"/>
        <v>414</v>
      </c>
    </row>
    <row r="70" spans="20:53" x14ac:dyDescent="0.25">
      <c r="T70" s="31"/>
      <c r="U70" s="32">
        <f t="shared" si="20"/>
        <v>438</v>
      </c>
      <c r="V70" s="32">
        <f t="shared" si="18"/>
        <v>439</v>
      </c>
      <c r="W70" s="32">
        <f t="shared" si="18"/>
        <v>440</v>
      </c>
      <c r="X70" s="32">
        <f t="shared" si="18"/>
        <v>441</v>
      </c>
      <c r="Y70" s="32">
        <f t="shared" si="18"/>
        <v>442</v>
      </c>
      <c r="Z70" s="32">
        <f t="shared" si="18"/>
        <v>443</v>
      </c>
      <c r="AA70" s="32">
        <f t="shared" si="18"/>
        <v>444</v>
      </c>
      <c r="AB70" s="32">
        <f t="shared" si="18"/>
        <v>445</v>
      </c>
      <c r="AC70" s="32">
        <f t="shared" si="18"/>
        <v>446</v>
      </c>
      <c r="AD70" s="32">
        <f t="shared" si="18"/>
        <v>447</v>
      </c>
      <c r="AE70" s="32">
        <f t="shared" si="18"/>
        <v>448</v>
      </c>
      <c r="AF70" s="32">
        <f t="shared" si="18"/>
        <v>449</v>
      </c>
      <c r="AG70" s="32">
        <f t="shared" si="18"/>
        <v>450</v>
      </c>
      <c r="AH70" s="31"/>
      <c r="AN70" s="31"/>
      <c r="AO70" s="32">
        <f t="shared" si="21"/>
        <v>438</v>
      </c>
      <c r="AP70" s="32">
        <f t="shared" si="19"/>
        <v>439</v>
      </c>
      <c r="AQ70" s="32">
        <f t="shared" si="19"/>
        <v>440</v>
      </c>
      <c r="AR70" s="32">
        <f t="shared" si="19"/>
        <v>441</v>
      </c>
      <c r="AS70" s="32">
        <f t="shared" si="19"/>
        <v>442</v>
      </c>
      <c r="AT70" s="32">
        <f t="shared" si="19"/>
        <v>443</v>
      </c>
      <c r="AU70" s="32">
        <f t="shared" si="19"/>
        <v>444</v>
      </c>
      <c r="AV70" s="32">
        <f t="shared" si="19"/>
        <v>445</v>
      </c>
      <c r="AW70" s="32">
        <f t="shared" si="19"/>
        <v>446</v>
      </c>
      <c r="AX70" s="32">
        <f t="shared" si="19"/>
        <v>447</v>
      </c>
      <c r="AY70" s="32">
        <f t="shared" si="19"/>
        <v>448</v>
      </c>
      <c r="AZ70" s="32">
        <f t="shared" si="19"/>
        <v>449</v>
      </c>
      <c r="BA70" s="32">
        <f t="shared" si="19"/>
        <v>450</v>
      </c>
    </row>
    <row r="71" spans="20:53" x14ac:dyDescent="0.25">
      <c r="T71" s="31"/>
      <c r="U71" s="32">
        <f t="shared" si="20"/>
        <v>474</v>
      </c>
      <c r="V71" s="32">
        <f t="shared" si="18"/>
        <v>475</v>
      </c>
      <c r="W71" s="32">
        <f t="shared" si="18"/>
        <v>476</v>
      </c>
      <c r="X71" s="32">
        <f t="shared" si="18"/>
        <v>477</v>
      </c>
      <c r="Y71" s="32">
        <f t="shared" si="18"/>
        <v>478</v>
      </c>
      <c r="Z71" s="32">
        <f t="shared" si="18"/>
        <v>479</v>
      </c>
      <c r="AA71" s="32">
        <f t="shared" si="18"/>
        <v>480</v>
      </c>
      <c r="AB71" s="32">
        <f t="shared" si="18"/>
        <v>481</v>
      </c>
      <c r="AC71" s="32">
        <f t="shared" si="18"/>
        <v>482</v>
      </c>
      <c r="AD71" s="32">
        <f t="shared" si="18"/>
        <v>483</v>
      </c>
      <c r="AE71" s="32">
        <f t="shared" si="18"/>
        <v>484</v>
      </c>
      <c r="AF71" s="32">
        <f t="shared" si="18"/>
        <v>485</v>
      </c>
      <c r="AG71" s="32">
        <f t="shared" si="18"/>
        <v>486</v>
      </c>
      <c r="AH71" s="31"/>
      <c r="AN71" s="31"/>
      <c r="AO71" s="32">
        <f t="shared" si="21"/>
        <v>474</v>
      </c>
      <c r="AP71" s="32">
        <f t="shared" si="19"/>
        <v>475</v>
      </c>
      <c r="AQ71" s="32">
        <f t="shared" si="19"/>
        <v>476</v>
      </c>
      <c r="AR71" s="32">
        <f t="shared" si="19"/>
        <v>477</v>
      </c>
      <c r="AS71" s="32">
        <f t="shared" si="19"/>
        <v>478</v>
      </c>
      <c r="AT71" s="32">
        <f t="shared" si="19"/>
        <v>479</v>
      </c>
      <c r="AU71" s="32">
        <f t="shared" si="19"/>
        <v>480</v>
      </c>
      <c r="AV71" s="32">
        <f t="shared" si="19"/>
        <v>481</v>
      </c>
      <c r="AW71" s="32">
        <f t="shared" si="19"/>
        <v>482</v>
      </c>
      <c r="AX71" s="32">
        <f t="shared" si="19"/>
        <v>483</v>
      </c>
      <c r="AY71" s="32">
        <f t="shared" si="19"/>
        <v>484</v>
      </c>
      <c r="AZ71" s="32">
        <f t="shared" si="19"/>
        <v>485</v>
      </c>
      <c r="BA71" s="32">
        <f t="shared" si="19"/>
        <v>486</v>
      </c>
    </row>
    <row r="72" spans="20:53" x14ac:dyDescent="0.25">
      <c r="T72" s="31"/>
      <c r="U72" s="32">
        <f t="shared" si="20"/>
        <v>510</v>
      </c>
      <c r="V72" s="32">
        <f t="shared" si="18"/>
        <v>511</v>
      </c>
      <c r="W72" s="32">
        <f t="shared" si="18"/>
        <v>512</v>
      </c>
      <c r="X72" s="32">
        <f t="shared" si="18"/>
        <v>513</v>
      </c>
      <c r="Y72" s="32">
        <f t="shared" si="18"/>
        <v>514</v>
      </c>
      <c r="Z72" s="32">
        <f t="shared" si="18"/>
        <v>515</v>
      </c>
      <c r="AA72" s="32">
        <f t="shared" si="18"/>
        <v>516</v>
      </c>
      <c r="AB72" s="32">
        <f t="shared" si="18"/>
        <v>517</v>
      </c>
      <c r="AC72" s="32">
        <f t="shared" si="18"/>
        <v>518</v>
      </c>
      <c r="AD72" s="32">
        <f t="shared" si="18"/>
        <v>519</v>
      </c>
      <c r="AE72" s="32">
        <f t="shared" si="18"/>
        <v>520</v>
      </c>
      <c r="AF72" s="32">
        <f t="shared" si="18"/>
        <v>521</v>
      </c>
      <c r="AG72" s="32">
        <f t="shared" si="18"/>
        <v>522</v>
      </c>
      <c r="AH72" s="31"/>
      <c r="AN72" s="31"/>
      <c r="AO72" s="32">
        <f t="shared" si="21"/>
        <v>510</v>
      </c>
      <c r="AP72" s="32">
        <f t="shared" si="19"/>
        <v>511</v>
      </c>
      <c r="AQ72" s="32">
        <f t="shared" si="19"/>
        <v>512</v>
      </c>
      <c r="AR72" s="32">
        <f t="shared" si="19"/>
        <v>513</v>
      </c>
      <c r="AS72" s="32">
        <f t="shared" si="19"/>
        <v>514</v>
      </c>
      <c r="AT72" s="32">
        <f t="shared" si="19"/>
        <v>515</v>
      </c>
      <c r="AU72" s="32">
        <f t="shared" si="19"/>
        <v>516</v>
      </c>
      <c r="AV72" s="32">
        <f t="shared" si="19"/>
        <v>517</v>
      </c>
      <c r="AW72" s="32">
        <f t="shared" si="19"/>
        <v>518</v>
      </c>
      <c r="AX72" s="32">
        <f t="shared" si="19"/>
        <v>519</v>
      </c>
      <c r="AY72" s="32">
        <f t="shared" si="19"/>
        <v>520</v>
      </c>
      <c r="AZ72" s="32">
        <f t="shared" si="19"/>
        <v>521</v>
      </c>
      <c r="BA72" s="32">
        <f t="shared" si="19"/>
        <v>522</v>
      </c>
    </row>
    <row r="73" spans="20:53" x14ac:dyDescent="0.25">
      <c r="T73" s="31"/>
      <c r="U73" s="32">
        <f t="shared" si="20"/>
        <v>546</v>
      </c>
      <c r="V73" s="32">
        <f t="shared" si="18"/>
        <v>547</v>
      </c>
      <c r="W73" s="32">
        <f t="shared" si="18"/>
        <v>548</v>
      </c>
      <c r="X73" s="32">
        <f t="shared" si="18"/>
        <v>549</v>
      </c>
      <c r="Y73" s="32">
        <f t="shared" si="18"/>
        <v>550</v>
      </c>
      <c r="Z73" s="32">
        <f t="shared" si="18"/>
        <v>551</v>
      </c>
      <c r="AA73" s="32">
        <f t="shared" si="18"/>
        <v>552</v>
      </c>
      <c r="AB73" s="32">
        <f t="shared" si="18"/>
        <v>553</v>
      </c>
      <c r="AC73" s="32">
        <f t="shared" si="18"/>
        <v>554</v>
      </c>
      <c r="AD73" s="32">
        <f t="shared" si="18"/>
        <v>555</v>
      </c>
      <c r="AE73" s="32">
        <f t="shared" si="18"/>
        <v>556</v>
      </c>
      <c r="AF73" s="32">
        <f t="shared" si="18"/>
        <v>557</v>
      </c>
      <c r="AG73" s="32">
        <f t="shared" si="18"/>
        <v>558</v>
      </c>
      <c r="AH73" s="31"/>
      <c r="AN73" s="31"/>
      <c r="AO73" s="32">
        <f t="shared" si="21"/>
        <v>546</v>
      </c>
      <c r="AP73" s="32">
        <f t="shared" si="19"/>
        <v>547</v>
      </c>
      <c r="AQ73" s="32">
        <f t="shared" si="19"/>
        <v>548</v>
      </c>
      <c r="AR73" s="32">
        <f t="shared" si="19"/>
        <v>549</v>
      </c>
      <c r="AS73" s="32">
        <f t="shared" si="19"/>
        <v>550</v>
      </c>
      <c r="AT73" s="32">
        <f t="shared" si="19"/>
        <v>551</v>
      </c>
      <c r="AU73" s="32">
        <f t="shared" si="19"/>
        <v>552</v>
      </c>
      <c r="AV73" s="32">
        <f t="shared" si="19"/>
        <v>553</v>
      </c>
      <c r="AW73" s="32">
        <f t="shared" si="19"/>
        <v>554</v>
      </c>
      <c r="AX73" s="32">
        <f t="shared" si="19"/>
        <v>555</v>
      </c>
      <c r="AY73" s="32">
        <f t="shared" si="19"/>
        <v>556</v>
      </c>
      <c r="AZ73" s="32">
        <f t="shared" si="19"/>
        <v>557</v>
      </c>
      <c r="BA73" s="32">
        <f t="shared" si="19"/>
        <v>558</v>
      </c>
    </row>
    <row r="74" spans="20:53" x14ac:dyDescent="0.25">
      <c r="T74" s="31"/>
      <c r="U74" s="32">
        <f t="shared" si="20"/>
        <v>582</v>
      </c>
      <c r="V74" s="32">
        <f t="shared" si="18"/>
        <v>583</v>
      </c>
      <c r="W74" s="32">
        <f t="shared" si="18"/>
        <v>584</v>
      </c>
      <c r="X74" s="32">
        <f t="shared" si="18"/>
        <v>585</v>
      </c>
      <c r="Y74" s="32">
        <f t="shared" si="18"/>
        <v>586</v>
      </c>
      <c r="Z74" s="32">
        <f t="shared" si="18"/>
        <v>587</v>
      </c>
      <c r="AA74" s="32">
        <f t="shared" si="18"/>
        <v>588</v>
      </c>
      <c r="AB74" s="32">
        <f t="shared" si="18"/>
        <v>589</v>
      </c>
      <c r="AC74" s="32">
        <f t="shared" si="18"/>
        <v>590</v>
      </c>
      <c r="AD74" s="32">
        <f t="shared" si="18"/>
        <v>591</v>
      </c>
      <c r="AE74" s="32">
        <f t="shared" si="18"/>
        <v>592</v>
      </c>
      <c r="AF74" s="32">
        <f t="shared" si="18"/>
        <v>593</v>
      </c>
      <c r="AG74" s="32">
        <f t="shared" si="18"/>
        <v>594</v>
      </c>
      <c r="AH74" s="31"/>
      <c r="AN74" s="31"/>
      <c r="AO74" s="32">
        <f t="shared" si="21"/>
        <v>582</v>
      </c>
      <c r="AP74" s="32">
        <f t="shared" si="19"/>
        <v>583</v>
      </c>
      <c r="AQ74" s="32">
        <f t="shared" si="19"/>
        <v>584</v>
      </c>
      <c r="AR74" s="32">
        <f t="shared" si="19"/>
        <v>585</v>
      </c>
      <c r="AS74" s="32">
        <f t="shared" si="19"/>
        <v>586</v>
      </c>
      <c r="AT74" s="32">
        <f t="shared" si="19"/>
        <v>587</v>
      </c>
      <c r="AU74" s="32">
        <f t="shared" si="19"/>
        <v>588</v>
      </c>
      <c r="AV74" s="32">
        <f t="shared" si="19"/>
        <v>589</v>
      </c>
      <c r="AW74" s="32">
        <f t="shared" si="19"/>
        <v>590</v>
      </c>
      <c r="AX74" s="32">
        <f t="shared" si="19"/>
        <v>591</v>
      </c>
      <c r="AY74" s="32">
        <f t="shared" si="19"/>
        <v>592</v>
      </c>
      <c r="AZ74" s="32">
        <f t="shared" si="19"/>
        <v>593</v>
      </c>
      <c r="BA74" s="32">
        <f t="shared" si="19"/>
        <v>594</v>
      </c>
    </row>
    <row r="75" spans="20:53" x14ac:dyDescent="0.25">
      <c r="T75" s="31"/>
      <c r="U75" s="32">
        <f t="shared" si="20"/>
        <v>618</v>
      </c>
      <c r="V75" s="32">
        <f t="shared" si="18"/>
        <v>619</v>
      </c>
      <c r="W75" s="32">
        <f t="shared" si="18"/>
        <v>620</v>
      </c>
      <c r="X75" s="32">
        <f t="shared" si="18"/>
        <v>621</v>
      </c>
      <c r="Y75" s="32">
        <f t="shared" si="18"/>
        <v>622</v>
      </c>
      <c r="Z75" s="32">
        <f t="shared" si="18"/>
        <v>623</v>
      </c>
      <c r="AA75" s="32">
        <f t="shared" si="18"/>
        <v>624</v>
      </c>
      <c r="AB75" s="32">
        <f t="shared" si="18"/>
        <v>625</v>
      </c>
      <c r="AC75" s="32">
        <f t="shared" si="18"/>
        <v>626</v>
      </c>
      <c r="AD75" s="32">
        <f t="shared" si="18"/>
        <v>627</v>
      </c>
      <c r="AE75" s="32">
        <f t="shared" si="18"/>
        <v>628</v>
      </c>
      <c r="AF75" s="32">
        <f t="shared" si="18"/>
        <v>629</v>
      </c>
      <c r="AG75" s="32">
        <f t="shared" si="18"/>
        <v>630</v>
      </c>
      <c r="AH75" s="31"/>
      <c r="AN75" s="31"/>
      <c r="AO75" s="32">
        <f t="shared" si="21"/>
        <v>618</v>
      </c>
      <c r="AP75" s="32">
        <f t="shared" si="19"/>
        <v>619</v>
      </c>
      <c r="AQ75" s="32">
        <f t="shared" si="19"/>
        <v>620</v>
      </c>
      <c r="AR75" s="32">
        <f t="shared" si="19"/>
        <v>621</v>
      </c>
      <c r="AS75" s="32">
        <f t="shared" si="19"/>
        <v>622</v>
      </c>
      <c r="AT75" s="32">
        <f t="shared" si="19"/>
        <v>623</v>
      </c>
      <c r="AU75" s="32">
        <f t="shared" si="19"/>
        <v>624</v>
      </c>
      <c r="AV75" s="32">
        <f t="shared" si="19"/>
        <v>625</v>
      </c>
      <c r="AW75" s="32">
        <f t="shared" si="19"/>
        <v>626</v>
      </c>
      <c r="AX75" s="32">
        <f t="shared" si="19"/>
        <v>627</v>
      </c>
      <c r="AY75" s="32">
        <f t="shared" si="19"/>
        <v>628</v>
      </c>
      <c r="AZ75" s="32">
        <f t="shared" si="19"/>
        <v>629</v>
      </c>
      <c r="BA75" s="32">
        <f t="shared" si="19"/>
        <v>630</v>
      </c>
    </row>
    <row r="76" spans="20:53" x14ac:dyDescent="0.25">
      <c r="T76" s="31"/>
      <c r="U76" s="32">
        <f t="shared" si="20"/>
        <v>654</v>
      </c>
      <c r="V76" s="32">
        <f t="shared" si="20"/>
        <v>655</v>
      </c>
      <c r="W76" s="32">
        <f t="shared" si="20"/>
        <v>656</v>
      </c>
      <c r="X76" s="32">
        <f t="shared" si="20"/>
        <v>657</v>
      </c>
      <c r="Y76" s="32">
        <f t="shared" si="20"/>
        <v>658</v>
      </c>
      <c r="Z76" s="32">
        <f t="shared" si="20"/>
        <v>659</v>
      </c>
      <c r="AA76" s="32">
        <f t="shared" si="20"/>
        <v>660</v>
      </c>
      <c r="AB76" s="32">
        <f t="shared" si="20"/>
        <v>661</v>
      </c>
      <c r="AC76" s="32">
        <f t="shared" si="20"/>
        <v>662</v>
      </c>
      <c r="AD76" s="32">
        <f t="shared" si="20"/>
        <v>663</v>
      </c>
      <c r="AE76" s="32">
        <f t="shared" si="20"/>
        <v>664</v>
      </c>
      <c r="AF76" s="32">
        <f t="shared" si="20"/>
        <v>665</v>
      </c>
      <c r="AG76" s="32">
        <f t="shared" si="20"/>
        <v>666</v>
      </c>
      <c r="AH76" s="31"/>
      <c r="AN76" s="31"/>
      <c r="AO76" s="32">
        <f t="shared" si="21"/>
        <v>654</v>
      </c>
      <c r="AP76" s="32">
        <f t="shared" si="21"/>
        <v>655</v>
      </c>
      <c r="AQ76" s="32">
        <f t="shared" si="21"/>
        <v>656</v>
      </c>
      <c r="AR76" s="32">
        <f t="shared" si="21"/>
        <v>657</v>
      </c>
      <c r="AS76" s="32">
        <f t="shared" si="21"/>
        <v>658</v>
      </c>
      <c r="AT76" s="32">
        <f t="shared" si="21"/>
        <v>659</v>
      </c>
      <c r="AU76" s="32">
        <f t="shared" si="21"/>
        <v>660</v>
      </c>
      <c r="AV76" s="32">
        <f t="shared" si="21"/>
        <v>661</v>
      </c>
      <c r="AW76" s="32">
        <f t="shared" si="21"/>
        <v>662</v>
      </c>
      <c r="AX76" s="32">
        <f t="shared" si="21"/>
        <v>663</v>
      </c>
      <c r="AY76" s="32">
        <f t="shared" si="21"/>
        <v>664</v>
      </c>
      <c r="AZ76" s="32">
        <f t="shared" si="21"/>
        <v>665</v>
      </c>
      <c r="BA76" s="32">
        <f t="shared" si="21"/>
        <v>666</v>
      </c>
    </row>
    <row r="77" spans="20:53" x14ac:dyDescent="0.25">
      <c r="T77" s="31"/>
      <c r="U77" s="32">
        <f t="shared" ref="U77:AG88" si="22">U76+36</f>
        <v>690</v>
      </c>
      <c r="V77" s="32">
        <f t="shared" si="22"/>
        <v>691</v>
      </c>
      <c r="W77" s="32">
        <f t="shared" si="22"/>
        <v>692</v>
      </c>
      <c r="X77" s="32">
        <f t="shared" si="22"/>
        <v>693</v>
      </c>
      <c r="Y77" s="32">
        <f t="shared" si="22"/>
        <v>694</v>
      </c>
      <c r="Z77" s="32">
        <f t="shared" si="22"/>
        <v>695</v>
      </c>
      <c r="AA77" s="32">
        <f t="shared" si="22"/>
        <v>696</v>
      </c>
      <c r="AB77" s="32">
        <f t="shared" si="22"/>
        <v>697</v>
      </c>
      <c r="AC77" s="32">
        <f t="shared" si="22"/>
        <v>698</v>
      </c>
      <c r="AD77" s="32">
        <f t="shared" si="22"/>
        <v>699</v>
      </c>
      <c r="AE77" s="32">
        <f t="shared" si="22"/>
        <v>700</v>
      </c>
      <c r="AF77" s="32">
        <f t="shared" si="22"/>
        <v>701</v>
      </c>
      <c r="AG77" s="32">
        <f t="shared" si="22"/>
        <v>702</v>
      </c>
      <c r="AH77" s="31"/>
      <c r="AN77" s="31"/>
      <c r="AO77" s="32">
        <f t="shared" ref="AO77:BA88" si="23">AO76+36</f>
        <v>690</v>
      </c>
      <c r="AP77" s="32">
        <f t="shared" si="23"/>
        <v>691</v>
      </c>
      <c r="AQ77" s="32">
        <f t="shared" si="23"/>
        <v>692</v>
      </c>
      <c r="AR77" s="32">
        <f t="shared" si="23"/>
        <v>693</v>
      </c>
      <c r="AS77" s="32">
        <f t="shared" si="23"/>
        <v>694</v>
      </c>
      <c r="AT77" s="32">
        <f t="shared" si="23"/>
        <v>695</v>
      </c>
      <c r="AU77" s="32">
        <f t="shared" si="23"/>
        <v>696</v>
      </c>
      <c r="AV77" s="32">
        <f t="shared" si="23"/>
        <v>697</v>
      </c>
      <c r="AW77" s="32">
        <f t="shared" si="23"/>
        <v>698</v>
      </c>
      <c r="AX77" s="32">
        <f t="shared" si="23"/>
        <v>699</v>
      </c>
      <c r="AY77" s="32">
        <f t="shared" si="23"/>
        <v>700</v>
      </c>
      <c r="AZ77" s="32">
        <f t="shared" si="23"/>
        <v>701</v>
      </c>
      <c r="BA77" s="32">
        <f t="shared" si="23"/>
        <v>702</v>
      </c>
    </row>
    <row r="78" spans="20:53" x14ac:dyDescent="0.25">
      <c r="T78" s="31"/>
      <c r="U78" s="32">
        <f t="shared" si="22"/>
        <v>726</v>
      </c>
      <c r="V78" s="32">
        <f t="shared" si="22"/>
        <v>727</v>
      </c>
      <c r="W78" s="32">
        <f t="shared" si="22"/>
        <v>728</v>
      </c>
      <c r="X78" s="32">
        <f t="shared" si="22"/>
        <v>729</v>
      </c>
      <c r="Y78" s="32">
        <f t="shared" si="22"/>
        <v>730</v>
      </c>
      <c r="Z78" s="32">
        <f t="shared" si="22"/>
        <v>731</v>
      </c>
      <c r="AA78" s="32">
        <f t="shared" si="22"/>
        <v>732</v>
      </c>
      <c r="AB78" s="32">
        <f t="shared" si="22"/>
        <v>733</v>
      </c>
      <c r="AC78" s="32">
        <f t="shared" si="22"/>
        <v>734</v>
      </c>
      <c r="AD78" s="32">
        <f t="shared" si="22"/>
        <v>735</v>
      </c>
      <c r="AE78" s="32">
        <f t="shared" si="22"/>
        <v>736</v>
      </c>
      <c r="AF78" s="32">
        <f t="shared" si="22"/>
        <v>737</v>
      </c>
      <c r="AG78" s="32">
        <f t="shared" si="22"/>
        <v>738</v>
      </c>
      <c r="AH78" s="31"/>
      <c r="AN78" s="31"/>
      <c r="AO78" s="32">
        <f t="shared" si="23"/>
        <v>726</v>
      </c>
      <c r="AP78" s="32">
        <f t="shared" si="23"/>
        <v>727</v>
      </c>
      <c r="AQ78" s="32">
        <f t="shared" si="23"/>
        <v>728</v>
      </c>
      <c r="AR78" s="32">
        <f t="shared" si="23"/>
        <v>729</v>
      </c>
      <c r="AS78" s="32">
        <f t="shared" si="23"/>
        <v>730</v>
      </c>
      <c r="AT78" s="32">
        <f t="shared" si="23"/>
        <v>731</v>
      </c>
      <c r="AU78" s="32">
        <f t="shared" si="23"/>
        <v>732</v>
      </c>
      <c r="AV78" s="32">
        <f t="shared" si="23"/>
        <v>733</v>
      </c>
      <c r="AW78" s="32">
        <f t="shared" si="23"/>
        <v>734</v>
      </c>
      <c r="AX78" s="32">
        <f t="shared" si="23"/>
        <v>735</v>
      </c>
      <c r="AY78" s="32">
        <f t="shared" si="23"/>
        <v>736</v>
      </c>
      <c r="AZ78" s="32">
        <f t="shared" si="23"/>
        <v>737</v>
      </c>
      <c r="BA78" s="32">
        <f t="shared" si="23"/>
        <v>738</v>
      </c>
    </row>
    <row r="79" spans="20:53" x14ac:dyDescent="0.25">
      <c r="T79" s="31"/>
      <c r="U79" s="32">
        <f t="shared" si="22"/>
        <v>762</v>
      </c>
      <c r="V79" s="32">
        <f t="shared" si="22"/>
        <v>763</v>
      </c>
      <c r="W79" s="32">
        <f t="shared" si="22"/>
        <v>764</v>
      </c>
      <c r="X79" s="32">
        <f t="shared" si="22"/>
        <v>765</v>
      </c>
      <c r="Y79" s="32">
        <f t="shared" si="22"/>
        <v>766</v>
      </c>
      <c r="Z79" s="32">
        <f t="shared" si="22"/>
        <v>767</v>
      </c>
      <c r="AA79" s="32">
        <f t="shared" si="22"/>
        <v>768</v>
      </c>
      <c r="AB79" s="32">
        <f t="shared" si="22"/>
        <v>769</v>
      </c>
      <c r="AC79" s="32">
        <f t="shared" si="22"/>
        <v>770</v>
      </c>
      <c r="AD79" s="32">
        <f t="shared" si="22"/>
        <v>771</v>
      </c>
      <c r="AE79" s="32">
        <f t="shared" si="22"/>
        <v>772</v>
      </c>
      <c r="AF79" s="32">
        <f t="shared" si="22"/>
        <v>773</v>
      </c>
      <c r="AG79" s="32">
        <f t="shared" si="22"/>
        <v>774</v>
      </c>
      <c r="AH79" s="31"/>
      <c r="AN79" s="31"/>
      <c r="AO79" s="32">
        <f t="shared" si="23"/>
        <v>762</v>
      </c>
      <c r="AP79" s="32">
        <f t="shared" si="23"/>
        <v>763</v>
      </c>
      <c r="AQ79" s="32">
        <f t="shared" si="23"/>
        <v>764</v>
      </c>
      <c r="AR79" s="32">
        <f t="shared" si="23"/>
        <v>765</v>
      </c>
      <c r="AS79" s="32">
        <f t="shared" si="23"/>
        <v>766</v>
      </c>
      <c r="AT79" s="32">
        <f t="shared" si="23"/>
        <v>767</v>
      </c>
      <c r="AU79" s="32">
        <f t="shared" si="23"/>
        <v>768</v>
      </c>
      <c r="AV79" s="32">
        <f t="shared" si="23"/>
        <v>769</v>
      </c>
      <c r="AW79" s="32">
        <f t="shared" si="23"/>
        <v>770</v>
      </c>
      <c r="AX79" s="32">
        <f t="shared" si="23"/>
        <v>771</v>
      </c>
      <c r="AY79" s="32">
        <f t="shared" si="23"/>
        <v>772</v>
      </c>
      <c r="AZ79" s="32">
        <f t="shared" si="23"/>
        <v>773</v>
      </c>
      <c r="BA79" s="32">
        <f t="shared" si="23"/>
        <v>774</v>
      </c>
    </row>
    <row r="80" spans="20:53" x14ac:dyDescent="0.25">
      <c r="T80" s="31"/>
      <c r="U80" s="32">
        <f t="shared" si="22"/>
        <v>798</v>
      </c>
      <c r="V80" s="32">
        <f t="shared" si="22"/>
        <v>799</v>
      </c>
      <c r="W80" s="32">
        <f t="shared" si="22"/>
        <v>800</v>
      </c>
      <c r="X80" s="32">
        <f t="shared" si="22"/>
        <v>801</v>
      </c>
      <c r="Y80" s="32">
        <f t="shared" si="22"/>
        <v>802</v>
      </c>
      <c r="Z80" s="32">
        <f t="shared" si="22"/>
        <v>803</v>
      </c>
      <c r="AA80" s="32">
        <f t="shared" si="22"/>
        <v>804</v>
      </c>
      <c r="AB80" s="32">
        <f t="shared" si="22"/>
        <v>805</v>
      </c>
      <c r="AC80" s="32">
        <f t="shared" si="22"/>
        <v>806</v>
      </c>
      <c r="AD80" s="32">
        <f t="shared" si="22"/>
        <v>807</v>
      </c>
      <c r="AE80" s="32">
        <f t="shared" si="22"/>
        <v>808</v>
      </c>
      <c r="AF80" s="32">
        <f t="shared" si="22"/>
        <v>809</v>
      </c>
      <c r="AG80" s="32">
        <f t="shared" si="22"/>
        <v>810</v>
      </c>
      <c r="AH80" s="31"/>
      <c r="AN80" s="31"/>
      <c r="AO80" s="32">
        <f t="shared" si="23"/>
        <v>798</v>
      </c>
      <c r="AP80" s="32">
        <f t="shared" si="23"/>
        <v>799</v>
      </c>
      <c r="AQ80" s="32">
        <f t="shared" si="23"/>
        <v>800</v>
      </c>
      <c r="AR80" s="32">
        <f t="shared" si="23"/>
        <v>801</v>
      </c>
      <c r="AS80" s="32">
        <f t="shared" si="23"/>
        <v>802</v>
      </c>
      <c r="AT80" s="32">
        <f t="shared" si="23"/>
        <v>803</v>
      </c>
      <c r="AU80" s="32">
        <f t="shared" si="23"/>
        <v>804</v>
      </c>
      <c r="AV80" s="32">
        <f t="shared" si="23"/>
        <v>805</v>
      </c>
      <c r="AW80" s="32">
        <f t="shared" si="23"/>
        <v>806</v>
      </c>
      <c r="AX80" s="32">
        <f t="shared" si="23"/>
        <v>807</v>
      </c>
      <c r="AY80" s="32">
        <f t="shared" si="23"/>
        <v>808</v>
      </c>
      <c r="AZ80" s="32">
        <f t="shared" si="23"/>
        <v>809</v>
      </c>
      <c r="BA80" s="32">
        <f t="shared" si="23"/>
        <v>810</v>
      </c>
    </row>
    <row r="81" spans="20:53" x14ac:dyDescent="0.25">
      <c r="T81" s="31"/>
      <c r="U81" s="32">
        <f t="shared" si="22"/>
        <v>834</v>
      </c>
      <c r="V81" s="32">
        <f t="shared" si="22"/>
        <v>835</v>
      </c>
      <c r="W81" s="32">
        <f t="shared" si="22"/>
        <v>836</v>
      </c>
      <c r="X81" s="32">
        <f t="shared" si="22"/>
        <v>837</v>
      </c>
      <c r="Y81" s="32">
        <f t="shared" si="22"/>
        <v>838</v>
      </c>
      <c r="Z81" s="32">
        <f t="shared" si="22"/>
        <v>839</v>
      </c>
      <c r="AA81" s="32">
        <f t="shared" si="22"/>
        <v>840</v>
      </c>
      <c r="AB81" s="32">
        <f t="shared" si="22"/>
        <v>841</v>
      </c>
      <c r="AC81" s="32">
        <f t="shared" si="22"/>
        <v>842</v>
      </c>
      <c r="AD81" s="32">
        <f t="shared" si="22"/>
        <v>843</v>
      </c>
      <c r="AE81" s="32">
        <f t="shared" si="22"/>
        <v>844</v>
      </c>
      <c r="AF81" s="32">
        <f t="shared" si="22"/>
        <v>845</v>
      </c>
      <c r="AG81" s="32">
        <f t="shared" si="22"/>
        <v>846</v>
      </c>
      <c r="AH81" s="31"/>
      <c r="AN81" s="31"/>
      <c r="AO81" s="32">
        <f t="shared" si="23"/>
        <v>834</v>
      </c>
      <c r="AP81" s="32">
        <f t="shared" si="23"/>
        <v>835</v>
      </c>
      <c r="AQ81" s="32">
        <f t="shared" si="23"/>
        <v>836</v>
      </c>
      <c r="AR81" s="32">
        <f t="shared" si="23"/>
        <v>837</v>
      </c>
      <c r="AS81" s="32">
        <f t="shared" si="23"/>
        <v>838</v>
      </c>
      <c r="AT81" s="32">
        <f t="shared" si="23"/>
        <v>839</v>
      </c>
      <c r="AU81" s="32">
        <f t="shared" si="23"/>
        <v>840</v>
      </c>
      <c r="AV81" s="32">
        <f t="shared" si="23"/>
        <v>841</v>
      </c>
      <c r="AW81" s="32">
        <f t="shared" si="23"/>
        <v>842</v>
      </c>
      <c r="AX81" s="32">
        <f t="shared" si="23"/>
        <v>843</v>
      </c>
      <c r="AY81" s="32">
        <f t="shared" si="23"/>
        <v>844</v>
      </c>
      <c r="AZ81" s="32">
        <f t="shared" si="23"/>
        <v>845</v>
      </c>
      <c r="BA81" s="32">
        <f t="shared" si="23"/>
        <v>846</v>
      </c>
    </row>
    <row r="82" spans="20:53" x14ac:dyDescent="0.25">
      <c r="T82" s="31"/>
      <c r="U82" s="32">
        <f t="shared" si="22"/>
        <v>870</v>
      </c>
      <c r="V82" s="32">
        <f t="shared" si="22"/>
        <v>871</v>
      </c>
      <c r="W82" s="32">
        <f t="shared" si="22"/>
        <v>872</v>
      </c>
      <c r="X82" s="32">
        <f t="shared" si="22"/>
        <v>873</v>
      </c>
      <c r="Y82" s="32">
        <f t="shared" si="22"/>
        <v>874</v>
      </c>
      <c r="Z82" s="32">
        <f t="shared" si="22"/>
        <v>875</v>
      </c>
      <c r="AA82" s="32">
        <f t="shared" si="22"/>
        <v>876</v>
      </c>
      <c r="AB82" s="32">
        <f t="shared" si="22"/>
        <v>877</v>
      </c>
      <c r="AC82" s="32">
        <f t="shared" si="22"/>
        <v>878</v>
      </c>
      <c r="AD82" s="32">
        <f t="shared" si="22"/>
        <v>879</v>
      </c>
      <c r="AE82" s="32">
        <f t="shared" si="22"/>
        <v>880</v>
      </c>
      <c r="AF82" s="32">
        <f t="shared" si="22"/>
        <v>881</v>
      </c>
      <c r="AG82" s="32">
        <f t="shared" si="22"/>
        <v>882</v>
      </c>
      <c r="AH82" s="31"/>
      <c r="AN82" s="31"/>
      <c r="AO82" s="32">
        <f t="shared" si="23"/>
        <v>870</v>
      </c>
      <c r="AP82" s="32">
        <f t="shared" si="23"/>
        <v>871</v>
      </c>
      <c r="AQ82" s="32">
        <f t="shared" si="23"/>
        <v>872</v>
      </c>
      <c r="AR82" s="32">
        <f t="shared" si="23"/>
        <v>873</v>
      </c>
      <c r="AS82" s="32">
        <f t="shared" si="23"/>
        <v>874</v>
      </c>
      <c r="AT82" s="32">
        <f t="shared" si="23"/>
        <v>875</v>
      </c>
      <c r="AU82" s="32">
        <f t="shared" si="23"/>
        <v>876</v>
      </c>
      <c r="AV82" s="32">
        <f t="shared" si="23"/>
        <v>877</v>
      </c>
      <c r="AW82" s="32">
        <f t="shared" si="23"/>
        <v>878</v>
      </c>
      <c r="AX82" s="32">
        <f t="shared" si="23"/>
        <v>879</v>
      </c>
      <c r="AY82" s="32">
        <f t="shared" si="23"/>
        <v>880</v>
      </c>
      <c r="AZ82" s="32">
        <f t="shared" si="23"/>
        <v>881</v>
      </c>
      <c r="BA82" s="32">
        <f t="shared" si="23"/>
        <v>882</v>
      </c>
    </row>
    <row r="83" spans="20:53" x14ac:dyDescent="0.25">
      <c r="T83" s="31"/>
      <c r="U83" s="32">
        <f t="shared" si="22"/>
        <v>906</v>
      </c>
      <c r="V83" s="32">
        <f t="shared" si="22"/>
        <v>907</v>
      </c>
      <c r="W83" s="32">
        <f t="shared" si="22"/>
        <v>908</v>
      </c>
      <c r="X83" s="32">
        <f t="shared" si="22"/>
        <v>909</v>
      </c>
      <c r="Y83" s="32">
        <f t="shared" si="22"/>
        <v>910</v>
      </c>
      <c r="Z83" s="32">
        <f t="shared" si="22"/>
        <v>911</v>
      </c>
      <c r="AA83" s="32">
        <f t="shared" si="22"/>
        <v>912</v>
      </c>
      <c r="AB83" s="32">
        <f t="shared" si="22"/>
        <v>913</v>
      </c>
      <c r="AC83" s="32">
        <f t="shared" si="22"/>
        <v>914</v>
      </c>
      <c r="AD83" s="32">
        <f t="shared" si="22"/>
        <v>915</v>
      </c>
      <c r="AE83" s="32">
        <f t="shared" si="22"/>
        <v>916</v>
      </c>
      <c r="AF83" s="32">
        <f t="shared" si="22"/>
        <v>917</v>
      </c>
      <c r="AG83" s="32">
        <f t="shared" si="22"/>
        <v>918</v>
      </c>
      <c r="AH83" s="31"/>
      <c r="AN83" s="31"/>
      <c r="AO83" s="32">
        <f t="shared" si="23"/>
        <v>906</v>
      </c>
      <c r="AP83" s="32">
        <f t="shared" si="23"/>
        <v>907</v>
      </c>
      <c r="AQ83" s="32">
        <f t="shared" si="23"/>
        <v>908</v>
      </c>
      <c r="AR83" s="32">
        <f t="shared" si="23"/>
        <v>909</v>
      </c>
      <c r="AS83" s="32">
        <f t="shared" si="23"/>
        <v>910</v>
      </c>
      <c r="AT83" s="32">
        <f t="shared" si="23"/>
        <v>911</v>
      </c>
      <c r="AU83" s="32">
        <f t="shared" si="23"/>
        <v>912</v>
      </c>
      <c r="AV83" s="32">
        <f t="shared" si="23"/>
        <v>913</v>
      </c>
      <c r="AW83" s="32">
        <f t="shared" si="23"/>
        <v>914</v>
      </c>
      <c r="AX83" s="32">
        <f t="shared" si="23"/>
        <v>915</v>
      </c>
      <c r="AY83" s="32">
        <f t="shared" si="23"/>
        <v>916</v>
      </c>
      <c r="AZ83" s="32">
        <f t="shared" si="23"/>
        <v>917</v>
      </c>
      <c r="BA83" s="32">
        <f t="shared" si="23"/>
        <v>918</v>
      </c>
    </row>
    <row r="84" spans="20:53" x14ac:dyDescent="0.25">
      <c r="T84" s="31"/>
      <c r="U84" s="32">
        <f t="shared" si="22"/>
        <v>942</v>
      </c>
      <c r="V84" s="32">
        <f t="shared" si="22"/>
        <v>943</v>
      </c>
      <c r="W84" s="32">
        <f t="shared" si="22"/>
        <v>944</v>
      </c>
      <c r="X84" s="32">
        <f t="shared" si="22"/>
        <v>945</v>
      </c>
      <c r="Y84" s="32">
        <f t="shared" si="22"/>
        <v>946</v>
      </c>
      <c r="Z84" s="32">
        <f t="shared" si="22"/>
        <v>947</v>
      </c>
      <c r="AA84" s="32">
        <f t="shared" si="22"/>
        <v>948</v>
      </c>
      <c r="AB84" s="32">
        <f t="shared" si="22"/>
        <v>949</v>
      </c>
      <c r="AC84" s="32">
        <f t="shared" si="22"/>
        <v>950</v>
      </c>
      <c r="AD84" s="32">
        <f t="shared" si="22"/>
        <v>951</v>
      </c>
      <c r="AE84" s="32">
        <f t="shared" si="22"/>
        <v>952</v>
      </c>
      <c r="AF84" s="32">
        <f t="shared" si="22"/>
        <v>953</v>
      </c>
      <c r="AG84" s="32">
        <f t="shared" si="22"/>
        <v>954</v>
      </c>
      <c r="AH84" s="31"/>
      <c r="AN84" s="31"/>
      <c r="AO84" s="32">
        <f t="shared" si="23"/>
        <v>942</v>
      </c>
      <c r="AP84" s="32">
        <f t="shared" si="23"/>
        <v>943</v>
      </c>
      <c r="AQ84" s="32">
        <f t="shared" si="23"/>
        <v>944</v>
      </c>
      <c r="AR84" s="32">
        <f t="shared" si="23"/>
        <v>945</v>
      </c>
      <c r="AS84" s="32">
        <f t="shared" si="23"/>
        <v>946</v>
      </c>
      <c r="AT84" s="32">
        <f t="shared" si="23"/>
        <v>947</v>
      </c>
      <c r="AU84" s="32">
        <f t="shared" si="23"/>
        <v>948</v>
      </c>
      <c r="AV84" s="32">
        <f t="shared" si="23"/>
        <v>949</v>
      </c>
      <c r="AW84" s="32">
        <f t="shared" si="23"/>
        <v>950</v>
      </c>
      <c r="AX84" s="32">
        <f t="shared" si="23"/>
        <v>951</v>
      </c>
      <c r="AY84" s="32">
        <f t="shared" si="23"/>
        <v>952</v>
      </c>
      <c r="AZ84" s="32">
        <f t="shared" si="23"/>
        <v>953</v>
      </c>
      <c r="BA84" s="32">
        <f t="shared" si="23"/>
        <v>954</v>
      </c>
    </row>
    <row r="85" spans="20:53" x14ac:dyDescent="0.25">
      <c r="T85" s="31"/>
      <c r="U85" s="32">
        <f t="shared" si="22"/>
        <v>978</v>
      </c>
      <c r="V85" s="32">
        <f t="shared" si="22"/>
        <v>979</v>
      </c>
      <c r="W85" s="32">
        <f t="shared" si="22"/>
        <v>980</v>
      </c>
      <c r="X85" s="32">
        <f t="shared" si="22"/>
        <v>981</v>
      </c>
      <c r="Y85" s="32">
        <f t="shared" si="22"/>
        <v>982</v>
      </c>
      <c r="Z85" s="32">
        <f t="shared" si="22"/>
        <v>983</v>
      </c>
      <c r="AA85" s="32">
        <f t="shared" si="22"/>
        <v>984</v>
      </c>
      <c r="AB85" s="32">
        <f t="shared" si="22"/>
        <v>985</v>
      </c>
      <c r="AC85" s="32">
        <f t="shared" si="22"/>
        <v>986</v>
      </c>
      <c r="AD85" s="32">
        <f t="shared" si="22"/>
        <v>987</v>
      </c>
      <c r="AE85" s="32">
        <f t="shared" si="22"/>
        <v>988</v>
      </c>
      <c r="AF85" s="32">
        <f t="shared" si="22"/>
        <v>989</v>
      </c>
      <c r="AG85" s="32">
        <f t="shared" si="22"/>
        <v>990</v>
      </c>
      <c r="AH85" s="31"/>
      <c r="AN85" s="31"/>
      <c r="AO85" s="32">
        <f t="shared" si="23"/>
        <v>978</v>
      </c>
      <c r="AP85" s="32">
        <f t="shared" si="23"/>
        <v>979</v>
      </c>
      <c r="AQ85" s="32">
        <f t="shared" si="23"/>
        <v>980</v>
      </c>
      <c r="AR85" s="32">
        <f t="shared" si="23"/>
        <v>981</v>
      </c>
      <c r="AS85" s="32">
        <f t="shared" si="23"/>
        <v>982</v>
      </c>
      <c r="AT85" s="32">
        <f t="shared" si="23"/>
        <v>983</v>
      </c>
      <c r="AU85" s="32">
        <f t="shared" si="23"/>
        <v>984</v>
      </c>
      <c r="AV85" s="32">
        <f t="shared" si="23"/>
        <v>985</v>
      </c>
      <c r="AW85" s="32">
        <f t="shared" si="23"/>
        <v>986</v>
      </c>
      <c r="AX85" s="32">
        <f t="shared" si="23"/>
        <v>987</v>
      </c>
      <c r="AY85" s="32">
        <f t="shared" si="23"/>
        <v>988</v>
      </c>
      <c r="AZ85" s="32">
        <f t="shared" si="23"/>
        <v>989</v>
      </c>
      <c r="BA85" s="32">
        <f t="shared" si="23"/>
        <v>990</v>
      </c>
    </row>
    <row r="86" spans="20:53" x14ac:dyDescent="0.25">
      <c r="T86" s="31"/>
      <c r="U86" s="32">
        <f t="shared" si="22"/>
        <v>1014</v>
      </c>
      <c r="V86" s="32">
        <f t="shared" si="22"/>
        <v>1015</v>
      </c>
      <c r="W86" s="32">
        <f t="shared" si="22"/>
        <v>1016</v>
      </c>
      <c r="X86" s="32">
        <f t="shared" si="22"/>
        <v>1017</v>
      </c>
      <c r="Y86" s="32">
        <f t="shared" si="22"/>
        <v>1018</v>
      </c>
      <c r="Z86" s="32">
        <f t="shared" si="22"/>
        <v>1019</v>
      </c>
      <c r="AA86" s="32">
        <f t="shared" si="22"/>
        <v>1020</v>
      </c>
      <c r="AB86" s="32">
        <f t="shared" si="22"/>
        <v>1021</v>
      </c>
      <c r="AC86" s="32">
        <f t="shared" si="22"/>
        <v>1022</v>
      </c>
      <c r="AD86" s="32">
        <f t="shared" si="22"/>
        <v>1023</v>
      </c>
      <c r="AE86" s="32">
        <f t="shared" si="22"/>
        <v>1024</v>
      </c>
      <c r="AF86" s="32">
        <f t="shared" si="22"/>
        <v>1025</v>
      </c>
      <c r="AG86" s="32">
        <f t="shared" si="22"/>
        <v>1026</v>
      </c>
      <c r="AH86" s="31"/>
      <c r="AN86" s="31"/>
      <c r="AO86" s="32">
        <f t="shared" si="23"/>
        <v>1014</v>
      </c>
      <c r="AP86" s="32">
        <f t="shared" si="23"/>
        <v>1015</v>
      </c>
      <c r="AQ86" s="32">
        <f t="shared" si="23"/>
        <v>1016</v>
      </c>
      <c r="AR86" s="32">
        <f t="shared" si="23"/>
        <v>1017</v>
      </c>
      <c r="AS86" s="32">
        <f t="shared" si="23"/>
        <v>1018</v>
      </c>
      <c r="AT86" s="32">
        <f t="shared" si="23"/>
        <v>1019</v>
      </c>
      <c r="AU86" s="32">
        <f t="shared" si="23"/>
        <v>1020</v>
      </c>
      <c r="AV86" s="32">
        <f t="shared" si="23"/>
        <v>1021</v>
      </c>
      <c r="AW86" s="32">
        <f t="shared" si="23"/>
        <v>1022</v>
      </c>
      <c r="AX86" s="32">
        <f t="shared" si="23"/>
        <v>1023</v>
      </c>
      <c r="AY86" s="32">
        <f t="shared" si="23"/>
        <v>1024</v>
      </c>
      <c r="AZ86" s="32">
        <f t="shared" si="23"/>
        <v>1025</v>
      </c>
      <c r="BA86" s="32">
        <f t="shared" si="23"/>
        <v>1026</v>
      </c>
    </row>
    <row r="87" spans="20:53" x14ac:dyDescent="0.25">
      <c r="T87" s="31"/>
      <c r="U87" s="32">
        <f t="shared" si="22"/>
        <v>1050</v>
      </c>
      <c r="V87" s="32">
        <f t="shared" si="22"/>
        <v>1051</v>
      </c>
      <c r="W87" s="32">
        <f t="shared" si="22"/>
        <v>1052</v>
      </c>
      <c r="X87" s="32">
        <f t="shared" si="22"/>
        <v>1053</v>
      </c>
      <c r="Y87" s="32">
        <f t="shared" si="22"/>
        <v>1054</v>
      </c>
      <c r="Z87" s="32">
        <f t="shared" si="22"/>
        <v>1055</v>
      </c>
      <c r="AA87" s="32">
        <f t="shared" si="22"/>
        <v>1056</v>
      </c>
      <c r="AB87" s="32">
        <f t="shared" si="22"/>
        <v>1057</v>
      </c>
      <c r="AC87" s="32">
        <f t="shared" si="22"/>
        <v>1058</v>
      </c>
      <c r="AD87" s="32">
        <f t="shared" si="22"/>
        <v>1059</v>
      </c>
      <c r="AE87" s="32">
        <f t="shared" si="22"/>
        <v>1060</v>
      </c>
      <c r="AF87" s="32">
        <f t="shared" si="22"/>
        <v>1061</v>
      </c>
      <c r="AG87" s="32">
        <f t="shared" si="22"/>
        <v>1062</v>
      </c>
      <c r="AH87" s="31"/>
      <c r="AN87" s="31"/>
      <c r="AO87" s="32">
        <f t="shared" si="23"/>
        <v>1050</v>
      </c>
      <c r="AP87" s="32">
        <f t="shared" si="23"/>
        <v>1051</v>
      </c>
      <c r="AQ87" s="32">
        <f t="shared" si="23"/>
        <v>1052</v>
      </c>
      <c r="AR87" s="32">
        <f t="shared" si="23"/>
        <v>1053</v>
      </c>
      <c r="AS87" s="32">
        <f t="shared" si="23"/>
        <v>1054</v>
      </c>
      <c r="AT87" s="32">
        <f t="shared" si="23"/>
        <v>1055</v>
      </c>
      <c r="AU87" s="32">
        <f t="shared" si="23"/>
        <v>1056</v>
      </c>
      <c r="AV87" s="32">
        <f t="shared" si="23"/>
        <v>1057</v>
      </c>
      <c r="AW87" s="32">
        <f t="shared" si="23"/>
        <v>1058</v>
      </c>
      <c r="AX87" s="32">
        <f t="shared" si="23"/>
        <v>1059</v>
      </c>
      <c r="AY87" s="32">
        <f t="shared" si="23"/>
        <v>1060</v>
      </c>
      <c r="AZ87" s="32">
        <f t="shared" si="23"/>
        <v>1061</v>
      </c>
      <c r="BA87" s="32">
        <f t="shared" si="23"/>
        <v>1062</v>
      </c>
    </row>
    <row r="88" spans="20:53" x14ac:dyDescent="0.25">
      <c r="T88" s="31"/>
      <c r="U88" s="32">
        <f t="shared" si="22"/>
        <v>1086</v>
      </c>
      <c r="V88" s="32">
        <f t="shared" si="22"/>
        <v>1087</v>
      </c>
      <c r="W88" s="32">
        <f t="shared" si="22"/>
        <v>1088</v>
      </c>
      <c r="X88" s="32">
        <f t="shared" si="22"/>
        <v>1089</v>
      </c>
      <c r="Y88" s="32">
        <f t="shared" si="22"/>
        <v>1090</v>
      </c>
      <c r="Z88" s="32">
        <f t="shared" si="22"/>
        <v>1091</v>
      </c>
      <c r="AA88" s="32">
        <f t="shared" si="22"/>
        <v>1092</v>
      </c>
      <c r="AB88" s="32">
        <f t="shared" si="22"/>
        <v>1093</v>
      </c>
      <c r="AC88" s="32">
        <f t="shared" si="22"/>
        <v>1094</v>
      </c>
      <c r="AD88" s="32">
        <f t="shared" si="22"/>
        <v>1095</v>
      </c>
      <c r="AE88" s="32">
        <f t="shared" si="22"/>
        <v>1096</v>
      </c>
      <c r="AF88" s="32">
        <f t="shared" si="22"/>
        <v>1097</v>
      </c>
      <c r="AG88" s="32">
        <f t="shared" si="22"/>
        <v>1098</v>
      </c>
      <c r="AH88" s="31"/>
      <c r="AN88" s="31"/>
      <c r="AO88" s="32">
        <f t="shared" si="23"/>
        <v>1086</v>
      </c>
      <c r="AP88" s="32">
        <f t="shared" si="23"/>
        <v>1087</v>
      </c>
      <c r="AQ88" s="32">
        <f t="shared" si="23"/>
        <v>1088</v>
      </c>
      <c r="AR88" s="32">
        <f t="shared" si="23"/>
        <v>1089</v>
      </c>
      <c r="AS88" s="32">
        <f t="shared" si="23"/>
        <v>1090</v>
      </c>
      <c r="AT88" s="32">
        <f t="shared" si="23"/>
        <v>1091</v>
      </c>
      <c r="AU88" s="32">
        <f t="shared" si="23"/>
        <v>1092</v>
      </c>
      <c r="AV88" s="32">
        <f t="shared" si="23"/>
        <v>1093</v>
      </c>
      <c r="AW88" s="32">
        <f t="shared" si="23"/>
        <v>1094</v>
      </c>
      <c r="AX88" s="32">
        <f t="shared" si="23"/>
        <v>1095</v>
      </c>
      <c r="AY88" s="32">
        <f t="shared" si="23"/>
        <v>1096</v>
      </c>
      <c r="AZ88" s="32">
        <f t="shared" si="23"/>
        <v>1097</v>
      </c>
      <c r="BA88" s="32">
        <f t="shared" si="23"/>
        <v>1098</v>
      </c>
    </row>
    <row r="89" spans="20:53" x14ac:dyDescent="0.25"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N89" s="31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</row>
    <row r="90" spans="20:53" x14ac:dyDescent="0.25">
      <c r="AN90" s="31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</row>
  </sheetData>
  <mergeCells count="60">
    <mergeCell ref="F1:L1"/>
    <mergeCell ref="Y1:AE1"/>
    <mergeCell ref="AR1:AX1"/>
    <mergeCell ref="G4:K4"/>
    <mergeCell ref="O4:Q4"/>
    <mergeCell ref="Z4:AD4"/>
    <mergeCell ref="AH4:AJ4"/>
    <mergeCell ref="AS4:AW4"/>
    <mergeCell ref="O7:O8"/>
    <mergeCell ref="BA4:BC4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AC7:AC8"/>
    <mergeCell ref="P7:P8"/>
    <mergeCell ref="Q7:Q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Q7:AQ8"/>
    <mergeCell ref="AD7:AD8"/>
    <mergeCell ref="AE7:AE8"/>
    <mergeCell ref="AF7:AF8"/>
    <mergeCell ref="AG7:AG8"/>
    <mergeCell ref="AH7:AH8"/>
    <mergeCell ref="AI7:AI8"/>
    <mergeCell ref="AJ7:AJ8"/>
    <mergeCell ref="AM7:AM8"/>
    <mergeCell ref="AN7:AN8"/>
    <mergeCell ref="AO7:AO8"/>
    <mergeCell ref="AP7:AP8"/>
    <mergeCell ref="BC7:BC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BE96"/>
  <sheetViews>
    <sheetView topLeftCell="AE1" workbookViewId="0">
      <selection activeCell="AV54" sqref="AV54"/>
    </sheetView>
  </sheetViews>
  <sheetFormatPr defaultRowHeight="13.2" x14ac:dyDescent="0.25"/>
  <cols>
    <col min="1" max="1" width="11.5546875" style="1" customWidth="1"/>
    <col min="2" max="12" width="7.6640625" style="2" customWidth="1"/>
    <col min="13" max="13" width="7.5546875" style="2" customWidth="1"/>
    <col min="14" max="14" width="7.6640625" style="2" customWidth="1"/>
    <col min="15" max="17" width="6" style="2" customWidth="1"/>
    <col min="18" max="40" width="9.109375" style="2"/>
    <col min="41" max="53" width="9.109375" style="1" customWidth="1"/>
    <col min="54" max="256" width="9.109375" style="2"/>
    <col min="257" max="257" width="5.44140625" style="2" customWidth="1"/>
    <col min="258" max="268" width="7.6640625" style="2" customWidth="1"/>
    <col min="269" max="269" width="7.5546875" style="2" customWidth="1"/>
    <col min="270" max="270" width="7.6640625" style="2" customWidth="1"/>
    <col min="271" max="273" width="6" style="2" customWidth="1"/>
    <col min="274" max="512" width="9.109375" style="2"/>
    <col min="513" max="513" width="5.44140625" style="2" customWidth="1"/>
    <col min="514" max="524" width="7.6640625" style="2" customWidth="1"/>
    <col min="525" max="525" width="7.5546875" style="2" customWidth="1"/>
    <col min="526" max="526" width="7.6640625" style="2" customWidth="1"/>
    <col min="527" max="529" width="6" style="2" customWidth="1"/>
    <col min="530" max="768" width="9.109375" style="2"/>
    <col min="769" max="769" width="5.44140625" style="2" customWidth="1"/>
    <col min="770" max="780" width="7.6640625" style="2" customWidth="1"/>
    <col min="781" max="781" width="7.5546875" style="2" customWidth="1"/>
    <col min="782" max="782" width="7.6640625" style="2" customWidth="1"/>
    <col min="783" max="785" width="6" style="2" customWidth="1"/>
    <col min="786" max="1024" width="9.109375" style="2"/>
    <col min="1025" max="1025" width="5.44140625" style="2" customWidth="1"/>
    <col min="1026" max="1036" width="7.6640625" style="2" customWidth="1"/>
    <col min="1037" max="1037" width="7.5546875" style="2" customWidth="1"/>
    <col min="1038" max="1038" width="7.6640625" style="2" customWidth="1"/>
    <col min="1039" max="1041" width="6" style="2" customWidth="1"/>
    <col min="1042" max="1280" width="9.109375" style="2"/>
    <col min="1281" max="1281" width="5.44140625" style="2" customWidth="1"/>
    <col min="1282" max="1292" width="7.6640625" style="2" customWidth="1"/>
    <col min="1293" max="1293" width="7.5546875" style="2" customWidth="1"/>
    <col min="1294" max="1294" width="7.6640625" style="2" customWidth="1"/>
    <col min="1295" max="1297" width="6" style="2" customWidth="1"/>
    <col min="1298" max="1536" width="9.109375" style="2"/>
    <col min="1537" max="1537" width="5.44140625" style="2" customWidth="1"/>
    <col min="1538" max="1548" width="7.6640625" style="2" customWidth="1"/>
    <col min="1549" max="1549" width="7.5546875" style="2" customWidth="1"/>
    <col min="1550" max="1550" width="7.6640625" style="2" customWidth="1"/>
    <col min="1551" max="1553" width="6" style="2" customWidth="1"/>
    <col min="1554" max="1792" width="9.109375" style="2"/>
    <col min="1793" max="1793" width="5.44140625" style="2" customWidth="1"/>
    <col min="1794" max="1804" width="7.6640625" style="2" customWidth="1"/>
    <col min="1805" max="1805" width="7.5546875" style="2" customWidth="1"/>
    <col min="1806" max="1806" width="7.6640625" style="2" customWidth="1"/>
    <col min="1807" max="1809" width="6" style="2" customWidth="1"/>
    <col min="1810" max="2048" width="9.109375" style="2"/>
    <col min="2049" max="2049" width="5.44140625" style="2" customWidth="1"/>
    <col min="2050" max="2060" width="7.6640625" style="2" customWidth="1"/>
    <col min="2061" max="2061" width="7.5546875" style="2" customWidth="1"/>
    <col min="2062" max="2062" width="7.6640625" style="2" customWidth="1"/>
    <col min="2063" max="2065" width="6" style="2" customWidth="1"/>
    <col min="2066" max="2304" width="9.109375" style="2"/>
    <col min="2305" max="2305" width="5.44140625" style="2" customWidth="1"/>
    <col min="2306" max="2316" width="7.6640625" style="2" customWidth="1"/>
    <col min="2317" max="2317" width="7.5546875" style="2" customWidth="1"/>
    <col min="2318" max="2318" width="7.6640625" style="2" customWidth="1"/>
    <col min="2319" max="2321" width="6" style="2" customWidth="1"/>
    <col min="2322" max="2560" width="9.109375" style="2"/>
    <col min="2561" max="2561" width="5.44140625" style="2" customWidth="1"/>
    <col min="2562" max="2572" width="7.6640625" style="2" customWidth="1"/>
    <col min="2573" max="2573" width="7.5546875" style="2" customWidth="1"/>
    <col min="2574" max="2574" width="7.6640625" style="2" customWidth="1"/>
    <col min="2575" max="2577" width="6" style="2" customWidth="1"/>
    <col min="2578" max="2816" width="9.109375" style="2"/>
    <col min="2817" max="2817" width="5.44140625" style="2" customWidth="1"/>
    <col min="2818" max="2828" width="7.6640625" style="2" customWidth="1"/>
    <col min="2829" max="2829" width="7.5546875" style="2" customWidth="1"/>
    <col min="2830" max="2830" width="7.6640625" style="2" customWidth="1"/>
    <col min="2831" max="2833" width="6" style="2" customWidth="1"/>
    <col min="2834" max="3072" width="9.109375" style="2"/>
    <col min="3073" max="3073" width="5.44140625" style="2" customWidth="1"/>
    <col min="3074" max="3084" width="7.6640625" style="2" customWidth="1"/>
    <col min="3085" max="3085" width="7.5546875" style="2" customWidth="1"/>
    <col min="3086" max="3086" width="7.6640625" style="2" customWidth="1"/>
    <col min="3087" max="3089" width="6" style="2" customWidth="1"/>
    <col min="3090" max="3328" width="9.109375" style="2"/>
    <col min="3329" max="3329" width="5.44140625" style="2" customWidth="1"/>
    <col min="3330" max="3340" width="7.6640625" style="2" customWidth="1"/>
    <col min="3341" max="3341" width="7.5546875" style="2" customWidth="1"/>
    <col min="3342" max="3342" width="7.6640625" style="2" customWidth="1"/>
    <col min="3343" max="3345" width="6" style="2" customWidth="1"/>
    <col min="3346" max="3584" width="9.109375" style="2"/>
    <col min="3585" max="3585" width="5.44140625" style="2" customWidth="1"/>
    <col min="3586" max="3596" width="7.6640625" style="2" customWidth="1"/>
    <col min="3597" max="3597" width="7.5546875" style="2" customWidth="1"/>
    <col min="3598" max="3598" width="7.6640625" style="2" customWidth="1"/>
    <col min="3599" max="3601" width="6" style="2" customWidth="1"/>
    <col min="3602" max="3840" width="9.109375" style="2"/>
    <col min="3841" max="3841" width="5.44140625" style="2" customWidth="1"/>
    <col min="3842" max="3852" width="7.6640625" style="2" customWidth="1"/>
    <col min="3853" max="3853" width="7.5546875" style="2" customWidth="1"/>
    <col min="3854" max="3854" width="7.6640625" style="2" customWidth="1"/>
    <col min="3855" max="3857" width="6" style="2" customWidth="1"/>
    <col min="3858" max="4096" width="9.109375" style="2"/>
    <col min="4097" max="4097" width="5.44140625" style="2" customWidth="1"/>
    <col min="4098" max="4108" width="7.6640625" style="2" customWidth="1"/>
    <col min="4109" max="4109" width="7.5546875" style="2" customWidth="1"/>
    <col min="4110" max="4110" width="7.6640625" style="2" customWidth="1"/>
    <col min="4111" max="4113" width="6" style="2" customWidth="1"/>
    <col min="4114" max="4352" width="9.109375" style="2"/>
    <col min="4353" max="4353" width="5.44140625" style="2" customWidth="1"/>
    <col min="4354" max="4364" width="7.6640625" style="2" customWidth="1"/>
    <col min="4365" max="4365" width="7.5546875" style="2" customWidth="1"/>
    <col min="4366" max="4366" width="7.6640625" style="2" customWidth="1"/>
    <col min="4367" max="4369" width="6" style="2" customWidth="1"/>
    <col min="4370" max="4608" width="9.109375" style="2"/>
    <col min="4609" max="4609" width="5.44140625" style="2" customWidth="1"/>
    <col min="4610" max="4620" width="7.6640625" style="2" customWidth="1"/>
    <col min="4621" max="4621" width="7.5546875" style="2" customWidth="1"/>
    <col min="4622" max="4622" width="7.6640625" style="2" customWidth="1"/>
    <col min="4623" max="4625" width="6" style="2" customWidth="1"/>
    <col min="4626" max="4864" width="9.109375" style="2"/>
    <col min="4865" max="4865" width="5.44140625" style="2" customWidth="1"/>
    <col min="4866" max="4876" width="7.6640625" style="2" customWidth="1"/>
    <col min="4877" max="4877" width="7.5546875" style="2" customWidth="1"/>
    <col min="4878" max="4878" width="7.6640625" style="2" customWidth="1"/>
    <col min="4879" max="4881" width="6" style="2" customWidth="1"/>
    <col min="4882" max="5120" width="9.109375" style="2"/>
    <col min="5121" max="5121" width="5.44140625" style="2" customWidth="1"/>
    <col min="5122" max="5132" width="7.6640625" style="2" customWidth="1"/>
    <col min="5133" max="5133" width="7.5546875" style="2" customWidth="1"/>
    <col min="5134" max="5134" width="7.6640625" style="2" customWidth="1"/>
    <col min="5135" max="5137" width="6" style="2" customWidth="1"/>
    <col min="5138" max="5376" width="9.109375" style="2"/>
    <col min="5377" max="5377" width="5.44140625" style="2" customWidth="1"/>
    <col min="5378" max="5388" width="7.6640625" style="2" customWidth="1"/>
    <col min="5389" max="5389" width="7.5546875" style="2" customWidth="1"/>
    <col min="5390" max="5390" width="7.6640625" style="2" customWidth="1"/>
    <col min="5391" max="5393" width="6" style="2" customWidth="1"/>
    <col min="5394" max="5632" width="9.109375" style="2"/>
    <col min="5633" max="5633" width="5.44140625" style="2" customWidth="1"/>
    <col min="5634" max="5644" width="7.6640625" style="2" customWidth="1"/>
    <col min="5645" max="5645" width="7.5546875" style="2" customWidth="1"/>
    <col min="5646" max="5646" width="7.6640625" style="2" customWidth="1"/>
    <col min="5647" max="5649" width="6" style="2" customWidth="1"/>
    <col min="5650" max="5888" width="9.109375" style="2"/>
    <col min="5889" max="5889" width="5.44140625" style="2" customWidth="1"/>
    <col min="5890" max="5900" width="7.6640625" style="2" customWidth="1"/>
    <col min="5901" max="5901" width="7.5546875" style="2" customWidth="1"/>
    <col min="5902" max="5902" width="7.6640625" style="2" customWidth="1"/>
    <col min="5903" max="5905" width="6" style="2" customWidth="1"/>
    <col min="5906" max="6144" width="9.109375" style="2"/>
    <col min="6145" max="6145" width="5.44140625" style="2" customWidth="1"/>
    <col min="6146" max="6156" width="7.6640625" style="2" customWidth="1"/>
    <col min="6157" max="6157" width="7.5546875" style="2" customWidth="1"/>
    <col min="6158" max="6158" width="7.6640625" style="2" customWidth="1"/>
    <col min="6159" max="6161" width="6" style="2" customWidth="1"/>
    <col min="6162" max="6400" width="9.109375" style="2"/>
    <col min="6401" max="6401" width="5.44140625" style="2" customWidth="1"/>
    <col min="6402" max="6412" width="7.6640625" style="2" customWidth="1"/>
    <col min="6413" max="6413" width="7.5546875" style="2" customWidth="1"/>
    <col min="6414" max="6414" width="7.6640625" style="2" customWidth="1"/>
    <col min="6415" max="6417" width="6" style="2" customWidth="1"/>
    <col min="6418" max="6656" width="9.109375" style="2"/>
    <col min="6657" max="6657" width="5.44140625" style="2" customWidth="1"/>
    <col min="6658" max="6668" width="7.6640625" style="2" customWidth="1"/>
    <col min="6669" max="6669" width="7.5546875" style="2" customWidth="1"/>
    <col min="6670" max="6670" width="7.6640625" style="2" customWidth="1"/>
    <col min="6671" max="6673" width="6" style="2" customWidth="1"/>
    <col min="6674" max="6912" width="9.109375" style="2"/>
    <col min="6913" max="6913" width="5.44140625" style="2" customWidth="1"/>
    <col min="6914" max="6924" width="7.6640625" style="2" customWidth="1"/>
    <col min="6925" max="6925" width="7.5546875" style="2" customWidth="1"/>
    <col min="6926" max="6926" width="7.6640625" style="2" customWidth="1"/>
    <col min="6927" max="6929" width="6" style="2" customWidth="1"/>
    <col min="6930" max="7168" width="9.109375" style="2"/>
    <col min="7169" max="7169" width="5.44140625" style="2" customWidth="1"/>
    <col min="7170" max="7180" width="7.6640625" style="2" customWidth="1"/>
    <col min="7181" max="7181" width="7.5546875" style="2" customWidth="1"/>
    <col min="7182" max="7182" width="7.6640625" style="2" customWidth="1"/>
    <col min="7183" max="7185" width="6" style="2" customWidth="1"/>
    <col min="7186" max="7424" width="9.109375" style="2"/>
    <col min="7425" max="7425" width="5.44140625" style="2" customWidth="1"/>
    <col min="7426" max="7436" width="7.6640625" style="2" customWidth="1"/>
    <col min="7437" max="7437" width="7.5546875" style="2" customWidth="1"/>
    <col min="7438" max="7438" width="7.6640625" style="2" customWidth="1"/>
    <col min="7439" max="7441" width="6" style="2" customWidth="1"/>
    <col min="7442" max="7680" width="9.109375" style="2"/>
    <col min="7681" max="7681" width="5.44140625" style="2" customWidth="1"/>
    <col min="7682" max="7692" width="7.6640625" style="2" customWidth="1"/>
    <col min="7693" max="7693" width="7.5546875" style="2" customWidth="1"/>
    <col min="7694" max="7694" width="7.6640625" style="2" customWidth="1"/>
    <col min="7695" max="7697" width="6" style="2" customWidth="1"/>
    <col min="7698" max="7936" width="9.109375" style="2"/>
    <col min="7937" max="7937" width="5.44140625" style="2" customWidth="1"/>
    <col min="7938" max="7948" width="7.6640625" style="2" customWidth="1"/>
    <col min="7949" max="7949" width="7.5546875" style="2" customWidth="1"/>
    <col min="7950" max="7950" width="7.6640625" style="2" customWidth="1"/>
    <col min="7951" max="7953" width="6" style="2" customWidth="1"/>
    <col min="7954" max="8192" width="9.109375" style="2"/>
    <col min="8193" max="8193" width="5.44140625" style="2" customWidth="1"/>
    <col min="8194" max="8204" width="7.6640625" style="2" customWidth="1"/>
    <col min="8205" max="8205" width="7.5546875" style="2" customWidth="1"/>
    <col min="8206" max="8206" width="7.6640625" style="2" customWidth="1"/>
    <col min="8207" max="8209" width="6" style="2" customWidth="1"/>
    <col min="8210" max="8448" width="9.109375" style="2"/>
    <col min="8449" max="8449" width="5.44140625" style="2" customWidth="1"/>
    <col min="8450" max="8460" width="7.6640625" style="2" customWidth="1"/>
    <col min="8461" max="8461" width="7.5546875" style="2" customWidth="1"/>
    <col min="8462" max="8462" width="7.6640625" style="2" customWidth="1"/>
    <col min="8463" max="8465" width="6" style="2" customWidth="1"/>
    <col min="8466" max="8704" width="9.109375" style="2"/>
    <col min="8705" max="8705" width="5.44140625" style="2" customWidth="1"/>
    <col min="8706" max="8716" width="7.6640625" style="2" customWidth="1"/>
    <col min="8717" max="8717" width="7.5546875" style="2" customWidth="1"/>
    <col min="8718" max="8718" width="7.6640625" style="2" customWidth="1"/>
    <col min="8719" max="8721" width="6" style="2" customWidth="1"/>
    <col min="8722" max="8960" width="9.109375" style="2"/>
    <col min="8961" max="8961" width="5.44140625" style="2" customWidth="1"/>
    <col min="8962" max="8972" width="7.6640625" style="2" customWidth="1"/>
    <col min="8973" max="8973" width="7.5546875" style="2" customWidth="1"/>
    <col min="8974" max="8974" width="7.6640625" style="2" customWidth="1"/>
    <col min="8975" max="8977" width="6" style="2" customWidth="1"/>
    <col min="8978" max="9216" width="9.109375" style="2"/>
    <col min="9217" max="9217" width="5.44140625" style="2" customWidth="1"/>
    <col min="9218" max="9228" width="7.6640625" style="2" customWidth="1"/>
    <col min="9229" max="9229" width="7.5546875" style="2" customWidth="1"/>
    <col min="9230" max="9230" width="7.6640625" style="2" customWidth="1"/>
    <col min="9231" max="9233" width="6" style="2" customWidth="1"/>
    <col min="9234" max="9472" width="9.109375" style="2"/>
    <col min="9473" max="9473" width="5.44140625" style="2" customWidth="1"/>
    <col min="9474" max="9484" width="7.6640625" style="2" customWidth="1"/>
    <col min="9485" max="9485" width="7.5546875" style="2" customWidth="1"/>
    <col min="9486" max="9486" width="7.6640625" style="2" customWidth="1"/>
    <col min="9487" max="9489" width="6" style="2" customWidth="1"/>
    <col min="9490" max="9728" width="9.109375" style="2"/>
    <col min="9729" max="9729" width="5.44140625" style="2" customWidth="1"/>
    <col min="9730" max="9740" width="7.6640625" style="2" customWidth="1"/>
    <col min="9741" max="9741" width="7.5546875" style="2" customWidth="1"/>
    <col min="9742" max="9742" width="7.6640625" style="2" customWidth="1"/>
    <col min="9743" max="9745" width="6" style="2" customWidth="1"/>
    <col min="9746" max="9984" width="9.109375" style="2"/>
    <col min="9985" max="9985" width="5.44140625" style="2" customWidth="1"/>
    <col min="9986" max="9996" width="7.6640625" style="2" customWidth="1"/>
    <col min="9997" max="9997" width="7.5546875" style="2" customWidth="1"/>
    <col min="9998" max="9998" width="7.6640625" style="2" customWidth="1"/>
    <col min="9999" max="10001" width="6" style="2" customWidth="1"/>
    <col min="10002" max="10240" width="9.109375" style="2"/>
    <col min="10241" max="10241" width="5.44140625" style="2" customWidth="1"/>
    <col min="10242" max="10252" width="7.6640625" style="2" customWidth="1"/>
    <col min="10253" max="10253" width="7.5546875" style="2" customWidth="1"/>
    <col min="10254" max="10254" width="7.6640625" style="2" customWidth="1"/>
    <col min="10255" max="10257" width="6" style="2" customWidth="1"/>
    <col min="10258" max="10496" width="9.109375" style="2"/>
    <col min="10497" max="10497" width="5.44140625" style="2" customWidth="1"/>
    <col min="10498" max="10508" width="7.6640625" style="2" customWidth="1"/>
    <col min="10509" max="10509" width="7.5546875" style="2" customWidth="1"/>
    <col min="10510" max="10510" width="7.6640625" style="2" customWidth="1"/>
    <col min="10511" max="10513" width="6" style="2" customWidth="1"/>
    <col min="10514" max="10752" width="9.109375" style="2"/>
    <col min="10753" max="10753" width="5.44140625" style="2" customWidth="1"/>
    <col min="10754" max="10764" width="7.6640625" style="2" customWidth="1"/>
    <col min="10765" max="10765" width="7.5546875" style="2" customWidth="1"/>
    <col min="10766" max="10766" width="7.6640625" style="2" customWidth="1"/>
    <col min="10767" max="10769" width="6" style="2" customWidth="1"/>
    <col min="10770" max="11008" width="9.109375" style="2"/>
    <col min="11009" max="11009" width="5.44140625" style="2" customWidth="1"/>
    <col min="11010" max="11020" width="7.6640625" style="2" customWidth="1"/>
    <col min="11021" max="11021" width="7.5546875" style="2" customWidth="1"/>
    <col min="11022" max="11022" width="7.6640625" style="2" customWidth="1"/>
    <col min="11023" max="11025" width="6" style="2" customWidth="1"/>
    <col min="11026" max="11264" width="9.109375" style="2"/>
    <col min="11265" max="11265" width="5.44140625" style="2" customWidth="1"/>
    <col min="11266" max="11276" width="7.6640625" style="2" customWidth="1"/>
    <col min="11277" max="11277" width="7.5546875" style="2" customWidth="1"/>
    <col min="11278" max="11278" width="7.6640625" style="2" customWidth="1"/>
    <col min="11279" max="11281" width="6" style="2" customWidth="1"/>
    <col min="11282" max="11520" width="9.109375" style="2"/>
    <col min="11521" max="11521" width="5.44140625" style="2" customWidth="1"/>
    <col min="11522" max="11532" width="7.6640625" style="2" customWidth="1"/>
    <col min="11533" max="11533" width="7.5546875" style="2" customWidth="1"/>
    <col min="11534" max="11534" width="7.6640625" style="2" customWidth="1"/>
    <col min="11535" max="11537" width="6" style="2" customWidth="1"/>
    <col min="11538" max="11776" width="9.109375" style="2"/>
    <col min="11777" max="11777" width="5.44140625" style="2" customWidth="1"/>
    <col min="11778" max="11788" width="7.6640625" style="2" customWidth="1"/>
    <col min="11789" max="11789" width="7.5546875" style="2" customWidth="1"/>
    <col min="11790" max="11790" width="7.6640625" style="2" customWidth="1"/>
    <col min="11791" max="11793" width="6" style="2" customWidth="1"/>
    <col min="11794" max="12032" width="9.109375" style="2"/>
    <col min="12033" max="12033" width="5.44140625" style="2" customWidth="1"/>
    <col min="12034" max="12044" width="7.6640625" style="2" customWidth="1"/>
    <col min="12045" max="12045" width="7.5546875" style="2" customWidth="1"/>
    <col min="12046" max="12046" width="7.6640625" style="2" customWidth="1"/>
    <col min="12047" max="12049" width="6" style="2" customWidth="1"/>
    <col min="12050" max="12288" width="9.109375" style="2"/>
    <col min="12289" max="12289" width="5.44140625" style="2" customWidth="1"/>
    <col min="12290" max="12300" width="7.6640625" style="2" customWidth="1"/>
    <col min="12301" max="12301" width="7.5546875" style="2" customWidth="1"/>
    <col min="12302" max="12302" width="7.6640625" style="2" customWidth="1"/>
    <col min="12303" max="12305" width="6" style="2" customWidth="1"/>
    <col min="12306" max="12544" width="9.109375" style="2"/>
    <col min="12545" max="12545" width="5.44140625" style="2" customWidth="1"/>
    <col min="12546" max="12556" width="7.6640625" style="2" customWidth="1"/>
    <col min="12557" max="12557" width="7.5546875" style="2" customWidth="1"/>
    <col min="12558" max="12558" width="7.6640625" style="2" customWidth="1"/>
    <col min="12559" max="12561" width="6" style="2" customWidth="1"/>
    <col min="12562" max="12800" width="9.109375" style="2"/>
    <col min="12801" max="12801" width="5.44140625" style="2" customWidth="1"/>
    <col min="12802" max="12812" width="7.6640625" style="2" customWidth="1"/>
    <col min="12813" max="12813" width="7.5546875" style="2" customWidth="1"/>
    <col min="12814" max="12814" width="7.6640625" style="2" customWidth="1"/>
    <col min="12815" max="12817" width="6" style="2" customWidth="1"/>
    <col min="12818" max="13056" width="9.109375" style="2"/>
    <col min="13057" max="13057" width="5.44140625" style="2" customWidth="1"/>
    <col min="13058" max="13068" width="7.6640625" style="2" customWidth="1"/>
    <col min="13069" max="13069" width="7.5546875" style="2" customWidth="1"/>
    <col min="13070" max="13070" width="7.6640625" style="2" customWidth="1"/>
    <col min="13071" max="13073" width="6" style="2" customWidth="1"/>
    <col min="13074" max="13312" width="9.109375" style="2"/>
    <col min="13313" max="13313" width="5.44140625" style="2" customWidth="1"/>
    <col min="13314" max="13324" width="7.6640625" style="2" customWidth="1"/>
    <col min="13325" max="13325" width="7.5546875" style="2" customWidth="1"/>
    <col min="13326" max="13326" width="7.6640625" style="2" customWidth="1"/>
    <col min="13327" max="13329" width="6" style="2" customWidth="1"/>
    <col min="13330" max="13568" width="9.109375" style="2"/>
    <col min="13569" max="13569" width="5.44140625" style="2" customWidth="1"/>
    <col min="13570" max="13580" width="7.6640625" style="2" customWidth="1"/>
    <col min="13581" max="13581" width="7.5546875" style="2" customWidth="1"/>
    <col min="13582" max="13582" width="7.6640625" style="2" customWidth="1"/>
    <col min="13583" max="13585" width="6" style="2" customWidth="1"/>
    <col min="13586" max="13824" width="9.109375" style="2"/>
    <col min="13825" max="13825" width="5.44140625" style="2" customWidth="1"/>
    <col min="13826" max="13836" width="7.6640625" style="2" customWidth="1"/>
    <col min="13837" max="13837" width="7.5546875" style="2" customWidth="1"/>
    <col min="13838" max="13838" width="7.6640625" style="2" customWidth="1"/>
    <col min="13839" max="13841" width="6" style="2" customWidth="1"/>
    <col min="13842" max="14080" width="9.109375" style="2"/>
    <col min="14081" max="14081" width="5.44140625" style="2" customWidth="1"/>
    <col min="14082" max="14092" width="7.6640625" style="2" customWidth="1"/>
    <col min="14093" max="14093" width="7.5546875" style="2" customWidth="1"/>
    <col min="14094" max="14094" width="7.6640625" style="2" customWidth="1"/>
    <col min="14095" max="14097" width="6" style="2" customWidth="1"/>
    <col min="14098" max="14336" width="9.109375" style="2"/>
    <col min="14337" max="14337" width="5.44140625" style="2" customWidth="1"/>
    <col min="14338" max="14348" width="7.6640625" style="2" customWidth="1"/>
    <col min="14349" max="14349" width="7.5546875" style="2" customWidth="1"/>
    <col min="14350" max="14350" width="7.6640625" style="2" customWidth="1"/>
    <col min="14351" max="14353" width="6" style="2" customWidth="1"/>
    <col min="14354" max="14592" width="9.109375" style="2"/>
    <col min="14593" max="14593" width="5.44140625" style="2" customWidth="1"/>
    <col min="14594" max="14604" width="7.6640625" style="2" customWidth="1"/>
    <col min="14605" max="14605" width="7.5546875" style="2" customWidth="1"/>
    <col min="14606" max="14606" width="7.6640625" style="2" customWidth="1"/>
    <col min="14607" max="14609" width="6" style="2" customWidth="1"/>
    <col min="14610" max="14848" width="9.109375" style="2"/>
    <col min="14849" max="14849" width="5.44140625" style="2" customWidth="1"/>
    <col min="14850" max="14860" width="7.6640625" style="2" customWidth="1"/>
    <col min="14861" max="14861" width="7.5546875" style="2" customWidth="1"/>
    <col min="14862" max="14862" width="7.6640625" style="2" customWidth="1"/>
    <col min="14863" max="14865" width="6" style="2" customWidth="1"/>
    <col min="14866" max="15104" width="9.109375" style="2"/>
    <col min="15105" max="15105" width="5.44140625" style="2" customWidth="1"/>
    <col min="15106" max="15116" width="7.6640625" style="2" customWidth="1"/>
    <col min="15117" max="15117" width="7.5546875" style="2" customWidth="1"/>
    <col min="15118" max="15118" width="7.6640625" style="2" customWidth="1"/>
    <col min="15119" max="15121" width="6" style="2" customWidth="1"/>
    <col min="15122" max="15360" width="9.109375" style="2"/>
    <col min="15361" max="15361" width="5.44140625" style="2" customWidth="1"/>
    <col min="15362" max="15372" width="7.6640625" style="2" customWidth="1"/>
    <col min="15373" max="15373" width="7.5546875" style="2" customWidth="1"/>
    <col min="15374" max="15374" width="7.6640625" style="2" customWidth="1"/>
    <col min="15375" max="15377" width="6" style="2" customWidth="1"/>
    <col min="15378" max="15616" width="9.109375" style="2"/>
    <col min="15617" max="15617" width="5.44140625" style="2" customWidth="1"/>
    <col min="15618" max="15628" width="7.6640625" style="2" customWidth="1"/>
    <col min="15629" max="15629" width="7.5546875" style="2" customWidth="1"/>
    <col min="15630" max="15630" width="7.6640625" style="2" customWidth="1"/>
    <col min="15631" max="15633" width="6" style="2" customWidth="1"/>
    <col min="15634" max="15872" width="9.109375" style="2"/>
    <col min="15873" max="15873" width="5.44140625" style="2" customWidth="1"/>
    <col min="15874" max="15884" width="7.6640625" style="2" customWidth="1"/>
    <col min="15885" max="15885" width="7.5546875" style="2" customWidth="1"/>
    <col min="15886" max="15886" width="7.6640625" style="2" customWidth="1"/>
    <col min="15887" max="15889" width="6" style="2" customWidth="1"/>
    <col min="15890" max="16128" width="9.109375" style="2"/>
    <col min="16129" max="16129" width="5.44140625" style="2" customWidth="1"/>
    <col min="16130" max="16140" width="7.6640625" style="2" customWidth="1"/>
    <col min="16141" max="16141" width="7.5546875" style="2" customWidth="1"/>
    <col min="16142" max="16142" width="7.6640625" style="2" customWidth="1"/>
    <col min="16143" max="16145" width="6" style="2" customWidth="1"/>
    <col min="16146" max="16384" width="9.109375" style="2"/>
  </cols>
  <sheetData>
    <row r="1" spans="1:57" customFormat="1" ht="14.4" x14ac:dyDescent="0.3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T1" s="104" t="s">
        <v>33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M1" s="104" t="s">
        <v>33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</row>
    <row r="2" spans="1:57" customFormat="1" ht="14.4" x14ac:dyDescent="0.3">
      <c r="A2" s="104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T2" s="104" t="s">
        <v>34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M2" s="104" t="s">
        <v>34</v>
      </c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</row>
    <row r="3" spans="1:57" customFormat="1" ht="14.4" x14ac:dyDescent="0.3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T3" s="105" t="s">
        <v>35</v>
      </c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M3" s="105" t="s">
        <v>35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</row>
    <row r="4" spans="1:57" customFormat="1" ht="15" thickBot="1" x14ac:dyDescent="0.35">
      <c r="A4" s="106" t="s">
        <v>36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T4" s="106" t="s">
        <v>36</v>
      </c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M4" s="106" t="s">
        <v>36</v>
      </c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</row>
    <row r="5" spans="1:57" customFormat="1" ht="6.75" customHeight="1" x14ac:dyDescent="0.3">
      <c r="A5" s="34"/>
      <c r="B5" s="34"/>
      <c r="C5" s="34"/>
      <c r="D5" s="34"/>
      <c r="E5" s="34"/>
      <c r="F5" s="34"/>
      <c r="T5" s="34"/>
      <c r="U5" s="34"/>
      <c r="V5" s="34"/>
      <c r="W5" s="34"/>
      <c r="X5" s="34"/>
      <c r="Y5" s="34"/>
      <c r="AM5" s="34"/>
      <c r="AN5" s="34"/>
      <c r="AO5" s="34"/>
      <c r="AP5" s="34"/>
      <c r="AQ5" s="34"/>
      <c r="AR5" s="34"/>
    </row>
    <row r="6" spans="1:57" customFormat="1" ht="14.4" x14ac:dyDescent="0.3">
      <c r="A6" s="107" t="s">
        <v>45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T6" s="107" t="s">
        <v>47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M6" s="107" t="s">
        <v>48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</row>
    <row r="7" spans="1:57" customFormat="1" ht="14.25" customHeight="1" x14ac:dyDescent="0.3">
      <c r="A7" s="103" t="s">
        <v>46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T7" s="103" t="s">
        <v>46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M7" s="103" t="s">
        <v>46</v>
      </c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7" customFormat="1" ht="7.5" customHeight="1" x14ac:dyDescent="0.3"/>
    <row r="9" spans="1:57" customFormat="1" ht="14.4" x14ac:dyDescent="0.3">
      <c r="A9" s="35" t="s">
        <v>37</v>
      </c>
      <c r="B9" s="35"/>
      <c r="C9" s="36" t="s">
        <v>38</v>
      </c>
      <c r="T9" s="35" t="s">
        <v>37</v>
      </c>
      <c r="U9" s="35"/>
      <c r="V9" s="36" t="s">
        <v>38</v>
      </c>
      <c r="AM9" s="35" t="s">
        <v>37</v>
      </c>
      <c r="AN9" s="35"/>
      <c r="AO9" s="36" t="s">
        <v>38</v>
      </c>
    </row>
    <row r="10" spans="1:57" customFormat="1" ht="14.4" x14ac:dyDescent="0.3">
      <c r="A10" t="s">
        <v>39</v>
      </c>
      <c r="B10" s="35"/>
      <c r="C10" t="s">
        <v>40</v>
      </c>
      <c r="T10" t="s">
        <v>39</v>
      </c>
      <c r="U10" s="35"/>
      <c r="V10" t="s">
        <v>40</v>
      </c>
      <c r="AM10" t="s">
        <v>39</v>
      </c>
      <c r="AN10" s="35"/>
      <c r="AO10" t="s">
        <v>40</v>
      </c>
    </row>
    <row r="11" spans="1:57" customFormat="1" ht="14.4" x14ac:dyDescent="0.3">
      <c r="A11" t="s">
        <v>41</v>
      </c>
      <c r="C11" t="s">
        <v>42</v>
      </c>
      <c r="E11" s="37" t="s">
        <v>43</v>
      </c>
      <c r="F11" s="38" t="s">
        <v>44</v>
      </c>
      <c r="T11" t="s">
        <v>41</v>
      </c>
      <c r="V11" t="s">
        <v>42</v>
      </c>
      <c r="X11" s="37" t="s">
        <v>43</v>
      </c>
      <c r="Y11" s="38" t="s">
        <v>44</v>
      </c>
      <c r="AM11" t="s">
        <v>41</v>
      </c>
      <c r="AO11" t="s">
        <v>42</v>
      </c>
      <c r="AQ11" s="37" t="s">
        <v>43</v>
      </c>
      <c r="AR11" s="38" t="s">
        <v>44</v>
      </c>
    </row>
    <row r="12" spans="1:57" ht="9" customHeight="1" thickBot="1" x14ac:dyDescent="0.3">
      <c r="F12" s="3"/>
      <c r="G12" s="3"/>
      <c r="H12" s="3"/>
      <c r="I12" s="3"/>
      <c r="J12" s="3"/>
      <c r="K12" s="3"/>
      <c r="L12" s="3"/>
      <c r="T12" s="1"/>
      <c r="Y12" s="3"/>
      <c r="Z12" s="3"/>
      <c r="AA12" s="3"/>
      <c r="AB12" s="3"/>
      <c r="AC12" s="3"/>
      <c r="AD12" s="3"/>
      <c r="AE12" s="3"/>
      <c r="AM12" s="1"/>
      <c r="AO12" s="2"/>
      <c r="AP12" s="2"/>
      <c r="AQ12" s="2"/>
      <c r="AR12" s="3"/>
      <c r="AS12" s="3"/>
      <c r="AT12" s="3"/>
      <c r="AU12" s="3"/>
      <c r="AV12" s="3"/>
      <c r="AW12" s="3"/>
      <c r="AX12" s="3"/>
      <c r="AY12" s="2"/>
      <c r="AZ12" s="2"/>
      <c r="BA12" s="2"/>
    </row>
    <row r="13" spans="1:57" ht="14.25" customHeight="1" thickTop="1" x14ac:dyDescent="0.25">
      <c r="A13" s="99" t="s">
        <v>8</v>
      </c>
      <c r="B13" s="101" t="s">
        <v>9</v>
      </c>
      <c r="C13" s="101" t="s">
        <v>10</v>
      </c>
      <c r="D13" s="101" t="s">
        <v>11</v>
      </c>
      <c r="E13" s="101" t="s">
        <v>12</v>
      </c>
      <c r="F13" s="101" t="s">
        <v>13</v>
      </c>
      <c r="G13" s="101" t="s">
        <v>14</v>
      </c>
      <c r="H13" s="101" t="s">
        <v>15</v>
      </c>
      <c r="I13" s="101" t="s">
        <v>16</v>
      </c>
      <c r="J13" s="101" t="s">
        <v>17</v>
      </c>
      <c r="K13" s="101" t="s">
        <v>18</v>
      </c>
      <c r="L13" s="101" t="s">
        <v>19</v>
      </c>
      <c r="M13" s="101" t="s">
        <v>20</v>
      </c>
      <c r="N13" s="101" t="s">
        <v>21</v>
      </c>
      <c r="O13" s="97" t="s">
        <v>22</v>
      </c>
      <c r="P13" s="97" t="s">
        <v>23</v>
      </c>
      <c r="Q13" s="101" t="s">
        <v>24</v>
      </c>
      <c r="T13" s="99" t="s">
        <v>8</v>
      </c>
      <c r="U13" s="101" t="s">
        <v>9</v>
      </c>
      <c r="V13" s="101" t="s">
        <v>10</v>
      </c>
      <c r="W13" s="101" t="s">
        <v>11</v>
      </c>
      <c r="X13" s="101" t="s">
        <v>12</v>
      </c>
      <c r="Y13" s="101" t="s">
        <v>13</v>
      </c>
      <c r="Z13" s="101" t="s">
        <v>14</v>
      </c>
      <c r="AA13" s="101" t="s">
        <v>15</v>
      </c>
      <c r="AB13" s="101" t="s">
        <v>16</v>
      </c>
      <c r="AC13" s="101" t="s">
        <v>17</v>
      </c>
      <c r="AD13" s="101" t="s">
        <v>18</v>
      </c>
      <c r="AE13" s="101" t="s">
        <v>19</v>
      </c>
      <c r="AF13" s="101" t="s">
        <v>20</v>
      </c>
      <c r="AG13" s="101" t="s">
        <v>21</v>
      </c>
      <c r="AH13" s="97" t="s">
        <v>22</v>
      </c>
      <c r="AI13" s="97" t="s">
        <v>23</v>
      </c>
      <c r="AJ13" s="101" t="s">
        <v>24</v>
      </c>
      <c r="AM13" s="99" t="s">
        <v>8</v>
      </c>
      <c r="AN13" s="101" t="s">
        <v>9</v>
      </c>
      <c r="AO13" s="101" t="s">
        <v>10</v>
      </c>
      <c r="AP13" s="101" t="s">
        <v>11</v>
      </c>
      <c r="AQ13" s="101" t="s">
        <v>12</v>
      </c>
      <c r="AR13" s="101" t="s">
        <v>13</v>
      </c>
      <c r="AS13" s="101" t="s">
        <v>14</v>
      </c>
      <c r="AT13" s="101" t="s">
        <v>15</v>
      </c>
      <c r="AU13" s="101" t="s">
        <v>16</v>
      </c>
      <c r="AV13" s="101" t="s">
        <v>17</v>
      </c>
      <c r="AW13" s="101" t="s">
        <v>18</v>
      </c>
      <c r="AX13" s="101" t="s">
        <v>19</v>
      </c>
      <c r="AY13" s="101" t="s">
        <v>20</v>
      </c>
      <c r="AZ13" s="101" t="s">
        <v>21</v>
      </c>
      <c r="BA13" s="97" t="s">
        <v>22</v>
      </c>
      <c r="BB13" s="97" t="s">
        <v>23</v>
      </c>
      <c r="BC13" s="101" t="s">
        <v>24</v>
      </c>
    </row>
    <row r="14" spans="1:57" ht="14.25" customHeight="1" thickBot="1" x14ac:dyDescent="0.3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98"/>
      <c r="P14" s="98"/>
      <c r="Q14" s="102"/>
      <c r="R14" s="8"/>
      <c r="S14" s="8"/>
      <c r="T14" s="100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98"/>
      <c r="AI14" s="98"/>
      <c r="AJ14" s="102"/>
      <c r="AK14" s="8"/>
      <c r="AL14" s="8"/>
      <c r="AM14" s="100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98"/>
      <c r="BB14" s="98"/>
      <c r="BC14" s="102"/>
      <c r="BD14" s="8"/>
      <c r="BE14" s="8"/>
    </row>
    <row r="15" spans="1:57" ht="14.25" customHeight="1" thickTop="1" x14ac:dyDescent="0.25">
      <c r="A15" s="10">
        <v>1</v>
      </c>
      <c r="B15" s="11">
        <f>'[7]input data'!E6</f>
        <v>22.1</v>
      </c>
      <c r="C15" s="11">
        <f>'[7]input data'!E7</f>
        <v>24.3</v>
      </c>
      <c r="D15" s="11">
        <f>'[7]input data'!E8</f>
        <v>26.2</v>
      </c>
      <c r="E15" s="11">
        <f>'[7]input data'!E9</f>
        <v>28.2</v>
      </c>
      <c r="F15" s="11">
        <f>'[7]input data'!E10</f>
        <v>29.4</v>
      </c>
      <c r="G15" s="11">
        <f>'[7]input data'!E11</f>
        <v>30.1</v>
      </c>
      <c r="H15" s="11">
        <f>'[7]input data'!E12</f>
        <v>31.1</v>
      </c>
      <c r="I15" s="11">
        <f>'[7]input data'!E13</f>
        <v>30</v>
      </c>
      <c r="J15" s="11">
        <f>'[7]input data'!E14</f>
        <v>29.8</v>
      </c>
      <c r="K15" s="11">
        <f>'[7]input data'!E15</f>
        <v>29.8</v>
      </c>
      <c r="L15" s="11">
        <f>'[7]input data'!E16</f>
        <v>28.4</v>
      </c>
      <c r="M15" s="11">
        <f>'[7]input data'!E17</f>
        <v>27.1</v>
      </c>
      <c r="N15" s="11">
        <f>'[7]input data'!E18</f>
        <v>26.2</v>
      </c>
      <c r="O15" s="12">
        <f t="shared" ref="O15:O45" si="0">MAX(B15:N15)</f>
        <v>31.1</v>
      </c>
      <c r="P15" s="13">
        <f t="shared" ref="P15:P45" si="1">MIN(B15:N15)</f>
        <v>22.1</v>
      </c>
      <c r="Q15" s="14">
        <f>AVERAGE(B15:N15)</f>
        <v>27.9</v>
      </c>
      <c r="T15" s="10">
        <v>1</v>
      </c>
      <c r="U15" s="11">
        <f>INDEX('[7]input data'!$F$1:$F$1108,U64,1)</f>
        <v>20.5</v>
      </c>
      <c r="V15" s="11">
        <f>INDEX('[7]input data'!$F$1:$F$1108,V64,1)</f>
        <v>21.8</v>
      </c>
      <c r="W15" s="11">
        <f>INDEX('[7]input data'!$F$1:$F$1108,W64,1)</f>
        <v>22.9</v>
      </c>
      <c r="X15" s="11">
        <f>INDEX('[7]input data'!$F$1:$F$1108,X64,1)</f>
        <v>23.5</v>
      </c>
      <c r="Y15" s="11">
        <f>INDEX('[7]input data'!$F$1:$F$1108,Y64,1)</f>
        <v>24</v>
      </c>
      <c r="Z15" s="11">
        <f>INDEX('[7]input data'!$F$1:$F$1108,Z64,1)</f>
        <v>23.8</v>
      </c>
      <c r="AA15" s="11">
        <f>INDEX('[7]input data'!$F$1:$F$1108,AA64,1)</f>
        <v>24.7</v>
      </c>
      <c r="AB15" s="11">
        <f>INDEX('[7]input data'!$F$1:$F$1108,AB64,1)</f>
        <v>23.8</v>
      </c>
      <c r="AC15" s="11">
        <f>INDEX('[7]input data'!$F$1:$F$1108,AC64,1)</f>
        <v>24.2</v>
      </c>
      <c r="AD15" s="11">
        <f>INDEX('[7]input data'!$F$1:$F$1108,AD64,1)</f>
        <v>24.4</v>
      </c>
      <c r="AE15" s="11">
        <f>INDEX('[7]input data'!$F$1:$F$1108,AE64,1)</f>
        <v>24</v>
      </c>
      <c r="AF15" s="11">
        <f>INDEX('[7]input data'!$F$1:$F$1108,AF64,1)</f>
        <v>23.1</v>
      </c>
      <c r="AG15" s="11">
        <f>INDEX('[7]input data'!$F$1:$F$1108,AG64,1)</f>
        <v>23</v>
      </c>
      <c r="AH15" s="12">
        <f t="shared" ref="AH15:AH45" si="2">MAX(U15:AG15)</f>
        <v>24.7</v>
      </c>
      <c r="AI15" s="13">
        <f t="shared" ref="AI15:AI45" si="3">MIN(U15:AG15)</f>
        <v>20.5</v>
      </c>
      <c r="AJ15" s="14">
        <f>AVERAGE(U15:AG15)</f>
        <v>23.361538461538466</v>
      </c>
      <c r="AM15" s="10">
        <v>1</v>
      </c>
      <c r="AN15" s="11">
        <f>INDEX('[7]input data'!$G$1:$G$1108,AO64,1)</f>
        <v>19.524267134911941</v>
      </c>
      <c r="AO15" s="11">
        <f>INDEX('[7]input data'!$G$1:$G$1108,AP64,1)</f>
        <v>20.41058687426267</v>
      </c>
      <c r="AP15" s="11">
        <f>INDEX('[7]input data'!$G$1:$G$1108,AQ64,1)</f>
        <v>21.181401935232739</v>
      </c>
      <c r="AQ15" s="11">
        <f>INDEX('[7]input data'!$G$1:$G$1108,AR64,1)</f>
        <v>21.128854633992113</v>
      </c>
      <c r="AR15" s="11">
        <f>INDEX('[7]input data'!$G$1:$G$1108,AS64,1)</f>
        <v>21.339773119354938</v>
      </c>
      <c r="AS15" s="11">
        <f>INDEX('[7]input data'!$G$1:$G$1108,AT64,1)</f>
        <v>20.641961104336122</v>
      </c>
      <c r="AT15" s="11">
        <f>INDEX('[7]input data'!$G$1:$G$1108,AU64,1)</f>
        <v>21.645995413462281</v>
      </c>
      <c r="AU15" s="11">
        <f>INDEX('[7]input data'!$G$1:$G$1108,AV64,1)</f>
        <v>20.694608390520273</v>
      </c>
      <c r="AV15" s="11">
        <f>INDEX('[7]input data'!$G$1:$G$1108,AW64,1)</f>
        <v>21.468033312860303</v>
      </c>
      <c r="AW15" s="11">
        <f>INDEX('[7]input data'!$G$1:$G$1108,AX64,1)</f>
        <v>21.797098187157214</v>
      </c>
      <c r="AX15" s="11">
        <f>INDEX('[7]input data'!$G$1:$G$1108,AY64,1)</f>
        <v>21.840832967532137</v>
      </c>
      <c r="AY15" s="11">
        <f>INDEX('[7]input data'!$G$1:$G$1108,AZ64,1)</f>
        <v>21.041559299292931</v>
      </c>
      <c r="AZ15" s="11">
        <f>INDEX('[7]input data'!$G$1:$G$1108,BA64,1)</f>
        <v>21.341225833058971</v>
      </c>
      <c r="BA15" s="12">
        <f t="shared" ref="BA15:BA45" si="4">MAX(AN15:AZ15)</f>
        <v>21.840832967532137</v>
      </c>
      <c r="BB15" s="13">
        <f t="shared" ref="BB15:BB45" si="5">MIN(AN15:AZ15)</f>
        <v>19.524267134911941</v>
      </c>
      <c r="BC15" s="14">
        <f>AVERAGE(AN15:AZ15)</f>
        <v>21.081246015844201</v>
      </c>
    </row>
    <row r="16" spans="1:57" ht="14.25" customHeight="1" x14ac:dyDescent="0.25">
      <c r="A16" s="15">
        <v>2</v>
      </c>
      <c r="B16" s="11">
        <f>'[7]input data'!E42</f>
        <v>22.8</v>
      </c>
      <c r="C16" s="11">
        <f>'[7]input data'!E43</f>
        <v>24.6</v>
      </c>
      <c r="D16" s="11">
        <f>'[7]input data'!E44</f>
        <v>26.4</v>
      </c>
      <c r="E16" s="11">
        <f>'[7]input data'!E45</f>
        <v>28.2</v>
      </c>
      <c r="F16" s="11">
        <f>'[7]input data'!E46</f>
        <v>29.4</v>
      </c>
      <c r="G16" s="11">
        <f>'[7]input data'!E47</f>
        <v>30</v>
      </c>
      <c r="H16" s="11">
        <f>'[7]input data'!E48</f>
        <v>30</v>
      </c>
      <c r="I16" s="11">
        <f>'[7]input data'!E49</f>
        <v>29.3</v>
      </c>
      <c r="J16" s="11">
        <f>'[7]input data'!E50</f>
        <v>26.6</v>
      </c>
      <c r="K16" s="11">
        <f>'[7]input data'!E51</f>
        <v>27</v>
      </c>
      <c r="L16" s="11">
        <f>'[7]input data'!E52</f>
        <v>26.8</v>
      </c>
      <c r="M16" s="11">
        <f>'[7]input data'!E53</f>
        <v>26.2</v>
      </c>
      <c r="N16" s="11">
        <f>'[7]input data'!E54</f>
        <v>26</v>
      </c>
      <c r="O16" s="12">
        <f t="shared" si="0"/>
        <v>30</v>
      </c>
      <c r="P16" s="13">
        <f t="shared" si="1"/>
        <v>22.8</v>
      </c>
      <c r="Q16" s="16">
        <f t="shared" ref="Q16:Q45" si="6">AVERAGE(B16:N16)</f>
        <v>27.176923076923078</v>
      </c>
      <c r="T16" s="15">
        <v>2</v>
      </c>
      <c r="U16" s="11">
        <f>INDEX('[7]input data'!$F$1:$F$1108,U65,1)</f>
        <v>20.8</v>
      </c>
      <c r="V16" s="11">
        <f>INDEX('[7]input data'!$F$1:$F$1108,V65,1)</f>
        <v>22.8</v>
      </c>
      <c r="W16" s="11">
        <f>INDEX('[7]input data'!$F$1:$F$1108,W65,1)</f>
        <v>23.6</v>
      </c>
      <c r="X16" s="11">
        <f>INDEX('[7]input data'!$F$1:$F$1108,X65,1)</f>
        <v>24</v>
      </c>
      <c r="Y16" s="11">
        <f>INDEX('[7]input data'!$F$1:$F$1108,Y65,1)</f>
        <v>24.4</v>
      </c>
      <c r="Z16" s="11">
        <f>INDEX('[7]input data'!$F$1:$F$1108,Z65,1)</f>
        <v>24.6</v>
      </c>
      <c r="AA16" s="11">
        <f>INDEX('[7]input data'!$F$1:$F$1108,AA65,1)</f>
        <v>25.4</v>
      </c>
      <c r="AB16" s="11">
        <f>INDEX('[7]input data'!$F$1:$F$1108,AB65,1)</f>
        <v>25.5</v>
      </c>
      <c r="AC16" s="11">
        <f>INDEX('[7]input data'!$F$1:$F$1108,AC65,1)</f>
        <v>24.7</v>
      </c>
      <c r="AD16" s="11">
        <f>INDEX('[7]input data'!$F$1:$F$1108,AD65,1)</f>
        <v>25.2</v>
      </c>
      <c r="AE16" s="11">
        <f>INDEX('[7]input data'!$F$1:$F$1108,AE65,1)</f>
        <v>24.6</v>
      </c>
      <c r="AF16" s="11">
        <f>INDEX('[7]input data'!$F$1:$F$1108,AF65,1)</f>
        <v>24.2</v>
      </c>
      <c r="AG16" s="11">
        <f>INDEX('[7]input data'!$F$1:$F$1108,AG65,1)</f>
        <v>24.2</v>
      </c>
      <c r="AH16" s="12">
        <f t="shared" si="2"/>
        <v>25.5</v>
      </c>
      <c r="AI16" s="13">
        <f t="shared" si="3"/>
        <v>20.8</v>
      </c>
      <c r="AJ16" s="16">
        <f t="shared" ref="AJ16:AJ45" si="7">AVERAGE(U16:AG16)</f>
        <v>24.15384615384615</v>
      </c>
      <c r="AM16" s="15">
        <v>2</v>
      </c>
      <c r="AN16" s="11">
        <f>INDEX('[7]input data'!$G$1:$G$1108,AO65,1)</f>
        <v>19.617175595604067</v>
      </c>
      <c r="AO16" s="11">
        <f>INDEX('[7]input data'!$G$1:$G$1108,AP65,1)</f>
        <v>21.829495781399554</v>
      </c>
      <c r="AP16" s="11">
        <f>INDEX('[7]input data'!$G$1:$G$1108,AQ65,1)</f>
        <v>22.18727787108098</v>
      </c>
      <c r="AQ16" s="11">
        <f>INDEX('[7]input data'!$G$1:$G$1108,AR65,1)</f>
        <v>21.939456220143654</v>
      </c>
      <c r="AR16" s="11">
        <f>INDEX('[7]input data'!$G$1:$G$1108,AS65,1)</f>
        <v>21.994290685744307</v>
      </c>
      <c r="AS16" s="11">
        <f>INDEX('[7]input data'!$G$1:$G$1108,AT65,1)</f>
        <v>22.025168782248613</v>
      </c>
      <c r="AT16" s="11">
        <f>INDEX('[7]input data'!$G$1:$G$1108,AU65,1)</f>
        <v>23.303296611588866</v>
      </c>
      <c r="AU16" s="11">
        <f>INDEX('[7]input data'!$G$1:$G$1108,AV65,1)</f>
        <v>23.774753479633578</v>
      </c>
      <c r="AV16" s="11">
        <f>INDEX('[7]input data'!$G$1:$G$1108,AW65,1)</f>
        <v>23.769810379525076</v>
      </c>
      <c r="AW16" s="11">
        <f>INDEX('[7]input data'!$G$1:$G$1108,AX65,1)</f>
        <v>24.335116740668042</v>
      </c>
      <c r="AX16" s="11">
        <f>INDEX('[7]input data'!$G$1:$G$1108,AY65,1)</f>
        <v>23.530193147412959</v>
      </c>
      <c r="AY16" s="11">
        <f>INDEX('[7]input data'!$G$1:$G$1108,AZ65,1)</f>
        <v>23.201256751926248</v>
      </c>
      <c r="AZ16" s="11">
        <f>INDEX('[7]input data'!$G$1:$G$1108,BA65,1)</f>
        <v>23.293034575471221</v>
      </c>
      <c r="BA16" s="12">
        <f t="shared" si="4"/>
        <v>24.335116740668042</v>
      </c>
      <c r="BB16" s="13">
        <f t="shared" si="5"/>
        <v>19.617175595604067</v>
      </c>
      <c r="BC16" s="16">
        <f t="shared" ref="BC16:BC45" si="8">AVERAGE(AN16:AZ16)</f>
        <v>22.676948201726702</v>
      </c>
    </row>
    <row r="17" spans="1:55" ht="14.25" customHeight="1" x14ac:dyDescent="0.25">
      <c r="A17" s="15">
        <v>3</v>
      </c>
      <c r="B17" s="11">
        <f>'[7]input data'!E78</f>
        <v>24.8</v>
      </c>
      <c r="C17" s="11">
        <f>'[7]input data'!E79</f>
        <v>26</v>
      </c>
      <c r="D17" s="11">
        <f>'[7]input data'!E80</f>
        <v>27.2</v>
      </c>
      <c r="E17" s="11">
        <f>'[7]input data'!E81</f>
        <v>28.6</v>
      </c>
      <c r="F17" s="11">
        <f>'[7]input data'!E82</f>
        <v>29.6</v>
      </c>
      <c r="G17" s="11">
        <f>'[7]input data'!E83</f>
        <v>31</v>
      </c>
      <c r="H17" s="11">
        <f>'[7]input data'!E84</f>
        <v>31.6</v>
      </c>
      <c r="I17" s="11">
        <f>'[7]input data'!E85</f>
        <v>31.4</v>
      </c>
      <c r="J17" s="11">
        <f>'[7]input data'!E86</f>
        <v>27.8</v>
      </c>
      <c r="K17" s="11">
        <f>'[7]input data'!E87</f>
        <v>27</v>
      </c>
      <c r="L17" s="11">
        <f>'[7]input data'!E88</f>
        <v>26.4</v>
      </c>
      <c r="M17" s="11">
        <f>'[7]input data'!E89</f>
        <v>26.2</v>
      </c>
      <c r="N17" s="11">
        <f>'[7]input data'!E90</f>
        <v>25.6</v>
      </c>
      <c r="O17" s="12">
        <f t="shared" si="0"/>
        <v>31.6</v>
      </c>
      <c r="P17" s="13">
        <f t="shared" si="1"/>
        <v>24.8</v>
      </c>
      <c r="Q17" s="16">
        <f t="shared" si="6"/>
        <v>27.938461538461539</v>
      </c>
      <c r="T17" s="15">
        <v>3</v>
      </c>
      <c r="U17" s="11">
        <f>INDEX('[7]input data'!$F$1:$F$1108,U66,1)</f>
        <v>24</v>
      </c>
      <c r="V17" s="11">
        <f>INDEX('[7]input data'!$F$1:$F$1108,V66,1)</f>
        <v>24.3</v>
      </c>
      <c r="W17" s="11">
        <f>INDEX('[7]input data'!$F$1:$F$1108,W66,1)</f>
        <v>24.5</v>
      </c>
      <c r="X17" s="11">
        <f>INDEX('[7]input data'!$F$1:$F$1108,X66,1)</f>
        <v>25</v>
      </c>
      <c r="Y17" s="11">
        <f>INDEX('[7]input data'!$F$1:$F$1108,Y66,1)</f>
        <v>25.5</v>
      </c>
      <c r="Z17" s="11">
        <f>INDEX('[7]input data'!$F$1:$F$1108,Z66,1)</f>
        <v>26</v>
      </c>
      <c r="AA17" s="11">
        <f>INDEX('[7]input data'!$F$1:$F$1108,AA66,1)</f>
        <v>25.8</v>
      </c>
      <c r="AB17" s="11">
        <f>INDEX('[7]input data'!$F$1:$F$1108,AB66,1)</f>
        <v>26.4</v>
      </c>
      <c r="AC17" s="11">
        <f>INDEX('[7]input data'!$F$1:$F$1108,AC66,1)</f>
        <v>25.6</v>
      </c>
      <c r="AD17" s="11">
        <f>INDEX('[7]input data'!$F$1:$F$1108,AD66,1)</f>
        <v>25.6</v>
      </c>
      <c r="AE17" s="11">
        <f>INDEX('[7]input data'!$F$1:$F$1108,AE66,1)</f>
        <v>25</v>
      </c>
      <c r="AF17" s="11">
        <f>INDEX('[7]input data'!$F$1:$F$1108,AF66,1)</f>
        <v>25</v>
      </c>
      <c r="AG17" s="11">
        <f>INDEX('[7]input data'!$F$1:$F$1108,AG66,1)</f>
        <v>24.6</v>
      </c>
      <c r="AH17" s="12">
        <f t="shared" si="2"/>
        <v>26.4</v>
      </c>
      <c r="AI17" s="13">
        <f t="shared" si="3"/>
        <v>24</v>
      </c>
      <c r="AJ17" s="16">
        <f t="shared" si="7"/>
        <v>25.176923076923082</v>
      </c>
      <c r="AM17" s="15">
        <v>3</v>
      </c>
      <c r="AN17" s="11">
        <f>INDEX('[7]input data'!$G$1:$G$1108,AO66,1)</f>
        <v>23.541582806104632</v>
      </c>
      <c r="AO17" s="11">
        <f>INDEX('[7]input data'!$G$1:$G$1108,AP66,1)</f>
        <v>23.442835009620829</v>
      </c>
      <c r="AP17" s="11">
        <f>INDEX('[7]input data'!$G$1:$G$1108,AQ66,1)</f>
        <v>23.196271327670441</v>
      </c>
      <c r="AQ17" s="11">
        <f>INDEX('[7]input data'!$G$1:$G$1108,AR66,1)</f>
        <v>23.321392650725961</v>
      </c>
      <c r="AR17" s="11">
        <f>INDEX('[7]input data'!$G$1:$G$1108,AS66,1)</f>
        <v>23.640370879653982</v>
      </c>
      <c r="AS17" s="11">
        <f>INDEX('[7]input data'!$G$1:$G$1108,AT66,1)</f>
        <v>23.79046980665996</v>
      </c>
      <c r="AT17" s="11">
        <f>INDEX('[7]input data'!$G$1:$G$1108,AU66,1)</f>
        <v>23.202598868629106</v>
      </c>
      <c r="AU17" s="11">
        <f>INDEX('[7]input data'!$G$1:$G$1108,AV66,1)</f>
        <v>24.236301083473421</v>
      </c>
      <c r="AV17" s="11">
        <f>INDEX('[7]input data'!$G$1:$G$1108,AW66,1)</f>
        <v>24.580817888895325</v>
      </c>
      <c r="AW17" s="11">
        <f>INDEX('[7]input data'!$G$1:$G$1108,AX66,1)</f>
        <v>24.920143789821459</v>
      </c>
      <c r="AX17" s="11">
        <f>INDEX('[7]input data'!$G$1:$G$1108,AY66,1)</f>
        <v>24.301383345836562</v>
      </c>
      <c r="AY17" s="11">
        <f>INDEX('[7]input data'!$G$1:$G$1108,AZ66,1)</f>
        <v>24.388027271235554</v>
      </c>
      <c r="AZ17" s="11">
        <f>INDEX('[7]input data'!$G$1:$G$1108,BA66,1)</f>
        <v>24.06513901073685</v>
      </c>
      <c r="BA17" s="12">
        <f t="shared" si="4"/>
        <v>24.920143789821459</v>
      </c>
      <c r="BB17" s="13">
        <f t="shared" si="5"/>
        <v>23.196271327670441</v>
      </c>
      <c r="BC17" s="16">
        <f t="shared" si="8"/>
        <v>23.894410287620317</v>
      </c>
    </row>
    <row r="18" spans="1:55" ht="14.25" customHeight="1" x14ac:dyDescent="0.25">
      <c r="A18" s="15">
        <v>4</v>
      </c>
      <c r="B18" s="11">
        <f>'[7]input data'!E114</f>
        <v>24.5</v>
      </c>
      <c r="C18" s="11">
        <f>'[7]input data'!E115</f>
        <v>25.5</v>
      </c>
      <c r="D18" s="11">
        <f>'[7]input data'!E116</f>
        <v>27.2</v>
      </c>
      <c r="E18" s="11">
        <f>'[7]input data'!E117</f>
        <v>28</v>
      </c>
      <c r="F18" s="11">
        <f>'[7]input data'!E118</f>
        <v>30.2</v>
      </c>
      <c r="G18" s="11">
        <f>'[7]input data'!E119</f>
        <v>30.9</v>
      </c>
      <c r="H18" s="11">
        <f>'[7]input data'!E120</f>
        <v>31</v>
      </c>
      <c r="I18" s="11">
        <f>'[7]input data'!E121</f>
        <v>31.8</v>
      </c>
      <c r="J18" s="11">
        <f>'[7]input data'!E122</f>
        <v>31.7</v>
      </c>
      <c r="K18" s="11">
        <f>'[7]input data'!E123</f>
        <v>31.8</v>
      </c>
      <c r="L18" s="11">
        <f>'[7]input data'!E124</f>
        <v>30</v>
      </c>
      <c r="M18" s="11">
        <f>'[7]input data'!E125</f>
        <v>28</v>
      </c>
      <c r="N18" s="11">
        <f>'[7]input data'!E126</f>
        <v>26.8</v>
      </c>
      <c r="O18" s="12">
        <f t="shared" si="0"/>
        <v>31.8</v>
      </c>
      <c r="P18" s="13">
        <f t="shared" si="1"/>
        <v>24.5</v>
      </c>
      <c r="Q18" s="16">
        <f t="shared" si="6"/>
        <v>29.030769230769234</v>
      </c>
      <c r="T18" s="15">
        <v>4</v>
      </c>
      <c r="U18" s="11">
        <f>INDEX('[7]input data'!$F$1:$F$1108,U67,1)</f>
        <v>23.8</v>
      </c>
      <c r="V18" s="11">
        <f>INDEX('[7]input data'!$F$1:$F$1108,V67,1)</f>
        <v>24</v>
      </c>
      <c r="W18" s="11">
        <f>INDEX('[7]input data'!$F$1:$F$1108,W67,1)</f>
        <v>25</v>
      </c>
      <c r="X18" s="11">
        <f>INDEX('[7]input data'!$F$1:$F$1108,X67,1)</f>
        <v>25.3</v>
      </c>
      <c r="Y18" s="11">
        <f>INDEX('[7]input data'!$F$1:$F$1108,Y67,1)</f>
        <v>25.5</v>
      </c>
      <c r="Z18" s="11">
        <f>INDEX('[7]input data'!$F$1:$F$1108,Z67,1)</f>
        <v>26</v>
      </c>
      <c r="AA18" s="11">
        <f>INDEX('[7]input data'!$F$1:$F$1108,AA67,1)</f>
        <v>25.6</v>
      </c>
      <c r="AB18" s="11">
        <f>INDEX('[7]input data'!$F$1:$F$1108,AB67,1)</f>
        <v>25.7</v>
      </c>
      <c r="AC18" s="11">
        <f>INDEX('[7]input data'!$F$1:$F$1108,AC67,1)</f>
        <v>25.8</v>
      </c>
      <c r="AD18" s="11">
        <f>INDEX('[7]input data'!$F$1:$F$1108,AD67,1)</f>
        <v>24.6</v>
      </c>
      <c r="AE18" s="11">
        <f>INDEX('[7]input data'!$F$1:$F$1108,AE67,1)</f>
        <v>26.4</v>
      </c>
      <c r="AF18" s="11">
        <f>INDEX('[7]input data'!$F$1:$F$1108,AF67,1)</f>
        <v>26.3</v>
      </c>
      <c r="AG18" s="11">
        <f>INDEX('[7]input data'!$F$1:$F$1108,AG67,1)</f>
        <v>25.7</v>
      </c>
      <c r="AH18" s="12">
        <f t="shared" si="2"/>
        <v>26.4</v>
      </c>
      <c r="AI18" s="13">
        <f t="shared" si="3"/>
        <v>23.8</v>
      </c>
      <c r="AJ18" s="16">
        <f t="shared" si="7"/>
        <v>25.361538461538462</v>
      </c>
      <c r="AM18" s="15">
        <v>4</v>
      </c>
      <c r="AN18" s="11">
        <f>INDEX('[7]input data'!$G$1:$G$1108,AO67,1)</f>
        <v>23.383347698406446</v>
      </c>
      <c r="AO18" s="11">
        <f>INDEX('[7]input data'!$G$1:$G$1108,AP67,1)</f>
        <v>23.222644384066268</v>
      </c>
      <c r="AP18" s="11">
        <f>INDEX('[7]input data'!$G$1:$G$1108,AQ67,1)</f>
        <v>23.950825647173037</v>
      </c>
      <c r="AQ18" s="11">
        <f>INDEX('[7]input data'!$G$1:$G$1108,AR67,1)</f>
        <v>24.04720732609967</v>
      </c>
      <c r="AR18" s="11">
        <f>INDEX('[7]input data'!$G$1:$G$1108,AS67,1)</f>
        <v>23.368723174366902</v>
      </c>
      <c r="AS18" s="11">
        <f>INDEX('[7]input data'!$G$1:$G$1108,AT67,1)</f>
        <v>23.835018908079892</v>
      </c>
      <c r="AT18" s="11">
        <f>INDEX('[7]input data'!$G$1:$G$1108,AU67,1)</f>
        <v>23.159866723625395</v>
      </c>
      <c r="AU18" s="11">
        <f>INDEX('[7]input data'!$G$1:$G$1108,AV67,1)</f>
        <v>22.94927055303986</v>
      </c>
      <c r="AV18" s="11">
        <f>INDEX('[7]input data'!$G$1:$G$1108,AW67,1)</f>
        <v>23.156541144087583</v>
      </c>
      <c r="AW18" s="11">
        <f>INDEX('[7]input data'!$G$1:$G$1108,AX67,1)</f>
        <v>21.1224845283541</v>
      </c>
      <c r="AX18" s="11">
        <f>INDEX('[7]input data'!$G$1:$G$1108,AY67,1)</f>
        <v>24.836802408045006</v>
      </c>
      <c r="AY18" s="11">
        <f>INDEX('[7]input data'!$G$1:$G$1108,AZ67,1)</f>
        <v>25.519291837086154</v>
      </c>
      <c r="AZ18" s="11">
        <f>INDEX('[7]input data'!$G$1:$G$1108,BA67,1)</f>
        <v>25.148253476740489</v>
      </c>
      <c r="BA18" s="12">
        <f t="shared" si="4"/>
        <v>25.519291837086154</v>
      </c>
      <c r="BB18" s="13">
        <f t="shared" si="5"/>
        <v>21.1224845283541</v>
      </c>
      <c r="BC18" s="16">
        <f t="shared" si="8"/>
        <v>23.669252139166986</v>
      </c>
    </row>
    <row r="19" spans="1:55" ht="14.25" customHeight="1" x14ac:dyDescent="0.25">
      <c r="A19" s="15">
        <v>5</v>
      </c>
      <c r="B19" s="11">
        <f>'[7]input data'!E150</f>
        <v>24.4</v>
      </c>
      <c r="C19" s="11">
        <f>'[7]input data'!E151</f>
        <v>26</v>
      </c>
      <c r="D19" s="11">
        <f>'[7]input data'!E152</f>
        <v>28.1</v>
      </c>
      <c r="E19" s="11">
        <f>'[7]input data'!E153</f>
        <v>30</v>
      </c>
      <c r="F19" s="11">
        <f>'[7]input data'!E154</f>
        <v>30.6</v>
      </c>
      <c r="G19" s="11">
        <f>'[7]input data'!E155</f>
        <v>31</v>
      </c>
      <c r="H19" s="11">
        <f>'[7]input data'!E156</f>
        <v>31.3</v>
      </c>
      <c r="I19" s="11">
        <f>'[7]input data'!E157</f>
        <v>31.1</v>
      </c>
      <c r="J19" s="11">
        <f>'[7]input data'!E158</f>
        <v>30.1</v>
      </c>
      <c r="K19" s="11">
        <f>'[7]input data'!E159</f>
        <v>29.7</v>
      </c>
      <c r="L19" s="11">
        <f>'[7]input data'!E160</f>
        <v>28.2</v>
      </c>
      <c r="M19" s="11">
        <f>'[7]input data'!E161</f>
        <v>27.2</v>
      </c>
      <c r="N19" s="11">
        <f>'[7]input data'!E162</f>
        <v>26.9</v>
      </c>
      <c r="O19" s="12">
        <f t="shared" si="0"/>
        <v>31.3</v>
      </c>
      <c r="P19" s="13">
        <f t="shared" si="1"/>
        <v>24.4</v>
      </c>
      <c r="Q19" s="16">
        <f t="shared" si="6"/>
        <v>28.815384615384612</v>
      </c>
      <c r="T19" s="15">
        <v>5</v>
      </c>
      <c r="U19" s="11">
        <f>INDEX('[7]input data'!$F$1:$F$1108,U68,1)</f>
        <v>23.1</v>
      </c>
      <c r="V19" s="11">
        <f>INDEX('[7]input data'!$F$1:$F$1108,V68,1)</f>
        <v>24</v>
      </c>
      <c r="W19" s="11">
        <f>INDEX('[7]input data'!$F$1:$F$1108,W68,1)</f>
        <v>24.9</v>
      </c>
      <c r="X19" s="11">
        <f>INDEX('[7]input data'!$F$1:$F$1108,X68,1)</f>
        <v>25.4</v>
      </c>
      <c r="Y19" s="11">
        <f>INDEX('[7]input data'!$F$1:$F$1108,Y68,1)</f>
        <v>25.6</v>
      </c>
      <c r="Z19" s="11">
        <f>INDEX('[7]input data'!$F$1:$F$1108,Z68,1)</f>
        <v>25.8</v>
      </c>
      <c r="AA19" s="11">
        <f>INDEX('[7]input data'!$F$1:$F$1108,AA68,1)</f>
        <v>26.1</v>
      </c>
      <c r="AB19" s="11">
        <f>INDEX('[7]input data'!$F$1:$F$1108,AB68,1)</f>
        <v>27.1</v>
      </c>
      <c r="AC19" s="11">
        <f>INDEX('[7]input data'!$F$1:$F$1108,AC68,1)</f>
        <v>25.9</v>
      </c>
      <c r="AD19" s="11">
        <f>INDEX('[7]input data'!$F$1:$F$1108,AD68,1)</f>
        <v>26</v>
      </c>
      <c r="AE19" s="11">
        <f>INDEX('[7]input data'!$F$1:$F$1108,AE68,1)</f>
        <v>25.7</v>
      </c>
      <c r="AF19" s="11">
        <f>INDEX('[7]input data'!$F$1:$F$1108,AF68,1)</f>
        <v>25.5</v>
      </c>
      <c r="AG19" s="11">
        <f>INDEX('[7]input data'!$F$1:$F$1108,AG68,1)</f>
        <v>25.4</v>
      </c>
      <c r="AH19" s="12">
        <f t="shared" si="2"/>
        <v>27.1</v>
      </c>
      <c r="AI19" s="13">
        <f t="shared" si="3"/>
        <v>23.1</v>
      </c>
      <c r="AJ19" s="16">
        <f t="shared" si="7"/>
        <v>25.423076923076923</v>
      </c>
      <c r="AM19" s="15">
        <v>5</v>
      </c>
      <c r="AN19" s="11">
        <f>INDEX('[7]input data'!$G$1:$G$1108,AO68,1)</f>
        <v>22.385268849511704</v>
      </c>
      <c r="AO19" s="11">
        <f>INDEX('[7]input data'!$G$1:$G$1108,AP68,1)</f>
        <v>22.991501967304046</v>
      </c>
      <c r="AP19" s="11">
        <f>INDEX('[7]input data'!$G$1:$G$1108,AQ68,1)</f>
        <v>23.395752252487867</v>
      </c>
      <c r="AQ19" s="11">
        <f>INDEX('[7]input data'!$G$1:$G$1108,AR68,1)</f>
        <v>23.303296611588866</v>
      </c>
      <c r="AR19" s="11">
        <f>INDEX('[7]input data'!$G$1:$G$1108,AS68,1)</f>
        <v>23.343395747115117</v>
      </c>
      <c r="AS19" s="11">
        <f>INDEX('[7]input data'!$G$1:$G$1108,AT68,1)</f>
        <v>23.476621444388034</v>
      </c>
      <c r="AT19" s="11">
        <f>INDEX('[7]input data'!$G$1:$G$1108,AU68,1)</f>
        <v>23.813153236217548</v>
      </c>
      <c r="AU19" s="11">
        <f>INDEX('[7]input data'!$G$1:$G$1108,AV68,1)</f>
        <v>25.427593939938845</v>
      </c>
      <c r="AV19" s="11">
        <f>INDEX('[7]input data'!$G$1:$G$1108,AW68,1)</f>
        <v>24.034386138060192</v>
      </c>
      <c r="AW19" s="11">
        <f>INDEX('[7]input data'!$G$1:$G$1108,AX68,1)</f>
        <v>24.361649825750867</v>
      </c>
      <c r="AX19" s="11">
        <f>INDEX('[7]input data'!$G$1:$G$1108,AY68,1)</f>
        <v>24.557601385913394</v>
      </c>
      <c r="AY19" s="11">
        <f>INDEX('[7]input data'!$G$1:$G$1108,AZ68,1)</f>
        <v>24.689836838031059</v>
      </c>
      <c r="AZ19" s="11">
        <f>INDEX('[7]input data'!$G$1:$G$1108,BA68,1)</f>
        <v>24.671423157602952</v>
      </c>
      <c r="BA19" s="12">
        <f t="shared" si="4"/>
        <v>25.427593939938845</v>
      </c>
      <c r="BB19" s="13">
        <f t="shared" si="5"/>
        <v>22.385268849511704</v>
      </c>
      <c r="BC19" s="16">
        <f t="shared" si="8"/>
        <v>23.88088318414696</v>
      </c>
    </row>
    <row r="20" spans="1:55" ht="14.25" customHeight="1" x14ac:dyDescent="0.25">
      <c r="A20" s="15">
        <v>6</v>
      </c>
      <c r="B20" s="11">
        <f>'[7]input data'!E186</f>
        <v>24.2</v>
      </c>
      <c r="C20" s="11">
        <f>'[7]input data'!E187</f>
        <v>25.8</v>
      </c>
      <c r="D20" s="11">
        <f>'[7]input data'!E188</f>
        <v>27.4</v>
      </c>
      <c r="E20" s="11">
        <f>'[7]input data'!E189</f>
        <v>28.3</v>
      </c>
      <c r="F20" s="11">
        <f>'[7]input data'!E190</f>
        <v>27.6</v>
      </c>
      <c r="G20" s="11">
        <f>'[7]input data'!E191</f>
        <v>29.2</v>
      </c>
      <c r="H20" s="11">
        <f>'[7]input data'!E192</f>
        <v>29.3</v>
      </c>
      <c r="I20" s="11">
        <f>'[7]input data'!E193</f>
        <v>29.6</v>
      </c>
      <c r="J20" s="11">
        <f>'[7]input data'!E194</f>
        <v>26.4</v>
      </c>
      <c r="K20" s="11">
        <f>'[7]input data'!E195</f>
        <v>27.2</v>
      </c>
      <c r="L20" s="11">
        <f>'[7]input data'!E196</f>
        <v>26.8</v>
      </c>
      <c r="M20" s="11">
        <f>'[7]input data'!E197</f>
        <v>26.4</v>
      </c>
      <c r="N20" s="11">
        <f>'[7]input data'!E198</f>
        <v>25.5</v>
      </c>
      <c r="O20" s="12">
        <f t="shared" si="0"/>
        <v>29.6</v>
      </c>
      <c r="P20" s="13">
        <f t="shared" si="1"/>
        <v>24.2</v>
      </c>
      <c r="Q20" s="16">
        <f t="shared" si="6"/>
        <v>27.207692307692305</v>
      </c>
      <c r="T20" s="15">
        <v>6</v>
      </c>
      <c r="U20" s="11">
        <f>INDEX('[7]input data'!$F$1:$F$1108,U69,1)</f>
        <v>23</v>
      </c>
      <c r="V20" s="11">
        <f>INDEX('[7]input data'!$F$1:$F$1108,V69,1)</f>
        <v>24.1</v>
      </c>
      <c r="W20" s="11">
        <f>INDEX('[7]input data'!$F$1:$F$1108,W69,1)</f>
        <v>24.4</v>
      </c>
      <c r="X20" s="11">
        <f>INDEX('[7]input data'!$F$1:$F$1108,X69,1)</f>
        <v>24.9</v>
      </c>
      <c r="Y20" s="11">
        <f>INDEX('[7]input data'!$F$1:$F$1108,Y69,1)</f>
        <v>24.8</v>
      </c>
      <c r="Z20" s="11">
        <f>INDEX('[7]input data'!$F$1:$F$1108,Z69,1)</f>
        <v>25</v>
      </c>
      <c r="AA20" s="11">
        <f>INDEX('[7]input data'!$F$1:$F$1108,AA69,1)</f>
        <v>25</v>
      </c>
      <c r="AB20" s="11">
        <f>INDEX('[7]input data'!$F$1:$F$1108,AB69,1)</f>
        <v>25</v>
      </c>
      <c r="AC20" s="11">
        <f>INDEX('[7]input data'!$F$1:$F$1108,AC69,1)</f>
        <v>24.5</v>
      </c>
      <c r="AD20" s="11">
        <f>INDEX('[7]input data'!$F$1:$F$1108,AD69,1)</f>
        <v>24.8</v>
      </c>
      <c r="AE20" s="11">
        <f>INDEX('[7]input data'!$F$1:$F$1108,AE69,1)</f>
        <v>24.6</v>
      </c>
      <c r="AF20" s="11">
        <f>INDEX('[7]input data'!$F$1:$F$1108,AF69,1)</f>
        <v>24.4</v>
      </c>
      <c r="AG20" s="11">
        <f>INDEX('[7]input data'!$F$1:$F$1108,AG69,1)</f>
        <v>24.2</v>
      </c>
      <c r="AH20" s="12">
        <f t="shared" si="2"/>
        <v>25</v>
      </c>
      <c r="AI20" s="13">
        <f t="shared" si="3"/>
        <v>23</v>
      </c>
      <c r="AJ20" s="16">
        <f t="shared" si="7"/>
        <v>24.515384615384615</v>
      </c>
      <c r="AM20" s="15">
        <v>6</v>
      </c>
      <c r="AN20" s="11">
        <f>INDEX('[7]input data'!$G$1:$G$1108,AO69,1)</f>
        <v>22.330168592037214</v>
      </c>
      <c r="AO20" s="11">
        <f>INDEX('[7]input data'!$G$1:$G$1108,AP69,1)</f>
        <v>23.234654421351522</v>
      </c>
      <c r="AP20" s="11">
        <f>INDEX('[7]input data'!$G$1:$G$1108,AQ69,1)</f>
        <v>22.950390620266091</v>
      </c>
      <c r="AQ20" s="11">
        <f>INDEX('[7]input data'!$G$1:$G$1108,AR69,1)</f>
        <v>23.304466870995164</v>
      </c>
      <c r="AR20" s="11">
        <f>INDEX('[7]input data'!$G$1:$G$1108,AS69,1)</f>
        <v>23.470377859669266</v>
      </c>
      <c r="AS20" s="11">
        <f>INDEX('[7]input data'!$G$1:$G$1108,AT69,1)</f>
        <v>23.045116879889999</v>
      </c>
      <c r="AT20" s="11">
        <f>INDEX('[7]input data'!$G$1:$G$1108,AU69,1)</f>
        <v>22.998676685198461</v>
      </c>
      <c r="AU20" s="11">
        <f>INDEX('[7]input data'!$G$1:$G$1108,AV69,1)</f>
        <v>22.858668311959782</v>
      </c>
      <c r="AV20" s="11">
        <f>INDEX('[7]input data'!$G$1:$G$1108,AW69,1)</f>
        <v>23.560851708929256</v>
      </c>
      <c r="AW20" s="11">
        <f>INDEX('[7]input data'!$G$1:$G$1108,AX69,1)</f>
        <v>23.650934676208223</v>
      </c>
      <c r="AX20" s="11">
        <f>INDEX('[7]input data'!$G$1:$G$1108,AY69,1)</f>
        <v>23.530193147412959</v>
      </c>
      <c r="AY20" s="11">
        <f>INDEX('[7]input data'!$G$1:$G$1108,AZ69,1)</f>
        <v>23.41088917767016</v>
      </c>
      <c r="AZ20" s="11">
        <f>INDEX('[7]input data'!$G$1:$G$1108,BA69,1)</f>
        <v>23.520555948119188</v>
      </c>
      <c r="BA20" s="12">
        <f t="shared" si="4"/>
        <v>23.650934676208223</v>
      </c>
      <c r="BB20" s="13">
        <f t="shared" si="5"/>
        <v>22.330168592037214</v>
      </c>
      <c r="BC20" s="16">
        <f t="shared" si="8"/>
        <v>23.220457299977486</v>
      </c>
    </row>
    <row r="21" spans="1:55" ht="14.25" customHeight="1" x14ac:dyDescent="0.25">
      <c r="A21" s="15">
        <v>7</v>
      </c>
      <c r="B21" s="11">
        <f>'[7]input data'!E222</f>
        <v>23.6</v>
      </c>
      <c r="C21" s="11">
        <f>'[7]input data'!E223</f>
        <v>25.2</v>
      </c>
      <c r="D21" s="11">
        <f>'[7]input data'!E224</f>
        <v>26.3</v>
      </c>
      <c r="E21" s="11">
        <f>'[7]input data'!E225</f>
        <v>28.2</v>
      </c>
      <c r="F21" s="11">
        <f>'[7]input data'!E226</f>
        <v>28.4</v>
      </c>
      <c r="G21" s="11">
        <f>'[7]input data'!E227</f>
        <v>29.3</v>
      </c>
      <c r="H21" s="11">
        <f>'[7]input data'!E228</f>
        <v>29.6</v>
      </c>
      <c r="I21" s="11">
        <f>'[7]input data'!E229</f>
        <v>29.3</v>
      </c>
      <c r="J21" s="11">
        <f>'[7]input data'!E230</f>
        <v>29.3</v>
      </c>
      <c r="K21" s="11">
        <f>'[7]input data'!E231</f>
        <v>29.1</v>
      </c>
      <c r="L21" s="11">
        <f>'[7]input data'!E232</f>
        <v>28</v>
      </c>
      <c r="M21" s="11">
        <f>'[7]input data'!E233</f>
        <v>26.4</v>
      </c>
      <c r="N21" s="11">
        <f>'[7]input data'!E234</f>
        <v>25.5</v>
      </c>
      <c r="O21" s="12">
        <f t="shared" si="0"/>
        <v>29.6</v>
      </c>
      <c r="P21" s="13">
        <f t="shared" si="1"/>
        <v>23.6</v>
      </c>
      <c r="Q21" s="16">
        <f t="shared" si="6"/>
        <v>27.553846153846152</v>
      </c>
      <c r="T21" s="15">
        <v>7</v>
      </c>
      <c r="U21" s="11">
        <f>INDEX('[7]input data'!$F$1:$F$1108,U70,1)</f>
        <v>22.2</v>
      </c>
      <c r="V21" s="11">
        <f>INDEX('[7]input data'!$F$1:$F$1108,V70,1)</f>
        <v>23.3</v>
      </c>
      <c r="W21" s="11">
        <f>INDEX('[7]input data'!$F$1:$F$1108,W70,1)</f>
        <v>22.8</v>
      </c>
      <c r="X21" s="11">
        <f>INDEX('[7]input data'!$F$1:$F$1108,X70,1)</f>
        <v>22.9</v>
      </c>
      <c r="Y21" s="11">
        <f>INDEX('[7]input data'!$F$1:$F$1108,Y70,1)</f>
        <v>23.4</v>
      </c>
      <c r="Z21" s="11">
        <f>INDEX('[7]input data'!$F$1:$F$1108,Z70,1)</f>
        <v>24.2</v>
      </c>
      <c r="AA21" s="11">
        <f>INDEX('[7]input data'!$F$1:$F$1108,AA70,1)</f>
        <v>24.4</v>
      </c>
      <c r="AB21" s="11">
        <f>INDEX('[7]input data'!$F$1:$F$1108,AB70,1)</f>
        <v>23.6</v>
      </c>
      <c r="AC21" s="11">
        <f>INDEX('[7]input data'!$F$1:$F$1108,AC70,1)</f>
        <v>23.4</v>
      </c>
      <c r="AD21" s="11">
        <f>INDEX('[7]input data'!$F$1:$F$1108,AD70,1)</f>
        <v>23.4</v>
      </c>
      <c r="AE21" s="11">
        <f>INDEX('[7]input data'!$F$1:$F$1108,AE70,1)</f>
        <v>22.6</v>
      </c>
      <c r="AF21" s="11">
        <f>INDEX('[7]input data'!$F$1:$F$1108,AF70,1)</f>
        <v>22.3</v>
      </c>
      <c r="AG21" s="11">
        <f>INDEX('[7]input data'!$F$1:$F$1108,AG70,1)</f>
        <v>22.2</v>
      </c>
      <c r="AH21" s="12">
        <f t="shared" si="2"/>
        <v>24.4</v>
      </c>
      <c r="AI21" s="13">
        <f t="shared" si="3"/>
        <v>22.2</v>
      </c>
      <c r="AJ21" s="16">
        <f t="shared" si="7"/>
        <v>23.130769230769229</v>
      </c>
      <c r="AM21" s="15">
        <v>7</v>
      </c>
      <c r="AN21" s="11">
        <f>INDEX('[7]input data'!$G$1:$G$1108,AO70,1)</f>
        <v>21.404005287314629</v>
      </c>
      <c r="AO21" s="11">
        <f>INDEX('[7]input data'!$G$1:$G$1108,AP70,1)</f>
        <v>22.304665193949809</v>
      </c>
      <c r="AP21" s="11">
        <f>INDEX('[7]input data'!$G$1:$G$1108,AQ70,1)</f>
        <v>20.9690515715928</v>
      </c>
      <c r="AQ21" s="11">
        <f>INDEX('[7]input data'!$G$1:$G$1108,AR70,1)</f>
        <v>20.127856522379709</v>
      </c>
      <c r="AR21" s="11">
        <f>INDEX('[7]input data'!$G$1:$G$1108,AS70,1)</f>
        <v>20.860317420053146</v>
      </c>
      <c r="AS21" s="11">
        <f>INDEX('[7]input data'!$G$1:$G$1108,AT70,1)</f>
        <v>21.718531189331355</v>
      </c>
      <c r="AT21" s="11">
        <f>INDEX('[7]input data'!$G$1:$G$1108,AU70,1)</f>
        <v>21.895953551222608</v>
      </c>
      <c r="AU21" s="11">
        <f>INDEX('[7]input data'!$G$1:$G$1108,AV70,1)</f>
        <v>20.724019438580157</v>
      </c>
      <c r="AV21" s="11">
        <f>INDEX('[7]input data'!$G$1:$G$1108,AW70,1)</f>
        <v>20.385352548683432</v>
      </c>
      <c r="AW21" s="11">
        <f>INDEX('[7]input data'!$G$1:$G$1108,AX70,1)</f>
        <v>20.491955832120485</v>
      </c>
      <c r="AX21" s="11">
        <f>INDEX('[7]input data'!$G$1:$G$1108,AY70,1)</f>
        <v>19.725951341161583</v>
      </c>
      <c r="AY21" s="11">
        <f>INDEX('[7]input data'!$G$1:$G$1108,AZ70,1)</f>
        <v>20.09693908876757</v>
      </c>
      <c r="AZ21" s="11">
        <f>INDEX('[7]input data'!$G$1:$G$1108,BA70,1)</f>
        <v>20.416842573446026</v>
      </c>
      <c r="BA21" s="12">
        <f t="shared" si="4"/>
        <v>22.304665193949809</v>
      </c>
      <c r="BB21" s="13">
        <f t="shared" si="5"/>
        <v>19.725951341161583</v>
      </c>
      <c r="BC21" s="16">
        <f t="shared" si="8"/>
        <v>20.85549550450795</v>
      </c>
    </row>
    <row r="22" spans="1:55" ht="14.25" customHeight="1" x14ac:dyDescent="0.25">
      <c r="A22" s="15">
        <v>8</v>
      </c>
      <c r="B22" s="11">
        <f>'[7]input data'!E258</f>
        <v>23.2</v>
      </c>
      <c r="C22" s="11">
        <f>'[7]input data'!E259</f>
        <v>24.5</v>
      </c>
      <c r="D22" s="11">
        <f>'[7]input data'!E260</f>
        <v>25.7</v>
      </c>
      <c r="E22" s="11">
        <f>'[7]input data'!E261</f>
        <v>27.3</v>
      </c>
      <c r="F22" s="11">
        <f>'[7]input data'!E262</f>
        <v>27.7</v>
      </c>
      <c r="G22" s="11">
        <f>'[7]input data'!E263</f>
        <v>28.1</v>
      </c>
      <c r="H22" s="11">
        <f>'[7]input data'!E264</f>
        <v>28.4</v>
      </c>
      <c r="I22" s="11">
        <f>'[7]input data'!E265</f>
        <v>28.8</v>
      </c>
      <c r="J22" s="11">
        <f>'[7]input data'!E266</f>
        <v>28</v>
      </c>
      <c r="K22" s="11">
        <f>'[7]input data'!E267</f>
        <v>27</v>
      </c>
      <c r="L22" s="11">
        <f>'[7]input data'!E268</f>
        <v>26.4</v>
      </c>
      <c r="M22" s="11">
        <f>'[7]input data'!E269</f>
        <v>25.6</v>
      </c>
      <c r="N22" s="11">
        <f>'[7]input data'!E270</f>
        <v>25.4</v>
      </c>
      <c r="O22" s="12">
        <f t="shared" si="0"/>
        <v>28.8</v>
      </c>
      <c r="P22" s="13">
        <f t="shared" si="1"/>
        <v>23.2</v>
      </c>
      <c r="Q22" s="16">
        <f t="shared" si="6"/>
        <v>26.623076923076926</v>
      </c>
      <c r="T22" s="15">
        <v>8</v>
      </c>
      <c r="U22" s="11">
        <f>INDEX('[7]input data'!$F$1:$F$1108,U71,1)</f>
        <v>21.6</v>
      </c>
      <c r="V22" s="11">
        <f>INDEX('[7]input data'!$F$1:$F$1108,V71,1)</f>
        <v>22.1</v>
      </c>
      <c r="W22" s="11">
        <f>INDEX('[7]input data'!$F$1:$F$1108,W71,1)</f>
        <v>22.2</v>
      </c>
      <c r="X22" s="11">
        <f>INDEX('[7]input data'!$F$1:$F$1108,X71,1)</f>
        <v>22.3</v>
      </c>
      <c r="Y22" s="11">
        <f>INDEX('[7]input data'!$F$1:$F$1108,Y71,1)</f>
        <v>22.8</v>
      </c>
      <c r="Z22" s="11">
        <f>INDEX('[7]input data'!$F$1:$F$1108,Z71,1)</f>
        <v>22.4</v>
      </c>
      <c r="AA22" s="11">
        <f>INDEX('[7]input data'!$F$1:$F$1108,AA71,1)</f>
        <v>26.8</v>
      </c>
      <c r="AB22" s="11">
        <f>INDEX('[7]input data'!$F$1:$F$1108,AB71,1)</f>
        <v>22.6</v>
      </c>
      <c r="AC22" s="11">
        <f>INDEX('[7]input data'!$F$1:$F$1108,AC71,1)</f>
        <v>22.4</v>
      </c>
      <c r="AD22" s="11">
        <f>INDEX('[7]input data'!$F$1:$F$1108,AD71,1)</f>
        <v>22.2</v>
      </c>
      <c r="AE22" s="11">
        <f>INDEX('[7]input data'!$F$1:$F$1108,AE71,1)</f>
        <v>22.2</v>
      </c>
      <c r="AF22" s="11">
        <f>INDEX('[7]input data'!$F$1:$F$1108,AF71,1)</f>
        <v>22</v>
      </c>
      <c r="AG22" s="11">
        <f>INDEX('[7]input data'!$F$1:$F$1108,AG71,1)</f>
        <v>22</v>
      </c>
      <c r="AH22" s="12">
        <f t="shared" si="2"/>
        <v>26.8</v>
      </c>
      <c r="AI22" s="13">
        <f t="shared" si="3"/>
        <v>21.6</v>
      </c>
      <c r="AJ22" s="16">
        <f t="shared" si="7"/>
        <v>22.584615384615386</v>
      </c>
      <c r="AM22" s="15">
        <v>8</v>
      </c>
      <c r="AN22" s="11">
        <f>INDEX('[7]input data'!$G$1:$G$1108,AO71,1)</f>
        <v>20.675874811421782</v>
      </c>
      <c r="AO22" s="11">
        <f>INDEX('[7]input data'!$G$1:$G$1108,AP71,1)</f>
        <v>20.784273573906436</v>
      </c>
      <c r="AP22" s="11">
        <f>INDEX('[7]input data'!$G$1:$G$1108,AQ71,1)</f>
        <v>20.309812403186186</v>
      </c>
      <c r="AQ22" s="11">
        <f>INDEX('[7]input data'!$G$1:$G$1108,AR71,1)</f>
        <v>19.601732034444481</v>
      </c>
      <c r="AR22" s="11">
        <f>INDEX('[7]input data'!$G$1:$G$1108,AS71,1)</f>
        <v>20.229325686668286</v>
      </c>
      <c r="AS22" s="11">
        <f>INDEX('[7]input data'!$G$1:$G$1108,AT71,1)</f>
        <v>19.324561419949315</v>
      </c>
      <c r="AT22" s="11">
        <f>INDEX('[7]input data'!$G$1:$G$1108,AU71,1)</f>
        <v>26.076626053025738</v>
      </c>
      <c r="AU22" s="11">
        <f>INDEX('[7]input data'!$G$1:$G$1108,AV71,1)</f>
        <v>19.277370380433652</v>
      </c>
      <c r="AV22" s="11">
        <f>INDEX('[7]input data'!$G$1:$G$1108,AW71,1)</f>
        <v>19.381090440974649</v>
      </c>
      <c r="AW22" s="11">
        <f>INDEX('[7]input data'!$G$1:$G$1108,AX71,1)</f>
        <v>19.598589737885593</v>
      </c>
      <c r="AX22" s="11">
        <f>INDEX('[7]input data'!$G$1:$G$1108,AY71,1)</f>
        <v>19.930254394805019</v>
      </c>
      <c r="AY22" s="11">
        <f>INDEX('[7]input data'!$G$1:$G$1108,AZ71,1)</f>
        <v>20.035132975669647</v>
      </c>
      <c r="AZ22" s="11">
        <f>INDEX('[7]input data'!$G$1:$G$1108,BA71,1)</f>
        <v>20.143757994628071</v>
      </c>
      <c r="BA22" s="12">
        <f t="shared" si="4"/>
        <v>26.076626053025738</v>
      </c>
      <c r="BB22" s="13">
        <f t="shared" si="5"/>
        <v>19.277370380433652</v>
      </c>
      <c r="BC22" s="16">
        <f t="shared" si="8"/>
        <v>20.412953992846067</v>
      </c>
    </row>
    <row r="23" spans="1:55" ht="14.25" customHeight="1" x14ac:dyDescent="0.25">
      <c r="A23" s="15">
        <v>9</v>
      </c>
      <c r="B23" s="11">
        <f>'[7]input data'!E294</f>
        <v>22.4</v>
      </c>
      <c r="C23" s="11">
        <f>'[7]input data'!E295</f>
        <v>24.6</v>
      </c>
      <c r="D23" s="11">
        <f>'[7]input data'!E296</f>
        <v>25.8</v>
      </c>
      <c r="E23" s="11">
        <f>'[7]input data'!E297</f>
        <v>26.9</v>
      </c>
      <c r="F23" s="11">
        <f>'[7]input data'!E298</f>
        <v>28</v>
      </c>
      <c r="G23" s="11">
        <f>'[7]input data'!E299</f>
        <v>27.4</v>
      </c>
      <c r="H23" s="11">
        <f>'[7]input data'!E300</f>
        <v>27.2</v>
      </c>
      <c r="I23" s="11">
        <f>'[7]input data'!E301</f>
        <v>27.2</v>
      </c>
      <c r="J23" s="11">
        <f>'[7]input data'!E302</f>
        <v>26.8</v>
      </c>
      <c r="K23" s="11">
        <f>'[7]input data'!E303</f>
        <v>26.2</v>
      </c>
      <c r="L23" s="11">
        <f>'[7]input data'!E304</f>
        <v>25.4</v>
      </c>
      <c r="M23" s="11">
        <f>'[7]input data'!E305</f>
        <v>24.4</v>
      </c>
      <c r="N23" s="11">
        <f>'[7]input data'!E306</f>
        <v>24.2</v>
      </c>
      <c r="O23" s="12">
        <f t="shared" si="0"/>
        <v>28</v>
      </c>
      <c r="P23" s="13">
        <f t="shared" si="1"/>
        <v>22.4</v>
      </c>
      <c r="Q23" s="16">
        <f t="shared" si="6"/>
        <v>25.88461538461538</v>
      </c>
      <c r="T23" s="15">
        <v>9</v>
      </c>
      <c r="U23" s="11">
        <f>INDEX('[7]input data'!$F$1:$F$1108,U72,1)</f>
        <v>20.2</v>
      </c>
      <c r="V23" s="11">
        <f>INDEX('[7]input data'!$F$1:$F$1108,V72,1)</f>
        <v>21.6</v>
      </c>
      <c r="W23" s="11">
        <f>INDEX('[7]input data'!$F$1:$F$1108,W72,1)</f>
        <v>21.6</v>
      </c>
      <c r="X23" s="11">
        <f>INDEX('[7]input data'!$F$1:$F$1108,X72,1)</f>
        <v>21.8</v>
      </c>
      <c r="Y23" s="11">
        <f>INDEX('[7]input data'!$F$1:$F$1108,Y72,1)</f>
        <v>23.2</v>
      </c>
      <c r="Z23" s="11">
        <f>INDEX('[7]input data'!$F$1:$F$1108,Z72,1)</f>
        <v>23.2</v>
      </c>
      <c r="AA23" s="11">
        <f>INDEX('[7]input data'!$F$1:$F$1108,AA72,1)</f>
        <v>23.6</v>
      </c>
      <c r="AB23" s="11">
        <f>INDEX('[7]input data'!$F$1:$F$1108,AB72,1)</f>
        <v>23.4</v>
      </c>
      <c r="AC23" s="11">
        <f>INDEX('[7]input data'!$F$1:$F$1108,AC72,1)</f>
        <v>23.2</v>
      </c>
      <c r="AD23" s="11">
        <f>INDEX('[7]input data'!$F$1:$F$1108,AD72,1)</f>
        <v>23.2</v>
      </c>
      <c r="AE23" s="11">
        <f>INDEX('[7]input data'!$F$1:$F$1108,AE72,1)</f>
        <v>23</v>
      </c>
      <c r="AF23" s="11">
        <f>INDEX('[7]input data'!$F$1:$F$1108,AF72,1)</f>
        <v>22.6</v>
      </c>
      <c r="AG23" s="11">
        <f>INDEX('[7]input data'!$F$1:$F$1108,AG72,1)</f>
        <v>22.6</v>
      </c>
      <c r="AH23" s="12">
        <f t="shared" si="2"/>
        <v>23.6</v>
      </c>
      <c r="AI23" s="13">
        <f t="shared" si="3"/>
        <v>20.2</v>
      </c>
      <c r="AJ23" s="16">
        <f t="shared" si="7"/>
        <v>22.553846153846152</v>
      </c>
      <c r="AM23" s="15">
        <v>9</v>
      </c>
      <c r="AN23" s="11">
        <f>INDEX('[7]input data'!$G$1:$G$1108,AO72,1)</f>
        <v>18.864523649272865</v>
      </c>
      <c r="AO23" s="11">
        <f>INDEX('[7]input data'!$G$1:$G$1108,AP72,1)</f>
        <v>19.924166414972749</v>
      </c>
      <c r="AP23" s="11">
        <f>INDEX('[7]input data'!$G$1:$G$1108,AQ72,1)</f>
        <v>19.254548197282784</v>
      </c>
      <c r="AQ23" s="11">
        <f>INDEX('[7]input data'!$G$1:$G$1108,AR72,1)</f>
        <v>18.967823048859756</v>
      </c>
      <c r="AR23" s="11">
        <f>INDEX('[7]input data'!$G$1:$G$1108,AS72,1)</f>
        <v>20.737584230106016</v>
      </c>
      <c r="AS23" s="11">
        <f>INDEX('[7]input data'!$G$1:$G$1108,AT72,1)</f>
        <v>21.0496477864498</v>
      </c>
      <c r="AT23" s="11">
        <f>INDEX('[7]input data'!$G$1:$G$1108,AU72,1)</f>
        <v>21.794916962756314</v>
      </c>
      <c r="AU23" s="11">
        <f>INDEX('[7]input data'!$G$1:$G$1108,AV72,1)</f>
        <v>21.47531350306749</v>
      </c>
      <c r="AV23" s="11">
        <f>INDEX('[7]input data'!$G$1:$G$1108,AW72,1)</f>
        <v>21.356569638730033</v>
      </c>
      <c r="AW23" s="11">
        <f>INDEX('[7]input data'!$G$1:$G$1108,AX72,1)</f>
        <v>21.658528701077763</v>
      </c>
      <c r="AX23" s="11">
        <f>INDEX('[7]input data'!$G$1:$G$1108,AY72,1)</f>
        <v>21.743085824045714</v>
      </c>
      <c r="AY23" s="11">
        <f>INDEX('[7]input data'!$G$1:$G$1108,AZ72,1)</f>
        <v>21.619949242231353</v>
      </c>
      <c r="AZ23" s="11">
        <f>INDEX('[7]input data'!$G$1:$G$1108,BA72,1)</f>
        <v>21.719730167842847</v>
      </c>
      <c r="BA23" s="12">
        <f t="shared" si="4"/>
        <v>21.794916962756314</v>
      </c>
      <c r="BB23" s="13">
        <f t="shared" si="5"/>
        <v>18.864523649272865</v>
      </c>
      <c r="BC23" s="16">
        <f t="shared" si="8"/>
        <v>20.782029797438117</v>
      </c>
    </row>
    <row r="24" spans="1:55" ht="14.25" customHeight="1" x14ac:dyDescent="0.25">
      <c r="A24" s="15">
        <v>10</v>
      </c>
      <c r="B24" s="11">
        <f>'[7]input data'!E330</f>
        <v>21.8</v>
      </c>
      <c r="C24" s="11">
        <f>'[7]input data'!E331</f>
        <v>24.4</v>
      </c>
      <c r="D24" s="11">
        <f>'[7]input data'!E332</f>
        <v>25.7</v>
      </c>
      <c r="E24" s="11">
        <f>'[7]input data'!E333</f>
        <v>27</v>
      </c>
      <c r="F24" s="11">
        <f>'[7]input data'!E334</f>
        <v>28</v>
      </c>
      <c r="G24" s="11">
        <f>'[7]input data'!E335</f>
        <v>28.2</v>
      </c>
      <c r="H24" s="11">
        <f>'[7]input data'!E336</f>
        <v>28.8</v>
      </c>
      <c r="I24" s="11">
        <f>'[7]input data'!E337</f>
        <v>29.6</v>
      </c>
      <c r="J24" s="11">
        <f>'[7]input data'!E338</f>
        <v>29.4</v>
      </c>
      <c r="K24" s="11">
        <f>'[7]input data'!E339</f>
        <v>29</v>
      </c>
      <c r="L24" s="11">
        <f>'[7]input data'!E340</f>
        <v>28.6</v>
      </c>
      <c r="M24" s="11">
        <f>'[7]input data'!E341</f>
        <v>27.6</v>
      </c>
      <c r="N24" s="11">
        <f>'[7]input data'!E342</f>
        <v>26.4</v>
      </c>
      <c r="O24" s="12">
        <f t="shared" si="0"/>
        <v>29.6</v>
      </c>
      <c r="P24" s="13">
        <f t="shared" si="1"/>
        <v>21.8</v>
      </c>
      <c r="Q24" s="16">
        <f t="shared" si="6"/>
        <v>27.26923076923077</v>
      </c>
      <c r="T24" s="15">
        <v>10</v>
      </c>
      <c r="U24" s="11">
        <f>INDEX('[7]input data'!$F$1:$F$1108,U73,1)</f>
        <v>20</v>
      </c>
      <c r="V24" s="11">
        <f>INDEX('[7]input data'!$F$1:$F$1108,V73,1)</f>
        <v>22</v>
      </c>
      <c r="W24" s="11">
        <f>INDEX('[7]input data'!$F$1:$F$1108,W73,1)</f>
        <v>22.2</v>
      </c>
      <c r="X24" s="11">
        <f>INDEX('[7]input data'!$F$1:$F$1108,X73,1)</f>
        <v>22.8</v>
      </c>
      <c r="Y24" s="11">
        <f>INDEX('[7]input data'!$F$1:$F$1108,Y73,1)</f>
        <v>23.3</v>
      </c>
      <c r="Z24" s="11">
        <f>INDEX('[7]input data'!$F$1:$F$1108,Z73,1)</f>
        <v>23.2</v>
      </c>
      <c r="AA24" s="11">
        <f>INDEX('[7]input data'!$F$1:$F$1108,AA73,1)</f>
        <v>23.6</v>
      </c>
      <c r="AB24" s="11">
        <f>INDEX('[7]input data'!$F$1:$F$1108,AB73,1)</f>
        <v>24.6</v>
      </c>
      <c r="AC24" s="11">
        <f>INDEX('[7]input data'!$F$1:$F$1108,AC73,1)</f>
        <v>24.2</v>
      </c>
      <c r="AD24" s="11">
        <f>INDEX('[7]input data'!$F$1:$F$1108,AD73,1)</f>
        <v>24</v>
      </c>
      <c r="AE24" s="11">
        <f>INDEX('[7]input data'!$F$1:$F$1108,AE73,1)</f>
        <v>23.8</v>
      </c>
      <c r="AF24" s="11">
        <f>INDEX('[7]input data'!$F$1:$F$1108,AF73,1)</f>
        <v>23.6</v>
      </c>
      <c r="AG24" s="11">
        <f>INDEX('[7]input data'!$F$1:$F$1108,AG73,1)</f>
        <v>23.6</v>
      </c>
      <c r="AH24" s="12">
        <f t="shared" si="2"/>
        <v>24.6</v>
      </c>
      <c r="AI24" s="13">
        <f t="shared" si="3"/>
        <v>20</v>
      </c>
      <c r="AJ24" s="16">
        <f t="shared" si="7"/>
        <v>23.146153846153847</v>
      </c>
      <c r="AM24" s="15">
        <v>10</v>
      </c>
      <c r="AN24" s="11">
        <f>INDEX('[7]input data'!$G$1:$G$1108,AO73,1)</f>
        <v>18.883957893093026</v>
      </c>
      <c r="AO24" s="11">
        <f>INDEX('[7]input data'!$G$1:$G$1108,AP73,1)</f>
        <v>20.67752286740204</v>
      </c>
      <c r="AP24" s="11">
        <f>INDEX('[7]input data'!$G$1:$G$1108,AQ73,1)</f>
        <v>20.309812403186186</v>
      </c>
      <c r="AQ24" s="11">
        <f>INDEX('[7]input data'!$G$1:$G$1108,AR73,1)</f>
        <v>20.602873681847623</v>
      </c>
      <c r="AR24" s="11">
        <f>INDEX('[7]input data'!$G$1:$G$1108,AS73,1)</f>
        <v>20.903014541727206</v>
      </c>
      <c r="AS24" s="11">
        <f>INDEX('[7]input data'!$G$1:$G$1108,AT73,1)</f>
        <v>20.632388082150648</v>
      </c>
      <c r="AT24" s="11">
        <f>INDEX('[7]input data'!$G$1:$G$1108,AU73,1)</f>
        <v>20.984629199408523</v>
      </c>
      <c r="AU24" s="11">
        <f>INDEX('[7]input data'!$G$1:$G$1108,AV73,1)</f>
        <v>22.219995210731696</v>
      </c>
      <c r="AV24" s="11">
        <f>INDEX('[7]input data'!$G$1:$G$1108,AW73,1)</f>
        <v>21.668699112332721</v>
      </c>
      <c r="AW24" s="11">
        <f>INDEX('[7]input data'!$G$1:$G$1108,AX73,1)</f>
        <v>21.541810194989623</v>
      </c>
      <c r="AX24" s="11">
        <f>INDEX('[7]input data'!$G$1:$G$1108,AY73,1)</f>
        <v>21.416446175167959</v>
      </c>
      <c r="AY24" s="11">
        <f>INDEX('[7]input data'!$G$1:$G$1108,AZ73,1)</f>
        <v>21.595614336629087</v>
      </c>
      <c r="AZ24" s="11">
        <f>INDEX('[7]input data'!$G$1:$G$1108,BA73,1)</f>
        <v>22.18727787108098</v>
      </c>
      <c r="BA24" s="12">
        <f t="shared" si="4"/>
        <v>22.219995210731696</v>
      </c>
      <c r="BB24" s="13">
        <f t="shared" si="5"/>
        <v>18.883957893093026</v>
      </c>
      <c r="BC24" s="16">
        <f t="shared" si="8"/>
        <v>21.04800319767287</v>
      </c>
    </row>
    <row r="25" spans="1:55" ht="14.25" customHeight="1" x14ac:dyDescent="0.25">
      <c r="A25" s="15">
        <v>11</v>
      </c>
      <c r="B25" s="11">
        <f>'[7]input data'!E366</f>
        <v>22.8</v>
      </c>
      <c r="C25" s="11">
        <f>'[7]input data'!E367</f>
        <v>24.8</v>
      </c>
      <c r="D25" s="11">
        <f>'[7]input data'!E368</f>
        <v>26.2</v>
      </c>
      <c r="E25" s="11">
        <f>'[7]input data'!E369</f>
        <v>28</v>
      </c>
      <c r="F25" s="11">
        <f>'[7]input data'!E370</f>
        <v>29.7</v>
      </c>
      <c r="G25" s="11">
        <f>'[7]input data'!E371</f>
        <v>30.8</v>
      </c>
      <c r="H25" s="11">
        <f>'[7]input data'!E372</f>
        <v>30.1</v>
      </c>
      <c r="I25" s="11">
        <f>'[7]input data'!E373</f>
        <v>30</v>
      </c>
      <c r="J25" s="11">
        <f>'[7]input data'!E374</f>
        <v>25.4</v>
      </c>
      <c r="K25" s="11">
        <f>'[7]input data'!E375</f>
        <v>22.4</v>
      </c>
      <c r="L25" s="11">
        <f>'[7]input data'!E376</f>
        <v>23.6</v>
      </c>
      <c r="M25" s="11">
        <f>'[7]input data'!E377</f>
        <v>23.6</v>
      </c>
      <c r="N25" s="11">
        <f>'[7]input data'!E378</f>
        <v>24.2</v>
      </c>
      <c r="O25" s="12">
        <f t="shared" si="0"/>
        <v>30.8</v>
      </c>
      <c r="P25" s="13">
        <f t="shared" si="1"/>
        <v>22.4</v>
      </c>
      <c r="Q25" s="16">
        <f t="shared" si="6"/>
        <v>26.276923076923079</v>
      </c>
      <c r="T25" s="15">
        <v>11</v>
      </c>
      <c r="U25" s="11">
        <f>INDEX('[7]input data'!$F$1:$F$1108,U74,1)</f>
        <v>21.8</v>
      </c>
      <c r="V25" s="11">
        <f>INDEX('[7]input data'!$F$1:$F$1108,V74,1)</f>
        <v>22.6</v>
      </c>
      <c r="W25" s="11">
        <f>INDEX('[7]input data'!$F$1:$F$1108,W74,1)</f>
        <v>23.4</v>
      </c>
      <c r="X25" s="11">
        <f>INDEX('[7]input data'!$F$1:$F$1108,X74,1)</f>
        <v>23.6</v>
      </c>
      <c r="Y25" s="11">
        <f>INDEX('[7]input data'!$F$1:$F$1108,Y74,1)</f>
        <v>24.1</v>
      </c>
      <c r="Z25" s="11">
        <f>INDEX('[7]input data'!$F$1:$F$1108,Z74,1)</f>
        <v>24.4</v>
      </c>
      <c r="AA25" s="11">
        <f>INDEX('[7]input data'!$F$1:$F$1108,AA74,1)</f>
        <v>25.1</v>
      </c>
      <c r="AB25" s="11">
        <f>INDEX('[7]input data'!$F$1:$F$1108,AB74,1)</f>
        <v>25.2</v>
      </c>
      <c r="AC25" s="11">
        <f>INDEX('[7]input data'!$F$1:$F$1108,AC74,1)</f>
        <v>24</v>
      </c>
      <c r="AD25" s="11">
        <f>INDEX('[7]input data'!$F$1:$F$1108,AD74,1)</f>
        <v>22.3</v>
      </c>
      <c r="AE25" s="11">
        <f>INDEX('[7]input data'!$F$1:$F$1108,AE74,1)</f>
        <v>23.2</v>
      </c>
      <c r="AF25" s="11">
        <f>INDEX('[7]input data'!$F$1:$F$1108,AF74,1)</f>
        <v>23.4</v>
      </c>
      <c r="AG25" s="11">
        <f>INDEX('[7]input data'!$F$1:$F$1108,AG74,1)</f>
        <v>23.8</v>
      </c>
      <c r="AH25" s="12">
        <f t="shared" si="2"/>
        <v>25.2</v>
      </c>
      <c r="AI25" s="13">
        <f t="shared" si="3"/>
        <v>21.8</v>
      </c>
      <c r="AJ25" s="16">
        <f t="shared" si="7"/>
        <v>23.607692307692307</v>
      </c>
      <c r="AM25" s="15">
        <v>11</v>
      </c>
      <c r="AN25" s="11">
        <f>INDEX('[7]input data'!$G$1:$G$1108,AO74,1)</f>
        <v>21.194470798905602</v>
      </c>
      <c r="AO25" s="11">
        <f>INDEX('[7]input data'!$G$1:$G$1108,AP74,1)</f>
        <v>21.418776610230672</v>
      </c>
      <c r="AP25" s="11">
        <f>INDEX('[7]input data'!$G$1:$G$1108,AQ74,1)</f>
        <v>21.972788358984861</v>
      </c>
      <c r="AQ25" s="11">
        <f>INDEX('[7]input data'!$G$1:$G$1108,AR74,1)</f>
        <v>21.394166031907911</v>
      </c>
      <c r="AR25" s="11">
        <f>INDEX('[7]input data'!$G$1:$G$1108,AS74,1)</f>
        <v>21.353034031232745</v>
      </c>
      <c r="AS25" s="11">
        <f>INDEX('[7]input data'!$G$1:$G$1108,AT74,1)</f>
        <v>21.294837240921414</v>
      </c>
      <c r="AT25" s="11">
        <f>INDEX('[7]input data'!$G$1:$G$1108,AU74,1)</f>
        <v>22.782741762943349</v>
      </c>
      <c r="AU25" s="11">
        <f>INDEX('[7]input data'!$G$1:$G$1108,AV74,1)</f>
        <v>22.988313287442271</v>
      </c>
      <c r="AV25" s="11">
        <f>INDEX('[7]input data'!$G$1:$G$1108,AW74,1)</f>
        <v>23.268536476619335</v>
      </c>
      <c r="AW25" s="11">
        <f>INDEX('[7]input data'!$G$1:$G$1108,AX74,1)</f>
        <v>22.150826018661888</v>
      </c>
      <c r="AX25" s="11">
        <f>INDEX('[7]input data'!$G$1:$G$1108,AY74,1)</f>
        <v>22.913634274744748</v>
      </c>
      <c r="AY25" s="11">
        <f>INDEX('[7]input data'!$G$1:$G$1108,AZ74,1)</f>
        <v>23.207812519635773</v>
      </c>
      <c r="AZ25" s="11">
        <f>INDEX('[7]input data'!$G$1:$G$1108,BA74,1)</f>
        <v>23.519536764728979</v>
      </c>
      <c r="BA25" s="12">
        <f t="shared" si="4"/>
        <v>23.519536764728979</v>
      </c>
      <c r="BB25" s="13">
        <f t="shared" si="5"/>
        <v>21.194470798905602</v>
      </c>
      <c r="BC25" s="16">
        <f t="shared" si="8"/>
        <v>22.266113398227656</v>
      </c>
    </row>
    <row r="26" spans="1:55" ht="14.25" customHeight="1" x14ac:dyDescent="0.25">
      <c r="A26" s="15">
        <v>12</v>
      </c>
      <c r="B26" s="11">
        <f>'[7]input data'!E402</f>
        <v>23.5</v>
      </c>
      <c r="C26" s="11">
        <f>'[7]input data'!E403</f>
        <v>25.6</v>
      </c>
      <c r="D26" s="11">
        <f>'[7]input data'!E404</f>
        <v>26.4</v>
      </c>
      <c r="E26" s="11">
        <f>'[7]input data'!E405</f>
        <v>28</v>
      </c>
      <c r="F26" s="11">
        <f>'[7]input data'!E406</f>
        <v>29.5</v>
      </c>
      <c r="G26" s="11">
        <f>'[7]input data'!E407</f>
        <v>30</v>
      </c>
      <c r="H26" s="11">
        <f>'[7]input data'!E408</f>
        <v>30.2</v>
      </c>
      <c r="I26" s="11">
        <f>'[7]input data'!E409</f>
        <v>31.2</v>
      </c>
      <c r="J26" s="11">
        <f>'[7]input data'!E410</f>
        <v>29.6</v>
      </c>
      <c r="K26" s="11">
        <f>'[7]input data'!E411</f>
        <v>28.8</v>
      </c>
      <c r="L26" s="11">
        <f>'[7]input data'!E412</f>
        <v>27.2</v>
      </c>
      <c r="M26" s="11">
        <f>'[7]input data'!E413</f>
        <v>26.6</v>
      </c>
      <c r="N26" s="11">
        <f>'[7]input data'!E414</f>
        <v>26.2</v>
      </c>
      <c r="O26" s="12">
        <f t="shared" si="0"/>
        <v>31.2</v>
      </c>
      <c r="P26" s="13">
        <f t="shared" si="1"/>
        <v>23.5</v>
      </c>
      <c r="Q26" s="16">
        <f t="shared" si="6"/>
        <v>27.907692307692304</v>
      </c>
      <c r="T26" s="15">
        <v>12</v>
      </c>
      <c r="U26" s="11">
        <f>INDEX('[7]input data'!$F$1:$F$1108,U75,1)</f>
        <v>23.1</v>
      </c>
      <c r="V26" s="11">
        <f>INDEX('[7]input data'!$F$1:$F$1108,V75,1)</f>
        <v>24.2</v>
      </c>
      <c r="W26" s="11">
        <f>INDEX('[7]input data'!$F$1:$F$1108,W75,1)</f>
        <v>24.2</v>
      </c>
      <c r="X26" s="11">
        <f>INDEX('[7]input data'!$F$1:$F$1108,X75,1)</f>
        <v>25</v>
      </c>
      <c r="Y26" s="11">
        <f>INDEX('[7]input data'!$F$1:$F$1108,Y75,1)</f>
        <v>24.6</v>
      </c>
      <c r="Z26" s="11">
        <f>INDEX('[7]input data'!$F$1:$F$1108,Z75,1)</f>
        <v>24.5</v>
      </c>
      <c r="AA26" s="11">
        <f>INDEX('[7]input data'!$F$1:$F$1108,AA75,1)</f>
        <v>24.3</v>
      </c>
      <c r="AB26" s="11">
        <f>INDEX('[7]input data'!$F$1:$F$1108,AB75,1)</f>
        <v>25.8</v>
      </c>
      <c r="AC26" s="11">
        <f>INDEX('[7]input data'!$F$1:$F$1108,AC75,1)</f>
        <v>25.5</v>
      </c>
      <c r="AD26" s="11">
        <f>INDEX('[7]input data'!$F$1:$F$1108,AD75,1)</f>
        <v>25.5</v>
      </c>
      <c r="AE26" s="11">
        <f>INDEX('[7]input data'!$F$1:$F$1108,AE75,1)</f>
        <v>25</v>
      </c>
      <c r="AF26" s="11">
        <f>INDEX('[7]input data'!$F$1:$F$1108,AF75,1)</f>
        <v>25.2</v>
      </c>
      <c r="AG26" s="11">
        <f>INDEX('[7]input data'!$F$1:$F$1108,AG75,1)</f>
        <v>25</v>
      </c>
      <c r="AH26" s="12">
        <f t="shared" si="2"/>
        <v>25.8</v>
      </c>
      <c r="AI26" s="13">
        <f t="shared" si="3"/>
        <v>23.1</v>
      </c>
      <c r="AJ26" s="16">
        <f t="shared" si="7"/>
        <v>24.761538461538464</v>
      </c>
      <c r="AM26" s="15">
        <v>12</v>
      </c>
      <c r="AN26" s="11">
        <f>INDEX('[7]input data'!$G$1:$G$1108,AO75,1)</f>
        <v>22.812629989906107</v>
      </c>
      <c r="AO26" s="11">
        <f>INDEX('[7]input data'!$G$1:$G$1108,AP75,1)</f>
        <v>23.475269202586603</v>
      </c>
      <c r="AP26" s="11">
        <f>INDEX('[7]input data'!$G$1:$G$1108,AQ75,1)</f>
        <v>23.109032442757304</v>
      </c>
      <c r="AQ26" s="11">
        <f>INDEX('[7]input data'!$G$1:$G$1108,AR75,1)</f>
        <v>23.593703811444115</v>
      </c>
      <c r="AR26" s="11">
        <f>INDEX('[7]input data'!$G$1:$G$1108,AS75,1)</f>
        <v>22.268387984669609</v>
      </c>
      <c r="AS26" s="11">
        <f>INDEX('[7]input data'!$G$1:$G$1108,AT75,1)</f>
        <v>21.861859374764737</v>
      </c>
      <c r="AT26" s="11">
        <f>INDEX('[7]input data'!$G$1:$G$1108,AU75,1)</f>
        <v>21.431936245680912</v>
      </c>
      <c r="AU26" s="11">
        <f>INDEX('[7]input data'!$G$1:$G$1108,AV75,1)</f>
        <v>23.385719390969253</v>
      </c>
      <c r="AV26" s="11">
        <f>INDEX('[7]input data'!$G$1:$G$1108,AW75,1)</f>
        <v>23.640370879653982</v>
      </c>
      <c r="AW26" s="11">
        <f>INDEX('[7]input data'!$G$1:$G$1108,AX75,1)</f>
        <v>23.996639238444871</v>
      </c>
      <c r="AX26" s="11">
        <f>INDEX('[7]input data'!$G$1:$G$1108,AY75,1)</f>
        <v>23.950825647173037</v>
      </c>
      <c r="AY26" s="11">
        <f>INDEX('[7]input data'!$G$1:$G$1108,AZ75,1)</f>
        <v>24.507713530973501</v>
      </c>
      <c r="AZ26" s="11">
        <f>INDEX('[7]input data'!$G$1:$G$1108,BA75,1)</f>
        <v>24.388027271235554</v>
      </c>
      <c r="BA26" s="12">
        <f t="shared" si="4"/>
        <v>24.507713530973501</v>
      </c>
      <c r="BB26" s="13">
        <f t="shared" si="5"/>
        <v>21.431936245680912</v>
      </c>
      <c r="BC26" s="16">
        <f t="shared" si="8"/>
        <v>23.263239616173816</v>
      </c>
    </row>
    <row r="27" spans="1:55" ht="14.25" customHeight="1" x14ac:dyDescent="0.25">
      <c r="A27" s="15">
        <v>13</v>
      </c>
      <c r="B27" s="11">
        <f>'[7]input data'!E438</f>
        <v>24.4</v>
      </c>
      <c r="C27" s="11">
        <f>'[7]input data'!E439</f>
        <v>26.3</v>
      </c>
      <c r="D27" s="11">
        <f>'[7]input data'!E440</f>
        <v>27.6</v>
      </c>
      <c r="E27" s="11">
        <f>'[7]input data'!E441</f>
        <v>28.5</v>
      </c>
      <c r="F27" s="11">
        <f>'[7]input data'!E442</f>
        <v>29.4</v>
      </c>
      <c r="G27" s="11">
        <f>'[7]input data'!E443</f>
        <v>30.2</v>
      </c>
      <c r="H27" s="11">
        <f>'[7]input data'!E444</f>
        <v>29.8</v>
      </c>
      <c r="I27" s="11">
        <f>'[7]input data'!E445</f>
        <v>29.6</v>
      </c>
      <c r="J27" s="11">
        <f>'[7]input data'!E446</f>
        <v>28.6</v>
      </c>
      <c r="K27" s="11">
        <f>'[7]input data'!E447</f>
        <v>27.8</v>
      </c>
      <c r="L27" s="11">
        <f>'[7]input data'!E448</f>
        <v>27.1</v>
      </c>
      <c r="M27" s="11">
        <f>'[7]input data'!E449</f>
        <v>26.6</v>
      </c>
      <c r="N27" s="11">
        <f>'[7]input data'!E450</f>
        <v>26.1</v>
      </c>
      <c r="O27" s="12">
        <f t="shared" si="0"/>
        <v>30.2</v>
      </c>
      <c r="P27" s="13">
        <f t="shared" si="1"/>
        <v>24.4</v>
      </c>
      <c r="Q27" s="16">
        <f t="shared" si="6"/>
        <v>27.84615384615385</v>
      </c>
      <c r="T27" s="15">
        <v>13</v>
      </c>
      <c r="U27" s="11">
        <f>INDEX('[7]input data'!$F$1:$F$1108,U76,1)</f>
        <v>23.7</v>
      </c>
      <c r="V27" s="11">
        <f>INDEX('[7]input data'!$F$1:$F$1108,V76,1)</f>
        <v>23.7</v>
      </c>
      <c r="W27" s="11">
        <f>INDEX('[7]input data'!$F$1:$F$1108,W76,1)</f>
        <v>24.7</v>
      </c>
      <c r="X27" s="11">
        <f>INDEX('[7]input data'!$F$1:$F$1108,X76,1)</f>
        <v>24.9</v>
      </c>
      <c r="Y27" s="11">
        <f>INDEX('[7]input data'!$F$1:$F$1108,Y76,1)</f>
        <v>25.2</v>
      </c>
      <c r="Z27" s="11">
        <f>INDEX('[7]input data'!$F$1:$F$1108,Z76,1)</f>
        <v>25.7</v>
      </c>
      <c r="AA27" s="11">
        <f>INDEX('[7]input data'!$F$1:$F$1108,AA76,1)</f>
        <v>25.4</v>
      </c>
      <c r="AB27" s="11">
        <f>INDEX('[7]input data'!$F$1:$F$1108,AB76,1)</f>
        <v>25.8</v>
      </c>
      <c r="AC27" s="11">
        <f>INDEX('[7]input data'!$F$1:$F$1108,AC76,1)</f>
        <v>25.4</v>
      </c>
      <c r="AD27" s="11">
        <f>INDEX('[7]input data'!$F$1:$F$1108,AD76,1)</f>
        <v>24.6</v>
      </c>
      <c r="AE27" s="11">
        <f>INDEX('[7]input data'!$F$1:$F$1108,AE76,1)</f>
        <v>24.7</v>
      </c>
      <c r="AF27" s="11">
        <f>INDEX('[7]input data'!$F$1:$F$1108,AF76,1)</f>
        <v>24.8</v>
      </c>
      <c r="AG27" s="11">
        <f>INDEX('[7]input data'!$F$1:$F$1108,AG76,1)</f>
        <v>24.2</v>
      </c>
      <c r="AH27" s="12">
        <f t="shared" si="2"/>
        <v>25.8</v>
      </c>
      <c r="AI27" s="13">
        <f t="shared" si="3"/>
        <v>23.7</v>
      </c>
      <c r="AJ27" s="16">
        <f t="shared" si="7"/>
        <v>24.830769230769231</v>
      </c>
      <c r="AM27" s="15">
        <v>13</v>
      </c>
      <c r="AN27" s="11">
        <f>INDEX('[7]input data'!$G$1:$G$1108,AO76,1)</f>
        <v>23.281650558659795</v>
      </c>
      <c r="AO27" s="11">
        <f>INDEX('[7]input data'!$G$1:$G$1108,AP76,1)</f>
        <v>22.390727376124811</v>
      </c>
      <c r="AP27" s="11">
        <f>INDEX('[7]input data'!$G$1:$G$1108,AQ76,1)</f>
        <v>23.318031457511136</v>
      </c>
      <c r="AQ27" s="11">
        <f>INDEX('[7]input data'!$G$1:$G$1108,AR76,1)</f>
        <v>23.212740182238996</v>
      </c>
      <c r="AR27" s="11">
        <f>INDEX('[7]input data'!$G$1:$G$1108,AS76,1)</f>
        <v>23.265416041293889</v>
      </c>
      <c r="AS27" s="11">
        <f>INDEX('[7]input data'!$G$1:$G$1108,AT76,1)</f>
        <v>23.680904262603566</v>
      </c>
      <c r="AT27" s="11">
        <f>INDEX('[7]input data'!$G$1:$G$1108,AU76,1)</f>
        <v>23.394590685489504</v>
      </c>
      <c r="AU27" s="11">
        <f>INDEX('[7]input data'!$G$1:$G$1108,AV76,1)</f>
        <v>24.1010596629962</v>
      </c>
      <c r="AV27" s="11">
        <f>INDEX('[7]input data'!$G$1:$G$1108,AW76,1)</f>
        <v>23.933335820614669</v>
      </c>
      <c r="AW27" s="11">
        <f>INDEX('[7]input data'!$G$1:$G$1108,AX76,1)</f>
        <v>23.072611503492613</v>
      </c>
      <c r="AX27" s="11">
        <f>INDEX('[7]input data'!$G$1:$G$1108,AY76,1)</f>
        <v>23.545262944402548</v>
      </c>
      <c r="AY27" s="11">
        <f>INDEX('[7]input data'!$G$1:$G$1108,AZ76,1)</f>
        <v>23.918598073842094</v>
      </c>
      <c r="AZ27" s="11">
        <f>INDEX('[7]input data'!$G$1:$G$1108,BA76,1)</f>
        <v>23.247201183448343</v>
      </c>
      <c r="BA27" s="12">
        <f t="shared" si="4"/>
        <v>24.1010596629962</v>
      </c>
      <c r="BB27" s="13">
        <f t="shared" si="5"/>
        <v>22.390727376124811</v>
      </c>
      <c r="BC27" s="16">
        <f t="shared" si="8"/>
        <v>23.412471519439858</v>
      </c>
    </row>
    <row r="28" spans="1:55" ht="14.25" customHeight="1" x14ac:dyDescent="0.25">
      <c r="A28" s="15">
        <v>14</v>
      </c>
      <c r="B28" s="11">
        <f>'[7]input data'!E474</f>
        <v>24.2</v>
      </c>
      <c r="C28" s="11">
        <f>'[7]input data'!E475</f>
        <v>24.8</v>
      </c>
      <c r="D28" s="11">
        <f>'[7]input data'!E476</f>
        <v>26.7</v>
      </c>
      <c r="E28" s="11">
        <f>'[7]input data'!E477</f>
        <v>27.5</v>
      </c>
      <c r="F28" s="11">
        <f>'[7]input data'!E478</f>
        <v>28.4</v>
      </c>
      <c r="G28" s="11">
        <f>'[7]input data'!E479</f>
        <v>29.2</v>
      </c>
      <c r="H28" s="11">
        <f>'[7]input data'!E480</f>
        <v>29.8</v>
      </c>
      <c r="I28" s="11">
        <f>'[7]input data'!E481</f>
        <v>30.6</v>
      </c>
      <c r="J28" s="11">
        <f>'[7]input data'!E482</f>
        <v>31.3</v>
      </c>
      <c r="K28" s="11">
        <f>'[7]input data'!E483</f>
        <v>30.7</v>
      </c>
      <c r="L28" s="11">
        <f>'[7]input data'!E484</f>
        <v>29.5</v>
      </c>
      <c r="M28" s="11">
        <f>'[7]input data'!E485</f>
        <v>27</v>
      </c>
      <c r="N28" s="11">
        <f>'[7]input data'!E486</f>
        <v>26.3</v>
      </c>
      <c r="O28" s="12">
        <f t="shared" si="0"/>
        <v>31.3</v>
      </c>
      <c r="P28" s="13">
        <f t="shared" si="1"/>
        <v>24.2</v>
      </c>
      <c r="Q28" s="16">
        <f t="shared" si="6"/>
        <v>28.153846153846153</v>
      </c>
      <c r="T28" s="15">
        <v>14</v>
      </c>
      <c r="U28" s="11">
        <f>INDEX('[7]input data'!$F$1:$F$1108,U77,1)</f>
        <v>23.7</v>
      </c>
      <c r="V28" s="11">
        <f>INDEX('[7]input data'!$F$1:$F$1108,V77,1)</f>
        <v>23.8</v>
      </c>
      <c r="W28" s="11">
        <f>INDEX('[7]input data'!$F$1:$F$1108,W77,1)</f>
        <v>24.6</v>
      </c>
      <c r="X28" s="11">
        <f>INDEX('[7]input data'!$F$1:$F$1108,X77,1)</f>
        <v>24.7</v>
      </c>
      <c r="Y28" s="11">
        <f>INDEX('[7]input data'!$F$1:$F$1108,Y77,1)</f>
        <v>24.5</v>
      </c>
      <c r="Z28" s="11">
        <f>INDEX('[7]input data'!$F$1:$F$1108,Z77,1)</f>
        <v>24.8</v>
      </c>
      <c r="AA28" s="11">
        <f>INDEX('[7]input data'!$F$1:$F$1108,AA77,1)</f>
        <v>24.6</v>
      </c>
      <c r="AB28" s="11">
        <f>INDEX('[7]input data'!$F$1:$F$1108,AB77,1)</f>
        <v>24.5</v>
      </c>
      <c r="AC28" s="11">
        <f>INDEX('[7]input data'!$F$1:$F$1108,AC77,1)</f>
        <v>24.7</v>
      </c>
      <c r="AD28" s="11">
        <f>INDEX('[7]input data'!$F$1:$F$1108,AD77,1)</f>
        <v>24.4</v>
      </c>
      <c r="AE28" s="11">
        <f>INDEX('[7]input data'!$F$1:$F$1108,AE77,1)</f>
        <v>24.3</v>
      </c>
      <c r="AF28" s="11">
        <f>INDEX('[7]input data'!$F$1:$F$1108,AF77,1)</f>
        <v>24.9</v>
      </c>
      <c r="AG28" s="11">
        <f>INDEX('[7]input data'!$F$1:$F$1108,AG77,1)</f>
        <v>24.5</v>
      </c>
      <c r="AH28" s="12">
        <f t="shared" si="2"/>
        <v>24.9</v>
      </c>
      <c r="AI28" s="13">
        <f t="shared" si="3"/>
        <v>23.7</v>
      </c>
      <c r="AJ28" s="16">
        <f t="shared" si="7"/>
        <v>24.461538461538456</v>
      </c>
      <c r="AM28" s="15">
        <v>14</v>
      </c>
      <c r="AN28" s="11">
        <f>INDEX('[7]input data'!$G$1:$G$1108,AO77,1)</f>
        <v>23.37303815542662</v>
      </c>
      <c r="AO28" s="11">
        <f>INDEX('[7]input data'!$G$1:$G$1108,AP77,1)</f>
        <v>23.246174595512937</v>
      </c>
      <c r="AP28" s="11">
        <f>INDEX('[7]input data'!$G$1:$G$1108,AQ77,1)</f>
        <v>23.575350595291621</v>
      </c>
      <c r="AQ28" s="11">
        <f>INDEX('[7]input data'!$G$1:$G$1108,AR77,1)</f>
        <v>23.363695800806138</v>
      </c>
      <c r="AR28" s="11">
        <f>INDEX('[7]input data'!$G$1:$G$1108,AS77,1)</f>
        <v>22.635899802692006</v>
      </c>
      <c r="AS28" s="11">
        <f>INDEX('[7]input data'!$G$1:$G$1108,AT77,1)</f>
        <v>22.730458944972405</v>
      </c>
      <c r="AT28" s="11">
        <f>INDEX('[7]input data'!$G$1:$G$1108,AU77,1)</f>
        <v>22.122834462404985</v>
      </c>
      <c r="AU28" s="11">
        <f>INDEX('[7]input data'!$G$1:$G$1108,AV77,1)</f>
        <v>21.563165499391832</v>
      </c>
      <c r="AV28" s="11">
        <f>INDEX('[7]input data'!$G$1:$G$1108,AW77,1)</f>
        <v>21.545806663132904</v>
      </c>
      <c r="AW28" s="11">
        <f>INDEX('[7]input data'!$G$1:$G$1108,AX77,1)</f>
        <v>21.345674920286211</v>
      </c>
      <c r="AX28" s="11">
        <f>INDEX('[7]input data'!$G$1:$G$1108,AY77,1)</f>
        <v>21.782373423989686</v>
      </c>
      <c r="AY28" s="11">
        <f>INDEX('[7]input data'!$G$1:$G$1108,AZ77,1)</f>
        <v>23.890133080418831</v>
      </c>
      <c r="AZ28" s="11">
        <f>INDEX('[7]input data'!$G$1:$G$1108,BA77,1)</f>
        <v>23.605936182140407</v>
      </c>
      <c r="BA28" s="12">
        <f t="shared" si="4"/>
        <v>23.890133080418831</v>
      </c>
      <c r="BB28" s="13">
        <f t="shared" si="5"/>
        <v>21.345674920286211</v>
      </c>
      <c r="BC28" s="16">
        <f t="shared" si="8"/>
        <v>22.675426317420506</v>
      </c>
    </row>
    <row r="29" spans="1:55" ht="14.25" customHeight="1" x14ac:dyDescent="0.25">
      <c r="A29" s="15">
        <v>15</v>
      </c>
      <c r="B29" s="11">
        <f>'[7]input data'!E510</f>
        <v>24.8</v>
      </c>
      <c r="C29" s="11">
        <f>'[7]input data'!E511</f>
        <v>26</v>
      </c>
      <c r="D29" s="11">
        <f>'[7]input data'!E512</f>
        <v>27.2</v>
      </c>
      <c r="E29" s="11">
        <f>'[7]input data'!E513</f>
        <v>28</v>
      </c>
      <c r="F29" s="11">
        <f>'[7]input data'!E514</f>
        <v>29.2</v>
      </c>
      <c r="G29" s="11">
        <f>'[7]input data'!E515</f>
        <v>29.4</v>
      </c>
      <c r="H29" s="11">
        <f>'[7]input data'!E516</f>
        <v>29.3</v>
      </c>
      <c r="I29" s="11">
        <f>'[7]input data'!E517</f>
        <v>29</v>
      </c>
      <c r="J29" s="11">
        <f>'[7]input data'!E518</f>
        <v>29</v>
      </c>
      <c r="K29" s="11">
        <f>'[7]input data'!E519</f>
        <v>28.4</v>
      </c>
      <c r="L29" s="11">
        <f>'[7]input data'!E520</f>
        <v>28.2</v>
      </c>
      <c r="M29" s="11">
        <f>'[7]input data'!E521</f>
        <v>27.2</v>
      </c>
      <c r="N29" s="11">
        <f>'[7]input data'!E522</f>
        <v>26.8</v>
      </c>
      <c r="O29" s="12">
        <f t="shared" si="0"/>
        <v>29.4</v>
      </c>
      <c r="P29" s="13">
        <f t="shared" si="1"/>
        <v>24.8</v>
      </c>
      <c r="Q29" s="16">
        <f t="shared" si="6"/>
        <v>27.884615384615383</v>
      </c>
      <c r="T29" s="15">
        <v>15</v>
      </c>
      <c r="U29" s="11">
        <f>INDEX('[7]input data'!$F$1:$F$1108,U78,1)</f>
        <v>23.7</v>
      </c>
      <c r="V29" s="11">
        <f>INDEX('[7]input data'!$F$1:$F$1108,V78,1)</f>
        <v>24</v>
      </c>
      <c r="W29" s="11">
        <f>INDEX('[7]input data'!$F$1:$F$1108,W78,1)</f>
        <v>24.3</v>
      </c>
      <c r="X29" s="11">
        <f>INDEX('[7]input data'!$F$1:$F$1108,X78,1)</f>
        <v>24.7</v>
      </c>
      <c r="Y29" s="11">
        <f>INDEX('[7]input data'!$F$1:$F$1108,Y78,1)</f>
        <v>25.3</v>
      </c>
      <c r="Z29" s="11">
        <f>INDEX('[7]input data'!$F$1:$F$1108,Z78,1)</f>
        <v>25.2</v>
      </c>
      <c r="AA29" s="11">
        <f>INDEX('[7]input data'!$F$1:$F$1108,AA78,1)</f>
        <v>25.3</v>
      </c>
      <c r="AB29" s="11">
        <f>INDEX('[7]input data'!$F$1:$F$1108,AB78,1)</f>
        <v>25.2</v>
      </c>
      <c r="AC29" s="11">
        <f>INDEX('[7]input data'!$F$1:$F$1108,AC78,1)</f>
        <v>25.6</v>
      </c>
      <c r="AD29" s="11">
        <f>INDEX('[7]input data'!$F$1:$F$1108,AD78,1)</f>
        <v>25</v>
      </c>
      <c r="AE29" s="11">
        <f>INDEX('[7]input data'!$F$1:$F$1108,AE78,1)</f>
        <v>24.4</v>
      </c>
      <c r="AF29" s="11">
        <f>INDEX('[7]input data'!$F$1:$F$1108,AF78,1)</f>
        <v>24.4</v>
      </c>
      <c r="AG29" s="11">
        <f>INDEX('[7]input data'!$F$1:$F$1108,AG78,1)</f>
        <v>24.7</v>
      </c>
      <c r="AH29" s="12">
        <f t="shared" si="2"/>
        <v>25.6</v>
      </c>
      <c r="AI29" s="13">
        <f t="shared" si="3"/>
        <v>23.7</v>
      </c>
      <c r="AJ29" s="16">
        <f t="shared" si="7"/>
        <v>24.753846153846151</v>
      </c>
      <c r="AM29" s="15">
        <v>15</v>
      </c>
      <c r="AN29" s="11">
        <f>INDEX('[7]input data'!$G$1:$G$1108,AO78,1)</f>
        <v>23.097543487541294</v>
      </c>
      <c r="AO29" s="11">
        <f>INDEX('[7]input data'!$G$1:$G$1108,AP78,1)</f>
        <v>22.991501967304046</v>
      </c>
      <c r="AP29" s="11">
        <f>INDEX('[7]input data'!$G$1:$G$1108,AQ78,1)</f>
        <v>22.889828189285673</v>
      </c>
      <c r="AQ29" s="11">
        <f>INDEX('[7]input data'!$G$1:$G$1108,AR78,1)</f>
        <v>23.134266780435102</v>
      </c>
      <c r="AR29" s="11">
        <f>INDEX('[7]input data'!$G$1:$G$1108,AS78,1)</f>
        <v>23.511724268218156</v>
      </c>
      <c r="AS29" s="11">
        <f>INDEX('[7]input data'!$G$1:$G$1108,AT78,1)</f>
        <v>23.265416041293889</v>
      </c>
      <c r="AT29" s="11">
        <f>INDEX('[7]input data'!$G$1:$G$1108,AU78,1)</f>
        <v>23.466413061032977</v>
      </c>
      <c r="AU29" s="11">
        <f>INDEX('[7]input data'!$G$1:$G$1108,AV78,1)</f>
        <v>23.447926951785295</v>
      </c>
      <c r="AV29" s="11">
        <f>INDEX('[7]input data'!$G$1:$G$1108,AW78,1)</f>
        <v>24.060288665251548</v>
      </c>
      <c r="AW29" s="11">
        <f>INDEX('[7]input data'!$G$1:$G$1108,AX78,1)</f>
        <v>23.412597481878489</v>
      </c>
      <c r="AX29" s="11">
        <f>INDEX('[7]input data'!$G$1:$G$1108,AY78,1)</f>
        <v>22.573749319862735</v>
      </c>
      <c r="AY29" s="11">
        <f>INDEX('[7]input data'!$G$1:$G$1108,AZ78,1)</f>
        <v>23.043390041601409</v>
      </c>
      <c r="AZ29" s="11">
        <f>INDEX('[7]input data'!$G$1:$G$1108,BA78,1)</f>
        <v>23.680309123146266</v>
      </c>
      <c r="BA29" s="12">
        <f t="shared" si="4"/>
        <v>24.060288665251548</v>
      </c>
      <c r="BB29" s="13">
        <f t="shared" si="5"/>
        <v>22.573749319862735</v>
      </c>
      <c r="BC29" s="16">
        <f t="shared" si="8"/>
        <v>23.274996567587451</v>
      </c>
    </row>
    <row r="30" spans="1:55" ht="14.25" customHeight="1" x14ac:dyDescent="0.25">
      <c r="A30" s="15">
        <v>16</v>
      </c>
      <c r="B30" s="11">
        <f>'[7]input data'!E546</f>
        <v>24</v>
      </c>
      <c r="C30" s="11">
        <f>'[7]input data'!E547</f>
        <v>24.5</v>
      </c>
      <c r="D30" s="11">
        <f>'[7]input data'!E548</f>
        <v>24.8</v>
      </c>
      <c r="E30" s="11">
        <f>'[7]input data'!E549</f>
        <v>25.3</v>
      </c>
      <c r="F30" s="11">
        <f>'[7]input data'!E550</f>
        <v>25.6</v>
      </c>
      <c r="G30" s="11">
        <f>'[7]input data'!E551</f>
        <v>26</v>
      </c>
      <c r="H30" s="11">
        <f>'[7]input data'!E552</f>
        <v>26.5</v>
      </c>
      <c r="I30" s="11">
        <f>'[7]input data'!E553</f>
        <v>27.2</v>
      </c>
      <c r="J30" s="11">
        <f>'[7]input data'!E554</f>
        <v>26</v>
      </c>
      <c r="K30" s="11">
        <f>'[7]input data'!E555</f>
        <v>26.1</v>
      </c>
      <c r="L30" s="11">
        <f>'[7]input data'!E556</f>
        <v>25.8</v>
      </c>
      <c r="M30" s="11">
        <f>'[7]input data'!E557</f>
        <v>25</v>
      </c>
      <c r="N30" s="11">
        <f>'[7]input data'!E558</f>
        <v>24.7</v>
      </c>
      <c r="O30" s="12">
        <f t="shared" si="0"/>
        <v>27.2</v>
      </c>
      <c r="P30" s="13">
        <f t="shared" si="1"/>
        <v>24</v>
      </c>
      <c r="Q30" s="16">
        <f t="shared" si="6"/>
        <v>25.499999999999996</v>
      </c>
      <c r="T30" s="15">
        <v>16</v>
      </c>
      <c r="U30" s="11">
        <f>INDEX('[7]input data'!$F$1:$F$1108,U79,1)</f>
        <v>23.3</v>
      </c>
      <c r="V30" s="11">
        <f>INDEX('[7]input data'!$F$1:$F$1108,V79,1)</f>
        <v>23.8</v>
      </c>
      <c r="W30" s="11">
        <f>INDEX('[7]input data'!$F$1:$F$1108,W79,1)</f>
        <v>23.8</v>
      </c>
      <c r="X30" s="11">
        <f>INDEX('[7]input data'!$F$1:$F$1108,X79,1)</f>
        <v>23.6</v>
      </c>
      <c r="Y30" s="11">
        <f>INDEX('[7]input data'!$F$1:$F$1108,Y79,1)</f>
        <v>23.4</v>
      </c>
      <c r="Z30" s="11">
        <f>INDEX('[7]input data'!$F$1:$F$1108,Z79,1)</f>
        <v>23.2</v>
      </c>
      <c r="AA30" s="11">
        <f>INDEX('[7]input data'!$F$1:$F$1108,AA79,1)</f>
        <v>23.3</v>
      </c>
      <c r="AB30" s="11">
        <f>INDEX('[7]input data'!$F$1:$F$1108,AB79,1)</f>
        <v>24.2</v>
      </c>
      <c r="AC30" s="11">
        <f>INDEX('[7]input data'!$F$1:$F$1108,AC79,1)</f>
        <v>22.8</v>
      </c>
      <c r="AD30" s="11">
        <f>INDEX('[7]input data'!$F$1:$F$1108,AD79,1)</f>
        <v>23.2</v>
      </c>
      <c r="AE30" s="11">
        <f>INDEX('[7]input data'!$F$1:$F$1108,AE79,1)</f>
        <v>23.6</v>
      </c>
      <c r="AF30" s="11">
        <f>INDEX('[7]input data'!$F$1:$F$1108,AF79,1)</f>
        <v>23.5</v>
      </c>
      <c r="AG30" s="11">
        <f>INDEX('[7]input data'!$F$1:$F$1108,AG79,1)</f>
        <v>23.3</v>
      </c>
      <c r="AH30" s="12">
        <f t="shared" si="2"/>
        <v>24.2</v>
      </c>
      <c r="AI30" s="13">
        <f t="shared" si="3"/>
        <v>22.8</v>
      </c>
      <c r="AJ30" s="16">
        <f t="shared" si="7"/>
        <v>23.46153846153846</v>
      </c>
      <c r="AM30" s="15">
        <v>16</v>
      </c>
      <c r="AN30" s="11">
        <f>INDEX('[7]input data'!$G$1:$G$1108,AO79,1)</f>
        <v>22.874758389046743</v>
      </c>
      <c r="AO30" s="11">
        <f>INDEX('[7]input data'!$G$1:$G$1108,AP79,1)</f>
        <v>23.383347698406446</v>
      </c>
      <c r="AP30" s="11">
        <f>INDEX('[7]input data'!$G$1:$G$1108,AQ79,1)</f>
        <v>23.246174595512937</v>
      </c>
      <c r="AQ30" s="11">
        <f>INDEX('[7]input data'!$G$1:$G$1108,AR79,1)</f>
        <v>22.713748663769724</v>
      </c>
      <c r="AR30" s="11">
        <f>INDEX('[7]input data'!$G$1:$G$1108,AS79,1)</f>
        <v>22.265061411393539</v>
      </c>
      <c r="AS30" s="11">
        <f>INDEX('[7]input data'!$G$1:$G$1108,AT79,1)</f>
        <v>21.758108440057615</v>
      </c>
      <c r="AT30" s="11">
        <f>INDEX('[7]input data'!$G$1:$G$1108,AU79,1)</f>
        <v>21.66692668789975</v>
      </c>
      <c r="AU30" s="11">
        <f>INDEX('[7]input data'!$G$1:$G$1108,AV79,1)</f>
        <v>22.735575147904516</v>
      </c>
      <c r="AV30" s="11">
        <f>INDEX('[7]input data'!$G$1:$G$1108,AW79,1)</f>
        <v>21.123805308926201</v>
      </c>
      <c r="AW30" s="11">
        <f>INDEX('[7]input data'!$G$1:$G$1108,AX79,1)</f>
        <v>21.708384753354814</v>
      </c>
      <c r="AX30" s="11">
        <f>INDEX('[7]input data'!$G$1:$G$1108,AY79,1)</f>
        <v>22.476265609365306</v>
      </c>
      <c r="AY30" s="11">
        <f>INDEX('[7]input data'!$G$1:$G$1108,AZ79,1)</f>
        <v>22.704170413916749</v>
      </c>
      <c r="AZ30" s="11">
        <f>INDEX('[7]input data'!$G$1:$G$1108,BA79,1)</f>
        <v>22.54430162625011</v>
      </c>
      <c r="BA30" s="12">
        <f t="shared" si="4"/>
        <v>23.383347698406446</v>
      </c>
      <c r="BB30" s="13">
        <f t="shared" si="5"/>
        <v>21.123805308926201</v>
      </c>
      <c r="BC30" s="16">
        <f t="shared" si="8"/>
        <v>22.400048365061878</v>
      </c>
    </row>
    <row r="31" spans="1:55" ht="14.25" customHeight="1" x14ac:dyDescent="0.25">
      <c r="A31" s="15">
        <v>17</v>
      </c>
      <c r="B31" s="11">
        <f>'[7]input data'!E582</f>
        <v>23.1</v>
      </c>
      <c r="C31" s="11">
        <f>'[7]input data'!E583</f>
        <v>24.3</v>
      </c>
      <c r="D31" s="11">
        <f>'[7]input data'!E584</f>
        <v>25.6</v>
      </c>
      <c r="E31" s="11">
        <f>'[7]input data'!E585</f>
        <v>27.3</v>
      </c>
      <c r="F31" s="11">
        <f>'[7]input data'!E586</f>
        <v>28.9</v>
      </c>
      <c r="G31" s="11">
        <f>'[7]input data'!E587</f>
        <v>29.6</v>
      </c>
      <c r="H31" s="11">
        <f>'[7]input data'!E588</f>
        <v>29.4</v>
      </c>
      <c r="I31" s="11">
        <f>'[7]input data'!E589</f>
        <v>29</v>
      </c>
      <c r="J31" s="11">
        <f>'[7]input data'!E590</f>
        <v>28.4</v>
      </c>
      <c r="K31" s="11">
        <f>'[7]input data'!E591</f>
        <v>27.6</v>
      </c>
      <c r="L31" s="11">
        <f>'[7]input data'!E592</f>
        <v>27</v>
      </c>
      <c r="M31" s="11">
        <f>'[7]input data'!E593</f>
        <v>26.4</v>
      </c>
      <c r="N31" s="11">
        <f>'[7]input data'!E594</f>
        <v>26</v>
      </c>
      <c r="O31" s="12">
        <f t="shared" si="0"/>
        <v>29.6</v>
      </c>
      <c r="P31" s="13">
        <f t="shared" si="1"/>
        <v>23.1</v>
      </c>
      <c r="Q31" s="16">
        <f t="shared" si="6"/>
        <v>27.123076923076919</v>
      </c>
      <c r="T31" s="15">
        <v>17</v>
      </c>
      <c r="U31" s="11">
        <f>INDEX('[7]input data'!$F$1:$F$1108,U80,1)</f>
        <v>22.3</v>
      </c>
      <c r="V31" s="11">
        <f>INDEX('[7]input data'!$F$1:$F$1108,V80,1)</f>
        <v>23</v>
      </c>
      <c r="W31" s="11">
        <f>INDEX('[7]input data'!$F$1:$F$1108,W80,1)</f>
        <v>23.4</v>
      </c>
      <c r="X31" s="11">
        <f>INDEX('[7]input data'!$F$1:$F$1108,X80,1)</f>
        <v>23.7</v>
      </c>
      <c r="Y31" s="11">
        <f>INDEX('[7]input data'!$F$1:$F$1108,Y80,1)</f>
        <v>23.8</v>
      </c>
      <c r="Z31" s="11">
        <f>INDEX('[7]input data'!$F$1:$F$1108,Z80,1)</f>
        <v>24.5</v>
      </c>
      <c r="AA31" s="11">
        <f>INDEX('[7]input data'!$F$1:$F$1108,AA80,1)</f>
        <v>24</v>
      </c>
      <c r="AB31" s="11">
        <f>INDEX('[7]input data'!$F$1:$F$1108,AB80,1)</f>
        <v>24.2</v>
      </c>
      <c r="AC31" s="11">
        <f>INDEX('[7]input data'!$F$1:$F$1108,AC80,1)</f>
        <v>24.2</v>
      </c>
      <c r="AD31" s="11">
        <f>INDEX('[7]input data'!$F$1:$F$1108,AD80,1)</f>
        <v>24.4</v>
      </c>
      <c r="AE31" s="11">
        <f>INDEX('[7]input data'!$F$1:$F$1108,AE80,1)</f>
        <v>24.4</v>
      </c>
      <c r="AF31" s="11">
        <f>INDEX('[7]input data'!$F$1:$F$1108,AF80,1)</f>
        <v>24.4</v>
      </c>
      <c r="AG31" s="11">
        <f>INDEX('[7]input data'!$F$1:$F$1108,AG80,1)</f>
        <v>24.4</v>
      </c>
      <c r="AH31" s="12">
        <f t="shared" si="2"/>
        <v>24.5</v>
      </c>
      <c r="AI31" s="13">
        <f t="shared" si="3"/>
        <v>22.3</v>
      </c>
      <c r="AJ31" s="16">
        <f t="shared" si="7"/>
        <v>23.899999999999995</v>
      </c>
      <c r="AM31" s="15">
        <v>17</v>
      </c>
      <c r="AN31" s="11">
        <f>INDEX('[7]input data'!$G$1:$G$1108,AO80,1)</f>
        <v>21.807316589954077</v>
      </c>
      <c r="AO31" s="11">
        <f>INDEX('[7]input data'!$G$1:$G$1108,AP80,1)</f>
        <v>22.281939548814325</v>
      </c>
      <c r="AP31" s="11">
        <f>INDEX('[7]input data'!$G$1:$G$1108,AQ80,1)</f>
        <v>22.265061411393539</v>
      </c>
      <c r="AQ31" s="11">
        <f>INDEX('[7]input data'!$G$1:$G$1108,AR80,1)</f>
        <v>21.904344842005919</v>
      </c>
      <c r="AR31" s="11">
        <f>INDEX('[7]input data'!$G$1:$G$1108,AS80,1)</f>
        <v>21.264102421825854</v>
      </c>
      <c r="AS31" s="11">
        <f>INDEX('[7]input data'!$G$1:$G$1108,AT80,1)</f>
        <v>22.058377213189214</v>
      </c>
      <c r="AT31" s="11">
        <f>INDEX('[7]input data'!$G$1:$G$1108,AU80,1)</f>
        <v>21.339773119354938</v>
      </c>
      <c r="AU31" s="11">
        <f>INDEX('[7]input data'!$G$1:$G$1108,AV80,1)</f>
        <v>21.867237103039482</v>
      </c>
      <c r="AV31" s="11">
        <f>INDEX('[7]input data'!$G$1:$G$1108,AW80,1)</f>
        <v>22.161158941710486</v>
      </c>
      <c r="AW31" s="11">
        <f>INDEX('[7]input data'!$G$1:$G$1108,AX80,1)</f>
        <v>22.856931791434171</v>
      </c>
      <c r="AX31" s="11">
        <f>INDEX('[7]input data'!$G$1:$G$1108,AY80,1)</f>
        <v>23.135934889422426</v>
      </c>
      <c r="AY31" s="11">
        <f>INDEX('[7]input data'!$G$1:$G$1108,AZ80,1)</f>
        <v>23.41088917767016</v>
      </c>
      <c r="AZ31" s="11">
        <f>INDEX('[7]input data'!$G$1:$G$1108,BA80,1)</f>
        <v>23.592004375769026</v>
      </c>
      <c r="BA31" s="12">
        <f t="shared" si="4"/>
        <v>23.592004375769026</v>
      </c>
      <c r="BB31" s="13">
        <f t="shared" si="5"/>
        <v>21.264102421825854</v>
      </c>
      <c r="BC31" s="16">
        <f t="shared" si="8"/>
        <v>22.303467032737199</v>
      </c>
    </row>
    <row r="32" spans="1:55" ht="14.25" customHeight="1" x14ac:dyDescent="0.25">
      <c r="A32" s="15">
        <v>18</v>
      </c>
      <c r="B32" s="11">
        <f>'[7]input data'!E618</f>
        <v>24.2</v>
      </c>
      <c r="C32" s="11">
        <f>'[7]input data'!E619</f>
        <v>25.3</v>
      </c>
      <c r="D32" s="11">
        <f>'[7]input data'!E620</f>
        <v>26.4</v>
      </c>
      <c r="E32" s="11">
        <f>'[7]input data'!E621</f>
        <v>27.2</v>
      </c>
      <c r="F32" s="11">
        <f>'[7]input data'!E622</f>
        <v>28.2</v>
      </c>
      <c r="G32" s="11">
        <f>'[7]input data'!E623</f>
        <v>29.3</v>
      </c>
      <c r="H32" s="11">
        <f>'[7]input data'!E624</f>
        <v>29.4</v>
      </c>
      <c r="I32" s="11">
        <f>'[7]input data'!E625</f>
        <v>29.6</v>
      </c>
      <c r="J32" s="11">
        <f>'[7]input data'!E626</f>
        <v>29.4</v>
      </c>
      <c r="K32" s="11">
        <f>'[7]input data'!E627</f>
        <v>28.6</v>
      </c>
      <c r="L32" s="11">
        <f>'[7]input data'!E628</f>
        <v>26.6</v>
      </c>
      <c r="M32" s="11">
        <f>'[7]input data'!E629</f>
        <v>26</v>
      </c>
      <c r="N32" s="11">
        <f>'[7]input data'!E630</f>
        <v>25.6</v>
      </c>
      <c r="O32" s="12">
        <f t="shared" si="0"/>
        <v>29.6</v>
      </c>
      <c r="P32" s="13">
        <f t="shared" si="1"/>
        <v>24.2</v>
      </c>
      <c r="Q32" s="16">
        <f t="shared" si="6"/>
        <v>27.369230769230775</v>
      </c>
      <c r="T32" s="15">
        <v>18</v>
      </c>
      <c r="U32" s="11">
        <f>INDEX('[7]input data'!$F$1:$F$1108,U81,1)</f>
        <v>22.4</v>
      </c>
      <c r="V32" s="11">
        <f>INDEX('[7]input data'!$F$1:$F$1108,V81,1)</f>
        <v>22.1</v>
      </c>
      <c r="W32" s="11">
        <f>INDEX('[7]input data'!$F$1:$F$1108,W81,1)</f>
        <v>23.2</v>
      </c>
      <c r="X32" s="11">
        <f>INDEX('[7]input data'!$F$1:$F$1108,X81,1)</f>
        <v>23.7</v>
      </c>
      <c r="Y32" s="11">
        <f>INDEX('[7]input data'!$F$1:$F$1108,Y81,1)</f>
        <v>24.2</v>
      </c>
      <c r="Z32" s="11">
        <f>INDEX('[7]input data'!$F$1:$F$1108,Z81,1)</f>
        <v>24.6</v>
      </c>
      <c r="AA32" s="11">
        <f>INDEX('[7]input data'!$F$1:$F$1108,AA81,1)</f>
        <v>24.6</v>
      </c>
      <c r="AB32" s="11">
        <f>INDEX('[7]input data'!$F$1:$F$1108,AB81,1)</f>
        <v>25</v>
      </c>
      <c r="AC32" s="11">
        <f>INDEX('[7]input data'!$F$1:$F$1108,AC81,1)</f>
        <v>25</v>
      </c>
      <c r="AD32" s="11">
        <f>INDEX('[7]input data'!$F$1:$F$1108,AD81,1)</f>
        <v>24.8</v>
      </c>
      <c r="AE32" s="11">
        <f>INDEX('[7]input data'!$F$1:$F$1108,AE81,1)</f>
        <v>23.4</v>
      </c>
      <c r="AF32" s="11">
        <f>INDEX('[7]input data'!$F$1:$F$1108,AF81,1)</f>
        <v>23.4</v>
      </c>
      <c r="AG32" s="11">
        <f>INDEX('[7]input data'!$F$1:$F$1108,AG81,1)</f>
        <v>23.4</v>
      </c>
      <c r="AH32" s="12">
        <f t="shared" si="2"/>
        <v>25</v>
      </c>
      <c r="AI32" s="13">
        <f t="shared" si="3"/>
        <v>22.1</v>
      </c>
      <c r="AJ32" s="16">
        <f t="shared" si="7"/>
        <v>23.830769230769228</v>
      </c>
      <c r="AM32" s="15">
        <v>18</v>
      </c>
      <c r="AN32" s="11">
        <f>INDEX('[7]input data'!$G$1:$G$1108,AO81,1)</f>
        <v>21.410279941613915</v>
      </c>
      <c r="AO32" s="11">
        <f>INDEX('[7]input data'!$G$1:$G$1108,AP81,1)</f>
        <v>20.360968552192105</v>
      </c>
      <c r="AP32" s="11">
        <f>INDEX('[7]input data'!$G$1:$G$1108,AQ81,1)</f>
        <v>21.558416450479999</v>
      </c>
      <c r="AQ32" s="11">
        <f>INDEX('[7]input data'!$G$1:$G$1108,AR81,1)</f>
        <v>21.953553690922497</v>
      </c>
      <c r="AR32" s="11">
        <f>INDEX('[7]input data'!$G$1:$G$1108,AS81,1)</f>
        <v>22.258119917094085</v>
      </c>
      <c r="AS32" s="11">
        <f>INDEX('[7]input data'!$G$1:$G$1108,AT81,1)</f>
        <v>22.364801778753755</v>
      </c>
      <c r="AT32" s="11">
        <f>INDEX('[7]input data'!$G$1:$G$1108,AU81,1)</f>
        <v>22.316656612844575</v>
      </c>
      <c r="AU32" s="11">
        <f>INDEX('[7]input data'!$G$1:$G$1108,AV81,1)</f>
        <v>22.858668311959782</v>
      </c>
      <c r="AV32" s="11">
        <f>INDEX('[7]input data'!$G$1:$G$1108,AW81,1)</f>
        <v>22.952122264170168</v>
      </c>
      <c r="AW32" s="11">
        <f>INDEX('[7]input data'!$G$1:$G$1108,AX81,1)</f>
        <v>23.011327145203094</v>
      </c>
      <c r="AX32" s="11">
        <f>INDEX('[7]input data'!$G$1:$G$1108,AY81,1)</f>
        <v>21.775380812344167</v>
      </c>
      <c r="AY32" s="11">
        <f>INDEX('[7]input data'!$G$1:$G$1108,AZ81,1)</f>
        <v>22.070718744685575</v>
      </c>
      <c r="AZ32" s="11">
        <f>INDEX('[7]input data'!$G$1:$G$1108,BA81,1)</f>
        <v>22.265061411393539</v>
      </c>
      <c r="BA32" s="12">
        <f t="shared" si="4"/>
        <v>23.011327145203094</v>
      </c>
      <c r="BB32" s="13">
        <f t="shared" si="5"/>
        <v>20.360968552192105</v>
      </c>
      <c r="BC32" s="16">
        <f t="shared" si="8"/>
        <v>22.088928894896714</v>
      </c>
    </row>
    <row r="33" spans="1:55" ht="14.25" customHeight="1" x14ac:dyDescent="0.25">
      <c r="A33" s="15">
        <v>19</v>
      </c>
      <c r="B33" s="11">
        <f>'[7]input data'!E654</f>
        <v>23.2</v>
      </c>
      <c r="C33" s="11">
        <f>'[7]input data'!E655</f>
        <v>25</v>
      </c>
      <c r="D33" s="11">
        <f>'[7]input data'!E656</f>
        <v>27.2</v>
      </c>
      <c r="E33" s="11">
        <f>'[7]input data'!E657</f>
        <v>28.6</v>
      </c>
      <c r="F33" s="11">
        <f>'[7]input data'!E658</f>
        <v>29.4</v>
      </c>
      <c r="G33" s="11">
        <f>'[7]input data'!E659</f>
        <v>30.4</v>
      </c>
      <c r="H33" s="11">
        <f>'[7]input data'!E660</f>
        <v>30.8</v>
      </c>
      <c r="I33" s="11">
        <f>'[7]input data'!E661</f>
        <v>31.4</v>
      </c>
      <c r="J33" s="11">
        <f>'[7]input data'!E662</f>
        <v>30.8</v>
      </c>
      <c r="K33" s="11">
        <f>'[7]input data'!E663</f>
        <v>30</v>
      </c>
      <c r="L33" s="11">
        <f>'[7]input data'!E664</f>
        <v>28.6</v>
      </c>
      <c r="M33" s="11">
        <f>'[7]input data'!E665</f>
        <v>26.9</v>
      </c>
      <c r="N33" s="11">
        <f>'[7]input data'!E666</f>
        <v>25.8</v>
      </c>
      <c r="O33" s="12">
        <f t="shared" si="0"/>
        <v>31.4</v>
      </c>
      <c r="P33" s="13">
        <f t="shared" si="1"/>
        <v>23.2</v>
      </c>
      <c r="Q33" s="16">
        <f t="shared" si="6"/>
        <v>28.315384615384616</v>
      </c>
      <c r="T33" s="15">
        <v>19</v>
      </c>
      <c r="U33" s="11">
        <f>INDEX('[7]input data'!$F$1:$F$1108,U82,1)</f>
        <v>22</v>
      </c>
      <c r="V33" s="11">
        <f>INDEX('[7]input data'!$F$1:$F$1108,V82,1)</f>
        <v>22.3</v>
      </c>
      <c r="W33" s="11">
        <f>INDEX('[7]input data'!$F$1:$F$1108,W82,1)</f>
        <v>23.2</v>
      </c>
      <c r="X33" s="11">
        <f>INDEX('[7]input data'!$F$1:$F$1108,X82,1)</f>
        <v>23.4</v>
      </c>
      <c r="Y33" s="11">
        <f>INDEX('[7]input data'!$F$1:$F$1108,Y82,1)</f>
        <v>23.8</v>
      </c>
      <c r="Z33" s="11">
        <f>INDEX('[7]input data'!$F$1:$F$1108,Z82,1)</f>
        <v>24.5</v>
      </c>
      <c r="AA33" s="11">
        <f>INDEX('[7]input data'!$F$1:$F$1108,AA82,1)</f>
        <v>24.2</v>
      </c>
      <c r="AB33" s="11">
        <f>INDEX('[7]input data'!$F$1:$F$1108,AB82,1)</f>
        <v>24.6</v>
      </c>
      <c r="AC33" s="11">
        <f>INDEX('[7]input data'!$F$1:$F$1108,AC82,1)</f>
        <v>25.1</v>
      </c>
      <c r="AD33" s="11">
        <f>INDEX('[7]input data'!$F$1:$F$1108,AD82,1)</f>
        <v>25</v>
      </c>
      <c r="AE33" s="11">
        <f>INDEX('[7]input data'!$F$1:$F$1108,AE82,1)</f>
        <v>24.1</v>
      </c>
      <c r="AF33" s="11">
        <f>INDEX('[7]input data'!$F$1:$F$1108,AF82,1)</f>
        <v>23.6</v>
      </c>
      <c r="AG33" s="11">
        <f>INDEX('[7]input data'!$F$1:$F$1108,AG82,1)</f>
        <v>23.5</v>
      </c>
      <c r="AH33" s="12">
        <f t="shared" si="2"/>
        <v>25.1</v>
      </c>
      <c r="AI33" s="13">
        <f t="shared" si="3"/>
        <v>22</v>
      </c>
      <c r="AJ33" s="16">
        <f t="shared" si="7"/>
        <v>23.792307692307695</v>
      </c>
      <c r="AM33" s="15">
        <v>19</v>
      </c>
      <c r="AN33" s="11">
        <f>INDEX('[7]input data'!$G$1:$G$1108,AO82,1)</f>
        <v>21.298431701000982</v>
      </c>
      <c r="AO33" s="11">
        <f>INDEX('[7]input data'!$G$1:$G$1108,AP82,1)</f>
        <v>20.841837220940466</v>
      </c>
      <c r="AP33" s="11">
        <f>INDEX('[7]input data'!$G$1:$G$1108,AQ82,1)</f>
        <v>21.152517335305355</v>
      </c>
      <c r="AQ33" s="11">
        <f>INDEX('[7]input data'!$G$1:$G$1108,AR82,1)</f>
        <v>20.755814499189071</v>
      </c>
      <c r="AR33" s="11">
        <f>INDEX('[7]input data'!$G$1:$G$1108,AS82,1)</f>
        <v>21.007398684043931</v>
      </c>
      <c r="AS33" s="11">
        <f>INDEX('[7]input data'!$G$1:$G$1108,AT82,1)</f>
        <v>21.663260375206157</v>
      </c>
      <c r="AT33" s="11">
        <f>INDEX('[7]input data'!$G$1:$G$1108,AU82,1)</f>
        <v>20.956729082873636</v>
      </c>
      <c r="AU33" s="11">
        <f>INDEX('[7]input data'!$G$1:$G$1108,AV82,1)</f>
        <v>21.32688090912778</v>
      </c>
      <c r="AV33" s="11">
        <f>INDEX('[7]input data'!$G$1:$G$1108,AW82,1)</f>
        <v>22.450616739376258</v>
      </c>
      <c r="AW33" s="11">
        <f>INDEX('[7]input data'!$G$1:$G$1108,AX82,1)</f>
        <v>22.670362668359488</v>
      </c>
      <c r="AX33" s="11">
        <f>INDEX('[7]input data'!$G$1:$G$1108,AY82,1)</f>
        <v>21.90308947260036</v>
      </c>
      <c r="AY33" s="11">
        <f>INDEX('[7]input data'!$G$1:$G$1108,AZ82,1)</f>
        <v>21.943015124038137</v>
      </c>
      <c r="AZ33" s="11">
        <f>INDEX('[7]input data'!$G$1:$G$1108,BA82,1)</f>
        <v>22.322554705614401</v>
      </c>
      <c r="BA33" s="12">
        <f t="shared" si="4"/>
        <v>22.670362668359488</v>
      </c>
      <c r="BB33" s="13">
        <f t="shared" si="5"/>
        <v>20.755814499189071</v>
      </c>
      <c r="BC33" s="16">
        <f t="shared" si="8"/>
        <v>21.560962193667383</v>
      </c>
    </row>
    <row r="34" spans="1:55" ht="14.25" customHeight="1" x14ac:dyDescent="0.25">
      <c r="A34" s="15">
        <v>20</v>
      </c>
      <c r="B34" s="11">
        <f>'[7]input data'!E690</f>
        <v>21.8</v>
      </c>
      <c r="C34" s="11">
        <f>'[7]input data'!E691</f>
        <v>24.3</v>
      </c>
      <c r="D34" s="11">
        <f>'[7]input data'!E692</f>
        <v>26</v>
      </c>
      <c r="E34" s="11">
        <f>'[7]input data'!E693</f>
        <v>27.9</v>
      </c>
      <c r="F34" s="11">
        <f>'[7]input data'!E694</f>
        <v>29.4</v>
      </c>
      <c r="G34" s="11">
        <f>'[7]input data'!E695</f>
        <v>30.2</v>
      </c>
      <c r="H34" s="11">
        <f>'[7]input data'!E696</f>
        <v>30.9</v>
      </c>
      <c r="I34" s="11">
        <f>'[7]input data'!E697</f>
        <v>30.2</v>
      </c>
      <c r="J34" s="11">
        <f>'[7]input data'!E698</f>
        <v>29.7</v>
      </c>
      <c r="K34" s="11">
        <f>'[7]input data'!E699</f>
        <v>28.2</v>
      </c>
      <c r="L34" s="11">
        <f>'[7]input data'!E700</f>
        <v>27.1</v>
      </c>
      <c r="M34" s="11">
        <f>'[7]input data'!E701</f>
        <v>26</v>
      </c>
      <c r="N34" s="11">
        <f>'[7]input data'!E702</f>
        <v>25.2</v>
      </c>
      <c r="O34" s="12">
        <f t="shared" si="0"/>
        <v>30.9</v>
      </c>
      <c r="P34" s="13">
        <f t="shared" si="1"/>
        <v>21.8</v>
      </c>
      <c r="Q34" s="16">
        <f t="shared" si="6"/>
        <v>27.45384615384615</v>
      </c>
      <c r="T34" s="15">
        <v>20</v>
      </c>
      <c r="U34" s="11">
        <f>INDEX('[7]input data'!$F$1:$F$1108,U83,1)</f>
        <v>20.8</v>
      </c>
      <c r="V34" s="11">
        <f>INDEX('[7]input data'!$F$1:$F$1108,V83,1)</f>
        <v>22.2</v>
      </c>
      <c r="W34" s="11">
        <f>INDEX('[7]input data'!$F$1:$F$1108,W83,1)</f>
        <v>22.6</v>
      </c>
      <c r="X34" s="11">
        <f>INDEX('[7]input data'!$F$1:$F$1108,X83,1)</f>
        <v>23.8</v>
      </c>
      <c r="Y34" s="11">
        <f>INDEX('[7]input data'!$F$1:$F$1108,Y83,1)</f>
        <v>24.2</v>
      </c>
      <c r="Z34" s="11">
        <f>INDEX('[7]input data'!$F$1:$F$1108,Z83,1)</f>
        <v>24.9</v>
      </c>
      <c r="AA34" s="11">
        <f>INDEX('[7]input data'!$F$1:$F$1108,AA83,1)</f>
        <v>24.6</v>
      </c>
      <c r="AB34" s="11">
        <f>INDEX('[7]input data'!$F$1:$F$1108,AB83,1)</f>
        <v>25</v>
      </c>
      <c r="AC34" s="11">
        <f>INDEX('[7]input data'!$F$1:$F$1108,AC83,1)</f>
        <v>24.6</v>
      </c>
      <c r="AD34" s="11">
        <f>INDEX('[7]input data'!$F$1:$F$1108,AD83,1)</f>
        <v>23.4</v>
      </c>
      <c r="AE34" s="11">
        <f>INDEX('[7]input data'!$F$1:$F$1108,AE83,1)</f>
        <v>23.4</v>
      </c>
      <c r="AF34" s="11">
        <f>INDEX('[7]input data'!$F$1:$F$1108,AF83,1)</f>
        <v>23.5</v>
      </c>
      <c r="AG34" s="11">
        <f>INDEX('[7]input data'!$F$1:$F$1108,AG83,1)</f>
        <v>22.8</v>
      </c>
      <c r="AH34" s="12">
        <f t="shared" si="2"/>
        <v>25</v>
      </c>
      <c r="AI34" s="13">
        <f t="shared" si="3"/>
        <v>20.8</v>
      </c>
      <c r="AJ34" s="16">
        <f t="shared" si="7"/>
        <v>23.523076923076925</v>
      </c>
      <c r="AM34" s="15">
        <v>20</v>
      </c>
      <c r="AN34" s="11">
        <f>INDEX('[7]input data'!$G$1:$G$1108,AO83,1)</f>
        <v>20.166096915440615</v>
      </c>
      <c r="AO34" s="11">
        <f>INDEX('[7]input data'!$G$1:$G$1108,AP83,1)</f>
        <v>21.046375928940027</v>
      </c>
      <c r="AP34" s="11">
        <f>INDEX('[7]input data'!$G$1:$G$1108,AQ83,1)</f>
        <v>20.801911119096491</v>
      </c>
      <c r="AQ34" s="11">
        <f>INDEX('[7]input data'!$G$1:$G$1108,AR83,1)</f>
        <v>21.767160181952669</v>
      </c>
      <c r="AR34" s="11">
        <f>INDEX('[7]input data'!$G$1:$G$1108,AS83,1)</f>
        <v>21.668699112332721</v>
      </c>
      <c r="AS34" s="11">
        <f>INDEX('[7]input data'!$G$1:$G$1108,AT83,1)</f>
        <v>22.4145725316748</v>
      </c>
      <c r="AT34" s="11">
        <f>INDEX('[7]input data'!$G$1:$G$1108,AU83,1)</f>
        <v>21.579269998537296</v>
      </c>
      <c r="AU34" s="11">
        <f>INDEX('[7]input data'!$G$1:$G$1108,AV83,1)</f>
        <v>22.575500907686056</v>
      </c>
      <c r="AV34" s="11">
        <f>INDEX('[7]input data'!$G$1:$G$1108,AW83,1)</f>
        <v>22.1714776017124</v>
      </c>
      <c r="AW34" s="11">
        <f>INDEX('[7]input data'!$G$1:$G$1108,AX83,1)</f>
        <v>20.964236475559954</v>
      </c>
      <c r="AX34" s="11">
        <f>INDEX('[7]input data'!$G$1:$G$1108,AY83,1)</f>
        <v>21.525660088028079</v>
      </c>
      <c r="AY34" s="11">
        <f>INDEX('[7]input data'!$G$1:$G$1108,AZ83,1)</f>
        <v>22.225930438363672</v>
      </c>
      <c r="AZ34" s="11">
        <f>INDEX('[7]input data'!$G$1:$G$1108,BA83,1)</f>
        <v>21.530312632790274</v>
      </c>
      <c r="BA34" s="12">
        <f t="shared" si="4"/>
        <v>22.575500907686056</v>
      </c>
      <c r="BB34" s="13">
        <f t="shared" si="5"/>
        <v>20.166096915440615</v>
      </c>
      <c r="BC34" s="16">
        <f t="shared" si="8"/>
        <v>21.572092610162695</v>
      </c>
    </row>
    <row r="35" spans="1:55" ht="14.25" customHeight="1" x14ac:dyDescent="0.25">
      <c r="A35" s="15">
        <v>21</v>
      </c>
      <c r="B35" s="11">
        <f>'[7]input data'!E726</f>
        <v>23</v>
      </c>
      <c r="C35" s="11">
        <f>'[7]input data'!E727</f>
        <v>24.3</v>
      </c>
      <c r="D35" s="11">
        <f>'[7]input data'!E728</f>
        <v>25.8</v>
      </c>
      <c r="E35" s="11">
        <f>'[7]input data'!E729</f>
        <v>26.6</v>
      </c>
      <c r="F35" s="11">
        <f>'[7]input data'!E730</f>
        <v>27.4</v>
      </c>
      <c r="G35" s="11">
        <f>'[7]input data'!E731</f>
        <v>28.4</v>
      </c>
      <c r="H35" s="11">
        <f>'[7]input data'!E732</f>
        <v>28.8</v>
      </c>
      <c r="I35" s="11">
        <f>'[7]input data'!E733</f>
        <v>28.4</v>
      </c>
      <c r="J35" s="11">
        <f>'[7]input data'!E734</f>
        <v>27.8</v>
      </c>
      <c r="K35" s="11">
        <f>'[7]input data'!E735</f>
        <v>27.2</v>
      </c>
      <c r="L35" s="11">
        <f>'[7]input data'!E736</f>
        <v>26.6</v>
      </c>
      <c r="M35" s="11">
        <f>'[7]input data'!E737</f>
        <v>26.2</v>
      </c>
      <c r="N35" s="11">
        <f>'[7]input data'!E738</f>
        <v>26</v>
      </c>
      <c r="O35" s="12">
        <f t="shared" si="0"/>
        <v>28.8</v>
      </c>
      <c r="P35" s="13">
        <f t="shared" si="1"/>
        <v>23</v>
      </c>
      <c r="Q35" s="16">
        <f t="shared" si="6"/>
        <v>26.653846153846157</v>
      </c>
      <c r="T35" s="15">
        <v>21</v>
      </c>
      <c r="U35" s="11">
        <f>INDEX('[7]input data'!$F$1:$F$1108,U84,1)</f>
        <v>21.7</v>
      </c>
      <c r="V35" s="11">
        <f>INDEX('[7]input data'!$F$1:$F$1108,V84,1)</f>
        <v>22.3</v>
      </c>
      <c r="W35" s="11">
        <f>INDEX('[7]input data'!$F$1:$F$1108,W84,1)</f>
        <v>22.7</v>
      </c>
      <c r="X35" s="11">
        <f>INDEX('[7]input data'!$F$1:$F$1108,X84,1)</f>
        <v>23.5</v>
      </c>
      <c r="Y35" s="11">
        <f>INDEX('[7]input data'!$F$1:$F$1108,Y84,1)</f>
        <v>23.4</v>
      </c>
      <c r="Z35" s="11">
        <f>INDEX('[7]input data'!$F$1:$F$1108,Z84,1)</f>
        <v>23.8</v>
      </c>
      <c r="AA35" s="11">
        <f>INDEX('[7]input data'!$F$1:$F$1108,AA84,1)</f>
        <v>23.8</v>
      </c>
      <c r="AB35" s="11">
        <f>INDEX('[7]input data'!$F$1:$F$1108,AB84,1)</f>
        <v>23.8</v>
      </c>
      <c r="AC35" s="11">
        <f>INDEX('[7]input data'!$F$1:$F$1108,AC84,1)</f>
        <v>23.6</v>
      </c>
      <c r="AD35" s="11">
        <f>INDEX('[7]input data'!$F$1:$F$1108,AD84,1)</f>
        <v>23.4</v>
      </c>
      <c r="AE35" s="11">
        <f>INDEX('[7]input data'!$F$1:$F$1108,AE84,1)</f>
        <v>23.4</v>
      </c>
      <c r="AF35" s="11">
        <f>INDEX('[7]input data'!$F$1:$F$1108,AF84,1)</f>
        <v>23.2</v>
      </c>
      <c r="AG35" s="11">
        <f>INDEX('[7]input data'!$F$1:$F$1108,AG84,1)</f>
        <v>23</v>
      </c>
      <c r="AH35" s="12">
        <f t="shared" si="2"/>
        <v>23.8</v>
      </c>
      <c r="AI35" s="13">
        <f t="shared" si="3"/>
        <v>21.7</v>
      </c>
      <c r="AJ35" s="16">
        <f t="shared" si="7"/>
        <v>23.200000000000003</v>
      </c>
      <c r="AM35" s="15">
        <v>21</v>
      </c>
      <c r="AN35" s="11">
        <f>INDEX('[7]input data'!$G$1:$G$1108,AO84,1)</f>
        <v>20.936701284697691</v>
      </c>
      <c r="AO35" s="11">
        <f>INDEX('[7]input data'!$G$1:$G$1108,AP84,1)</f>
        <v>21.203376819493535</v>
      </c>
      <c r="AP35" s="11">
        <f>INDEX('[7]input data'!$G$1:$G$1108,AQ84,1)</f>
        <v>21.066607626005652</v>
      </c>
      <c r="AQ35" s="11">
        <f>INDEX('[7]input data'!$G$1:$G$1108,AR84,1)</f>
        <v>21.933041408012986</v>
      </c>
      <c r="AR35" s="11">
        <f>INDEX('[7]input data'!$G$1:$G$1108,AS84,1)</f>
        <v>21.374211649312834</v>
      </c>
      <c r="AS35" s="11">
        <f>INDEX('[7]input data'!$G$1:$G$1108,AT84,1)</f>
        <v>21.517322869634658</v>
      </c>
      <c r="AT35" s="11">
        <f>INDEX('[7]input data'!$G$1:$G$1108,AU84,1)</f>
        <v>21.315021904881714</v>
      </c>
      <c r="AU35" s="11">
        <f>INDEX('[7]input data'!$G$1:$G$1108,AV84,1)</f>
        <v>21.517322869634658</v>
      </c>
      <c r="AV35" s="11">
        <f>INDEX('[7]input data'!$G$1:$G$1108,AW84,1)</f>
        <v>21.495161498275294</v>
      </c>
      <c r="AW35" s="11">
        <f>INDEX('[7]input data'!$G$1:$G$1108,AX84,1)</f>
        <v>21.47531350306749</v>
      </c>
      <c r="AX35" s="11">
        <f>INDEX('[7]input data'!$G$1:$G$1108,AY84,1)</f>
        <v>21.775380812344167</v>
      </c>
      <c r="AY35" s="11">
        <f>INDEX('[7]input data'!$G$1:$G$1108,AZ84,1)</f>
        <v>21.658528701077763</v>
      </c>
      <c r="AZ35" s="11">
        <f>INDEX('[7]input data'!$G$1:$G$1108,BA84,1)</f>
        <v>21.442503423907144</v>
      </c>
      <c r="BA35" s="12">
        <f t="shared" si="4"/>
        <v>21.933041408012986</v>
      </c>
      <c r="BB35" s="13">
        <f t="shared" si="5"/>
        <v>20.936701284697691</v>
      </c>
      <c r="BC35" s="16">
        <f t="shared" si="8"/>
        <v>21.439268797718892</v>
      </c>
    </row>
    <row r="36" spans="1:55" ht="14.25" customHeight="1" x14ac:dyDescent="0.25">
      <c r="A36" s="15">
        <v>22</v>
      </c>
      <c r="B36" s="11">
        <f>'[7]input data'!E762</f>
        <v>24</v>
      </c>
      <c r="C36" s="11">
        <f>'[7]input data'!E763</f>
        <v>25.2</v>
      </c>
      <c r="D36" s="11">
        <f>'[7]input data'!E764</f>
        <v>26.7</v>
      </c>
      <c r="E36" s="11">
        <f>'[7]input data'!E765</f>
        <v>26.8</v>
      </c>
      <c r="F36" s="11">
        <f>'[7]input data'!E766</f>
        <v>27.2</v>
      </c>
      <c r="G36" s="11">
        <f>'[7]input data'!E767</f>
        <v>28</v>
      </c>
      <c r="H36" s="11">
        <f>'[7]input data'!E768</f>
        <v>28.5</v>
      </c>
      <c r="I36" s="11">
        <f>'[7]input data'!E769</f>
        <v>29</v>
      </c>
      <c r="J36" s="11">
        <f>'[7]input data'!E770</f>
        <v>28.9</v>
      </c>
      <c r="K36" s="11">
        <f>'[7]input data'!E771</f>
        <v>28</v>
      </c>
      <c r="L36" s="11">
        <f>'[7]input data'!E772</f>
        <v>27.3</v>
      </c>
      <c r="M36" s="11">
        <f>'[7]input data'!E773</f>
        <v>26.5</v>
      </c>
      <c r="N36" s="11">
        <f>'[7]input data'!E774</f>
        <v>25.2</v>
      </c>
      <c r="O36" s="12">
        <f t="shared" si="0"/>
        <v>29</v>
      </c>
      <c r="P36" s="13">
        <f t="shared" si="1"/>
        <v>24</v>
      </c>
      <c r="Q36" s="16">
        <f t="shared" si="6"/>
        <v>27.023076923076925</v>
      </c>
      <c r="T36" s="15">
        <v>22</v>
      </c>
      <c r="U36" s="11">
        <f>INDEX('[7]input data'!$F$1:$F$1108,U85,1)</f>
        <v>22.4</v>
      </c>
      <c r="V36" s="11">
        <f>INDEX('[7]input data'!$F$1:$F$1108,V85,1)</f>
        <v>22.4</v>
      </c>
      <c r="W36" s="11">
        <f>INDEX('[7]input data'!$F$1:$F$1108,W85,1)</f>
        <v>22.8</v>
      </c>
      <c r="X36" s="11">
        <f>INDEX('[7]input data'!$F$1:$F$1108,X85,1)</f>
        <v>23.2</v>
      </c>
      <c r="Y36" s="11">
        <f>INDEX('[7]input data'!$F$1:$F$1108,Y85,1)</f>
        <v>24</v>
      </c>
      <c r="Z36" s="11">
        <f>INDEX('[7]input data'!$F$1:$F$1108,Z85,1)</f>
        <v>24.2</v>
      </c>
      <c r="AA36" s="11">
        <f>INDEX('[7]input data'!$F$1:$F$1108,AA85,1)</f>
        <v>24.6</v>
      </c>
      <c r="AB36" s="11">
        <f>INDEX('[7]input data'!$F$1:$F$1108,AB85,1)</f>
        <v>24.5</v>
      </c>
      <c r="AC36" s="11">
        <f>INDEX('[7]input data'!$F$1:$F$1108,AC85,1)</f>
        <v>24.6</v>
      </c>
      <c r="AD36" s="11">
        <f>INDEX('[7]input data'!$F$1:$F$1108,AD85,1)</f>
        <v>24</v>
      </c>
      <c r="AE36" s="11">
        <f>INDEX('[7]input data'!$F$1:$F$1108,AE85,1)</f>
        <v>23.4</v>
      </c>
      <c r="AF36" s="11">
        <f>INDEX('[7]input data'!$F$1:$F$1108,AF85,1)</f>
        <v>23.2</v>
      </c>
      <c r="AG36" s="11">
        <f>INDEX('[7]input data'!$F$1:$F$1108,AG85,1)</f>
        <v>23</v>
      </c>
      <c r="AH36" s="12">
        <f t="shared" si="2"/>
        <v>24.6</v>
      </c>
      <c r="AI36" s="13">
        <f t="shared" si="3"/>
        <v>22.4</v>
      </c>
      <c r="AJ36" s="16">
        <f t="shared" si="7"/>
        <v>23.561538461538458</v>
      </c>
      <c r="AM36" s="15">
        <v>22</v>
      </c>
      <c r="AN36" s="11">
        <f>INDEX('[7]input data'!$G$1:$G$1108,AO85,1)</f>
        <v>21.511181316989337</v>
      </c>
      <c r="AO36" s="11">
        <f>INDEX('[7]input data'!$G$1:$G$1108,AP85,1)</f>
        <v>20.897423728588965</v>
      </c>
      <c r="AP36" s="11">
        <f>INDEX('[7]input data'!$G$1:$G$1108,AQ85,1)</f>
        <v>20.760691229379212</v>
      </c>
      <c r="AQ36" s="11">
        <f>INDEX('[7]input data'!$G$1:$G$1108,AR85,1)</f>
        <v>21.356569638730033</v>
      </c>
      <c r="AR36" s="11">
        <f>INDEX('[7]input data'!$G$1:$G$1108,AS85,1)</f>
        <v>22.424951840849836</v>
      </c>
      <c r="AS36" s="11">
        <f>INDEX('[7]input data'!$G$1:$G$1108,AT85,1)</f>
        <v>22.354583733692817</v>
      </c>
      <c r="AT36" s="11">
        <f>INDEX('[7]input data'!$G$1:$G$1108,AU85,1)</f>
        <v>22.745598614526685</v>
      </c>
      <c r="AU36" s="11">
        <f>INDEX('[7]input data'!$G$1:$G$1108,AV85,1)</f>
        <v>22.349352820574691</v>
      </c>
      <c r="AV36" s="11">
        <f>INDEX('[7]input data'!$G$1:$G$1108,AW85,1)</f>
        <v>22.556161289601096</v>
      </c>
      <c r="AW36" s="11">
        <f>INDEX('[7]input data'!$G$1:$G$1108,AX85,1)</f>
        <v>22.037563837182521</v>
      </c>
      <c r="AX36" s="11">
        <f>INDEX('[7]input data'!$G$1:$G$1108,AY85,1)</f>
        <v>21.424830954377001</v>
      </c>
      <c r="AY36" s="11">
        <f>INDEX('[7]input data'!$G$1:$G$1108,AZ85,1)</f>
        <v>21.508158710605972</v>
      </c>
      <c r="AZ36" s="11">
        <f>INDEX('[7]input data'!$G$1:$G$1108,BA85,1)</f>
        <v>21.842217111651138</v>
      </c>
      <c r="BA36" s="12">
        <f t="shared" si="4"/>
        <v>22.745598614526685</v>
      </c>
      <c r="BB36" s="13">
        <f t="shared" si="5"/>
        <v>20.760691229379212</v>
      </c>
      <c r="BC36" s="16">
        <f t="shared" si="8"/>
        <v>21.828406525134561</v>
      </c>
    </row>
    <row r="37" spans="1:55" ht="14.25" customHeight="1" x14ac:dyDescent="0.25">
      <c r="A37" s="15">
        <v>23</v>
      </c>
      <c r="B37" s="11">
        <f>'[7]input data'!E798</f>
        <v>23.4</v>
      </c>
      <c r="C37" s="11">
        <f>'[7]input data'!E799</f>
        <v>24.6</v>
      </c>
      <c r="D37" s="11">
        <f>'[7]input data'!E800</f>
        <v>25.4</v>
      </c>
      <c r="E37" s="11">
        <f>'[7]input data'!E801</f>
        <v>27</v>
      </c>
      <c r="F37" s="11">
        <f>'[7]input data'!E802</f>
        <v>28.3</v>
      </c>
      <c r="G37" s="11">
        <f>'[7]input data'!E803</f>
        <v>28.4</v>
      </c>
      <c r="H37" s="11">
        <f>'[7]input data'!E804</f>
        <v>28.4</v>
      </c>
      <c r="I37" s="11">
        <f>'[7]input data'!E805</f>
        <v>28.2</v>
      </c>
      <c r="J37" s="11">
        <f>'[7]input data'!E806</f>
        <v>27.5</v>
      </c>
      <c r="K37" s="11">
        <f>'[7]input data'!E807</f>
        <v>27.1</v>
      </c>
      <c r="L37" s="11">
        <f>'[7]input data'!E808</f>
        <v>27</v>
      </c>
      <c r="M37" s="11">
        <f>'[7]input data'!E809</f>
        <v>26</v>
      </c>
      <c r="N37" s="11">
        <f>'[7]input data'!E810</f>
        <v>25.6</v>
      </c>
      <c r="O37" s="12">
        <f t="shared" si="0"/>
        <v>28.4</v>
      </c>
      <c r="P37" s="13">
        <f t="shared" si="1"/>
        <v>23.4</v>
      </c>
      <c r="Q37" s="16">
        <f t="shared" si="6"/>
        <v>26.684615384615388</v>
      </c>
      <c r="T37" s="15">
        <v>23</v>
      </c>
      <c r="U37" s="11">
        <f>INDEX('[7]input data'!$F$1:$F$1108,U86,1)</f>
        <v>22.1</v>
      </c>
      <c r="V37" s="11">
        <f>INDEX('[7]input data'!$F$1:$F$1108,V86,1)</f>
        <v>22.5</v>
      </c>
      <c r="W37" s="11">
        <f>INDEX('[7]input data'!$F$1:$F$1108,W86,1)</f>
        <v>22.8</v>
      </c>
      <c r="X37" s="11">
        <f>INDEX('[7]input data'!$F$1:$F$1108,X86,1)</f>
        <v>23.8</v>
      </c>
      <c r="Y37" s="11">
        <f>INDEX('[7]input data'!$F$1:$F$1108,Y86,1)</f>
        <v>24.5</v>
      </c>
      <c r="Z37" s="11">
        <f>INDEX('[7]input data'!$F$1:$F$1108,Z86,1)</f>
        <v>24.7</v>
      </c>
      <c r="AA37" s="11">
        <f>INDEX('[7]input data'!$F$1:$F$1108,AA86,1)</f>
        <v>24.5</v>
      </c>
      <c r="AB37" s="11">
        <f>INDEX('[7]input data'!$F$1:$F$1108,AB86,1)</f>
        <v>24.4</v>
      </c>
      <c r="AC37" s="11">
        <f>INDEX('[7]input data'!$F$1:$F$1108,AC86,1)</f>
        <v>23.8</v>
      </c>
      <c r="AD37" s="11">
        <f>INDEX('[7]input data'!$F$1:$F$1108,AD86,1)</f>
        <v>23.5</v>
      </c>
      <c r="AE37" s="11">
        <f>INDEX('[7]input data'!$F$1:$F$1108,AE86,1)</f>
        <v>23.6</v>
      </c>
      <c r="AF37" s="11">
        <f>INDEX('[7]input data'!$F$1:$F$1108,AF86,1)</f>
        <v>23.2</v>
      </c>
      <c r="AG37" s="11">
        <f>INDEX('[7]input data'!$F$1:$F$1108,AG86,1)</f>
        <v>23.2</v>
      </c>
      <c r="AH37" s="12">
        <f t="shared" si="2"/>
        <v>24.7</v>
      </c>
      <c r="AI37" s="13">
        <f t="shared" si="3"/>
        <v>22.1</v>
      </c>
      <c r="AJ37" s="16">
        <f t="shared" si="7"/>
        <v>23.584615384615386</v>
      </c>
      <c r="AM37" s="15">
        <v>23</v>
      </c>
      <c r="AN37" s="11">
        <f>INDEX('[7]input data'!$G$1:$G$1108,AO86,1)</f>
        <v>21.35101754137802</v>
      </c>
      <c r="AO37" s="11">
        <f>INDEX('[7]input data'!$G$1:$G$1108,AP86,1)</f>
        <v>21.363604163162531</v>
      </c>
      <c r="AP37" s="11">
        <f>INDEX('[7]input data'!$G$1:$G$1108,AQ86,1)</f>
        <v>21.429512326033791</v>
      </c>
      <c r="AQ37" s="11">
        <f>INDEX('[7]input data'!$G$1:$G$1108,AR86,1)</f>
        <v>22.208645027327083</v>
      </c>
      <c r="AR37" s="11">
        <f>INDEX('[7]input data'!$G$1:$G$1108,AS86,1)</f>
        <v>22.683237188132594</v>
      </c>
      <c r="AS37" s="11">
        <f>INDEX('[7]input data'!$G$1:$G$1108,AT86,1)</f>
        <v>22.948702379577565</v>
      </c>
      <c r="AT37" s="11">
        <f>INDEX('[7]input data'!$G$1:$G$1108,AU86,1)</f>
        <v>22.635899802692006</v>
      </c>
      <c r="AU37" s="11">
        <f>INDEX('[7]input data'!$G$1:$G$1108,AV86,1)</f>
        <v>22.573749319862735</v>
      </c>
      <c r="AV37" s="11">
        <f>INDEX('[7]input data'!$G$1:$G$1108,AW86,1)</f>
        <v>21.964658694482409</v>
      </c>
      <c r="AW37" s="11">
        <f>INDEX('[7]input data'!$G$1:$G$1108,AX86,1)</f>
        <v>21.685426017897907</v>
      </c>
      <c r="AX37" s="11">
        <f>INDEX('[7]input data'!$G$1:$G$1108,AY86,1)</f>
        <v>21.893778896731295</v>
      </c>
      <c r="AY37" s="11">
        <f>INDEX('[7]input data'!$G$1:$G$1108,AZ86,1)</f>
        <v>21.758108440057615</v>
      </c>
      <c r="AZ37" s="11">
        <f>INDEX('[7]input data'!$G$1:$G$1108,BA86,1)</f>
        <v>21.955694513131515</v>
      </c>
      <c r="BA37" s="12">
        <f t="shared" si="4"/>
        <v>22.948702379577565</v>
      </c>
      <c r="BB37" s="13">
        <f t="shared" si="5"/>
        <v>21.35101754137802</v>
      </c>
      <c r="BC37" s="16">
        <f t="shared" si="8"/>
        <v>22.034771870035929</v>
      </c>
    </row>
    <row r="38" spans="1:55" ht="14.25" customHeight="1" x14ac:dyDescent="0.25">
      <c r="A38" s="15">
        <v>24</v>
      </c>
      <c r="B38" s="11">
        <f>'[7]input data'!E834</f>
        <v>23.8</v>
      </c>
      <c r="C38" s="11">
        <f>'[7]input data'!E835</f>
        <v>25</v>
      </c>
      <c r="D38" s="11">
        <f>'[7]input data'!E836</f>
        <v>27.1</v>
      </c>
      <c r="E38" s="11">
        <f>'[7]input data'!E837</f>
        <v>27.6</v>
      </c>
      <c r="F38" s="11">
        <f>'[7]input data'!E838</f>
        <v>28.3</v>
      </c>
      <c r="G38" s="11">
        <f>'[7]input data'!E839</f>
        <v>29</v>
      </c>
      <c r="H38" s="11">
        <f>'[7]input data'!E840</f>
        <v>29.2</v>
      </c>
      <c r="I38" s="11">
        <f>'[7]input data'!E841</f>
        <v>29.6</v>
      </c>
      <c r="J38" s="11">
        <f>'[7]input data'!E842</f>
        <v>29.2</v>
      </c>
      <c r="K38" s="11">
        <f>'[7]input data'!E843</f>
        <v>27.9</v>
      </c>
      <c r="L38" s="11">
        <f>'[7]input data'!E844</f>
        <v>26.4</v>
      </c>
      <c r="M38" s="11">
        <f>'[7]input data'!E845</f>
        <v>25</v>
      </c>
      <c r="N38" s="11">
        <f>'[7]input data'!E846</f>
        <v>24.1</v>
      </c>
      <c r="O38" s="12">
        <f t="shared" si="0"/>
        <v>29.6</v>
      </c>
      <c r="P38" s="13">
        <f t="shared" si="1"/>
        <v>23.8</v>
      </c>
      <c r="Q38" s="16">
        <f t="shared" si="6"/>
        <v>27.092307692307692</v>
      </c>
      <c r="T38" s="15">
        <v>24</v>
      </c>
      <c r="U38" s="11">
        <f>INDEX('[7]input data'!$F$1:$F$1108,U87,1)</f>
        <v>22.6</v>
      </c>
      <c r="V38" s="11">
        <f>INDEX('[7]input data'!$F$1:$F$1108,V87,1)</f>
        <v>23.1</v>
      </c>
      <c r="W38" s="11">
        <f>INDEX('[7]input data'!$F$1:$F$1108,W87,1)</f>
        <v>22.6</v>
      </c>
      <c r="X38" s="11">
        <f>INDEX('[7]input data'!$F$1:$F$1108,X87,1)</f>
        <v>22.6</v>
      </c>
      <c r="Y38" s="11">
        <f>INDEX('[7]input data'!$F$1:$F$1108,Y87,1)</f>
        <v>22.6</v>
      </c>
      <c r="Z38" s="11">
        <f>INDEX('[7]input data'!$F$1:$F$1108,Z87,1)</f>
        <v>23</v>
      </c>
      <c r="AA38" s="11">
        <f>INDEX('[7]input data'!$F$1:$F$1108,AA87,1)</f>
        <v>23.2</v>
      </c>
      <c r="AB38" s="11">
        <f>INDEX('[7]input data'!$F$1:$F$1108,AB87,1)</f>
        <v>23</v>
      </c>
      <c r="AC38" s="11">
        <f>INDEX('[7]input data'!$F$1:$F$1108,AC87,1)</f>
        <v>22.6</v>
      </c>
      <c r="AD38" s="11">
        <f>INDEX('[7]input data'!$F$1:$F$1108,AD87,1)</f>
        <v>22.3</v>
      </c>
      <c r="AE38" s="11">
        <f>INDEX('[7]input data'!$F$1:$F$1108,AE87,1)</f>
        <v>21.8</v>
      </c>
      <c r="AF38" s="11">
        <f>INDEX('[7]input data'!$F$1:$F$1108,AF87,1)</f>
        <v>20.9</v>
      </c>
      <c r="AG38" s="11">
        <f>INDEX('[7]input data'!$F$1:$F$1108,AG87,1)</f>
        <v>20.6</v>
      </c>
      <c r="AH38" s="12">
        <f t="shared" si="2"/>
        <v>23.2</v>
      </c>
      <c r="AI38" s="13">
        <f t="shared" si="3"/>
        <v>20.6</v>
      </c>
      <c r="AJ38" s="16">
        <f t="shared" si="7"/>
        <v>22.376923076923081</v>
      </c>
      <c r="AM38" s="15">
        <v>24</v>
      </c>
      <c r="AN38" s="11">
        <f>INDEX('[7]input data'!$G$1:$G$1108,AO87,1)</f>
        <v>21.91771173877353</v>
      </c>
      <c r="AO38" s="11">
        <f>INDEX('[7]input data'!$G$1:$G$1108,AP87,1)</f>
        <v>22.094878555418994</v>
      </c>
      <c r="AP38" s="11">
        <f>INDEX('[7]input data'!$G$1:$G$1108,AQ87,1)</f>
        <v>20.217888413193116</v>
      </c>
      <c r="AQ38" s="11">
        <f>INDEX('[7]input data'!$G$1:$G$1108,AR87,1)</f>
        <v>19.946209760988268</v>
      </c>
      <c r="AR38" s="11">
        <f>INDEX('[7]input data'!$G$1:$G$1108,AS87,1)</f>
        <v>19.559012681110051</v>
      </c>
      <c r="AS38" s="11">
        <f>INDEX('[7]input data'!$G$1:$G$1108,AT87,1)</f>
        <v>19.86220736077232</v>
      </c>
      <c r="AT38" s="11">
        <f>INDEX('[7]input data'!$G$1:$G$1108,AU87,1)</f>
        <v>20.097265135038942</v>
      </c>
      <c r="AU38" s="11">
        <f>INDEX('[7]input data'!$G$1:$G$1108,AV87,1)</f>
        <v>19.529289707919126</v>
      </c>
      <c r="AV38" s="11">
        <f>INDEX('[7]input data'!$G$1:$G$1108,AW87,1)</f>
        <v>19.048904303384408</v>
      </c>
      <c r="AW38" s="11">
        <f>INDEX('[7]input data'!$G$1:$G$1108,AX87,1)</f>
        <v>19.264038070012006</v>
      </c>
      <c r="AX38" s="11">
        <f>INDEX('[7]input data'!$G$1:$G$1108,AY87,1)</f>
        <v>19.254205340614714</v>
      </c>
      <c r="AY38" s="11">
        <f>INDEX('[7]input data'!$G$1:$G$1108,AZ87,1)</f>
        <v>18.521351007062055</v>
      </c>
      <c r="AZ38" s="11">
        <f>INDEX('[7]input data'!$G$1:$G$1108,BA87,1)</f>
        <v>18.53946766955206</v>
      </c>
      <c r="BA38" s="12">
        <f t="shared" si="4"/>
        <v>22.094878555418994</v>
      </c>
      <c r="BB38" s="13">
        <f t="shared" si="5"/>
        <v>18.521351007062055</v>
      </c>
      <c r="BC38" s="16">
        <f t="shared" si="8"/>
        <v>19.83480228798766</v>
      </c>
    </row>
    <row r="39" spans="1:55" ht="14.25" customHeight="1" x14ac:dyDescent="0.25">
      <c r="A39" s="15">
        <v>25</v>
      </c>
      <c r="B39" s="11">
        <f>'[7]input data'!E870</f>
        <v>20.8</v>
      </c>
      <c r="C39" s="11">
        <f>'[7]input data'!E871</f>
        <v>23.1</v>
      </c>
      <c r="D39" s="11">
        <f>'[7]input data'!E872</f>
        <v>25.9</v>
      </c>
      <c r="E39" s="11">
        <f>'[7]input data'!E873</f>
        <v>27</v>
      </c>
      <c r="F39" s="11">
        <f>'[7]input data'!E874</f>
        <v>27.8</v>
      </c>
      <c r="G39" s="11">
        <f>'[7]input data'!E875</f>
        <v>29</v>
      </c>
      <c r="H39" s="11">
        <f>'[7]input data'!E876</f>
        <v>29.2</v>
      </c>
      <c r="I39" s="11">
        <f>'[7]input data'!E877</f>
        <v>29.6</v>
      </c>
      <c r="J39" s="11">
        <f>'[7]input data'!E878</f>
        <v>29</v>
      </c>
      <c r="K39" s="11">
        <f>'[7]input data'!E879</f>
        <v>28.6</v>
      </c>
      <c r="L39" s="11">
        <f>'[7]input data'!E880</f>
        <v>27</v>
      </c>
      <c r="M39" s="11">
        <f>'[7]input data'!E881</f>
        <v>26.2</v>
      </c>
      <c r="N39" s="11">
        <f>'[7]input data'!E882</f>
        <v>23.8</v>
      </c>
      <c r="O39" s="12">
        <f t="shared" si="0"/>
        <v>29.6</v>
      </c>
      <c r="P39" s="13">
        <f t="shared" si="1"/>
        <v>20.8</v>
      </c>
      <c r="Q39" s="16">
        <f t="shared" si="6"/>
        <v>26.692307692307693</v>
      </c>
      <c r="T39" s="15">
        <v>25</v>
      </c>
      <c r="U39" s="11">
        <f>INDEX('[7]input data'!$F$1:$F$1108,U88,1)</f>
        <v>19.3</v>
      </c>
      <c r="V39" s="11">
        <f>INDEX('[7]input data'!$F$1:$F$1108,V88,1)</f>
        <v>20.6</v>
      </c>
      <c r="W39" s="11">
        <f>INDEX('[7]input data'!$F$1:$F$1108,W88,1)</f>
        <v>20.399999999999999</v>
      </c>
      <c r="X39" s="11">
        <f>INDEX('[7]input data'!$F$1:$F$1108,X88,1)</f>
        <v>20.6</v>
      </c>
      <c r="Y39" s="11">
        <f>INDEX('[7]input data'!$F$1:$F$1108,Y88,1)</f>
        <v>20.3</v>
      </c>
      <c r="Z39" s="11">
        <f>INDEX('[7]input data'!$F$1:$F$1108,Z88,1)</f>
        <v>21.3</v>
      </c>
      <c r="AA39" s="11">
        <f>INDEX('[7]input data'!$F$1:$F$1108,AA88,1)</f>
        <v>21</v>
      </c>
      <c r="AB39" s="11">
        <f>INDEX('[7]input data'!$F$1:$F$1108,AB88,1)</f>
        <v>21.4</v>
      </c>
      <c r="AC39" s="11">
        <f>INDEX('[7]input data'!$F$1:$F$1108,AC88,1)</f>
        <v>21.4</v>
      </c>
      <c r="AD39" s="11">
        <f>INDEX('[7]input data'!$F$1:$F$1108,AD88,1)</f>
        <v>21.2</v>
      </c>
      <c r="AE39" s="11">
        <f>INDEX('[7]input data'!$F$1:$F$1108,AE88,1)</f>
        <v>20.8</v>
      </c>
      <c r="AF39" s="11">
        <f>INDEX('[7]input data'!$F$1:$F$1108,AF88,1)</f>
        <v>20.2</v>
      </c>
      <c r="AG39" s="11">
        <f>INDEX('[7]input data'!$F$1:$F$1108,AG88,1)</f>
        <v>20</v>
      </c>
      <c r="AH39" s="12">
        <f t="shared" si="2"/>
        <v>21.4</v>
      </c>
      <c r="AI39" s="13">
        <f t="shared" si="3"/>
        <v>19.3</v>
      </c>
      <c r="AJ39" s="16">
        <f t="shared" si="7"/>
        <v>20.653846153846153</v>
      </c>
      <c r="AM39" s="15">
        <v>25</v>
      </c>
      <c r="AN39" s="11">
        <f>INDEX('[7]input data'!$G$1:$G$1108,AO88,1)</f>
        <v>18.323482904745767</v>
      </c>
      <c r="AO39" s="11">
        <f>INDEX('[7]input data'!$G$1:$G$1108,AP88,1)</f>
        <v>19.121029195522599</v>
      </c>
      <c r="AP39" s="11">
        <f>INDEX('[7]input data'!$G$1:$G$1108,AQ88,1)</f>
        <v>17.079236947287662</v>
      </c>
      <c r="AQ39" s="11">
        <f>INDEX('[7]input data'!$G$1:$G$1108,AR88,1)</f>
        <v>16.739474083286197</v>
      </c>
      <c r="AR39" s="11">
        <f>INDEX('[7]input data'!$G$1:$G$1108,AS88,1)</f>
        <v>15.621809806964336</v>
      </c>
      <c r="AS39" s="11">
        <f>INDEX('[7]input data'!$G$1:$G$1108,AT88,1)</f>
        <v>16.767391652468955</v>
      </c>
      <c r="AT39" s="11">
        <f>INDEX('[7]input data'!$G$1:$G$1108,AU88,1)</f>
        <v>16.048291774323804</v>
      </c>
      <c r="AU39" s="11">
        <f>INDEX('[7]input data'!$G$1:$G$1108,AV88,1)</f>
        <v>16.568168527103442</v>
      </c>
      <c r="AV39" s="11">
        <f>INDEX('[7]input data'!$G$1:$G$1108,AW88,1)</f>
        <v>16.95924516411883</v>
      </c>
      <c r="AW39" s="11">
        <f>INDEX('[7]input data'!$G$1:$G$1108,AX88,1)</f>
        <v>16.835731434304584</v>
      </c>
      <c r="AX39" s="11">
        <f>INDEX('[7]input data'!$G$1:$G$1108,AY88,1)</f>
        <v>17.113148573522995</v>
      </c>
      <c r="AY39" s="11">
        <f>INDEX('[7]input data'!$G$1:$G$1108,AZ88,1)</f>
        <v>16.512943003651291</v>
      </c>
      <c r="AZ39" s="11">
        <f>INDEX('[7]input data'!$G$1:$G$1108,BA88,1)</f>
        <v>17.685725753632511</v>
      </c>
      <c r="BA39" s="12">
        <f t="shared" si="4"/>
        <v>19.121029195522599</v>
      </c>
      <c r="BB39" s="13">
        <f t="shared" si="5"/>
        <v>15.621809806964336</v>
      </c>
      <c r="BC39" s="16">
        <f t="shared" si="8"/>
        <v>17.028898370840999</v>
      </c>
    </row>
    <row r="40" spans="1:55" ht="14.25" customHeight="1" x14ac:dyDescent="0.25">
      <c r="A40" s="15">
        <v>26</v>
      </c>
      <c r="B40" s="11">
        <f>'[7]input data'!E906</f>
        <v>20.5</v>
      </c>
      <c r="C40" s="11">
        <f>'[7]input data'!E907</f>
        <v>23.5</v>
      </c>
      <c r="D40" s="11">
        <f>'[7]input data'!E908</f>
        <v>24.6</v>
      </c>
      <c r="E40" s="11">
        <f>'[7]input data'!E909</f>
        <v>26.2</v>
      </c>
      <c r="F40" s="11">
        <f>'[7]input data'!E910</f>
        <v>27.7</v>
      </c>
      <c r="G40" s="11">
        <f>'[7]input data'!E911</f>
        <v>28.6</v>
      </c>
      <c r="H40" s="11">
        <f>'[7]input data'!E912</f>
        <v>29.2</v>
      </c>
      <c r="I40" s="11">
        <f>'[7]input data'!E913</f>
        <v>30</v>
      </c>
      <c r="J40" s="11">
        <f>'[7]input data'!E914</f>
        <v>30.4</v>
      </c>
      <c r="K40" s="11">
        <f>'[7]input data'!E915</f>
        <v>29.6</v>
      </c>
      <c r="L40" s="11">
        <f>'[7]input data'!E916</f>
        <v>27</v>
      </c>
      <c r="M40" s="11">
        <f>'[7]input data'!E917</f>
        <v>26</v>
      </c>
      <c r="N40" s="11">
        <f>'[7]input data'!E918</f>
        <v>25.8</v>
      </c>
      <c r="O40" s="12">
        <f t="shared" si="0"/>
        <v>30.4</v>
      </c>
      <c r="P40" s="13">
        <f t="shared" si="1"/>
        <v>20.5</v>
      </c>
      <c r="Q40" s="16">
        <f t="shared" si="6"/>
        <v>26.853846153846156</v>
      </c>
      <c r="T40" s="15">
        <v>26</v>
      </c>
      <c r="U40" s="11">
        <f>INDEX('[7]input data'!$F$1:$F$1108,U89,1)</f>
        <v>18.399999999999999</v>
      </c>
      <c r="V40" s="11">
        <f>INDEX('[7]input data'!$F$1:$F$1108,V89,1)</f>
        <v>20.100000000000001</v>
      </c>
      <c r="W40" s="11">
        <f>INDEX('[7]input data'!$F$1:$F$1108,W89,1)</f>
        <v>20.6</v>
      </c>
      <c r="X40" s="11">
        <f>INDEX('[7]input data'!$F$1:$F$1108,X89,1)</f>
        <v>21.2</v>
      </c>
      <c r="Y40" s="11">
        <f>INDEX('[7]input data'!$F$1:$F$1108,Y89,1)</f>
        <v>21.7</v>
      </c>
      <c r="Z40" s="11">
        <f>INDEX('[7]input data'!$F$1:$F$1108,Z89,1)</f>
        <v>22</v>
      </c>
      <c r="AA40" s="11">
        <f>INDEX('[7]input data'!$F$1:$F$1108,AA89,1)</f>
        <v>22.3</v>
      </c>
      <c r="AB40" s="11">
        <f>INDEX('[7]input data'!$F$1:$F$1108,AB89,1)</f>
        <v>23</v>
      </c>
      <c r="AC40" s="11">
        <f>INDEX('[7]input data'!$F$1:$F$1108,AC89,1)</f>
        <v>23</v>
      </c>
      <c r="AD40" s="11">
        <f>INDEX('[7]input data'!$F$1:$F$1108,AD89,1)</f>
        <v>23.4</v>
      </c>
      <c r="AE40" s="11">
        <f>INDEX('[7]input data'!$F$1:$F$1108,AE89,1)</f>
        <v>22.8</v>
      </c>
      <c r="AF40" s="11">
        <f>INDEX('[7]input data'!$F$1:$F$1108,AF89,1)</f>
        <v>23.2</v>
      </c>
      <c r="AG40" s="11">
        <f>INDEX('[7]input data'!$F$1:$F$1108,AG89,1)</f>
        <v>23.2</v>
      </c>
      <c r="AH40" s="12">
        <f t="shared" si="2"/>
        <v>23.4</v>
      </c>
      <c r="AI40" s="13">
        <f t="shared" si="3"/>
        <v>18.399999999999999</v>
      </c>
      <c r="AJ40" s="16">
        <f t="shared" si="7"/>
        <v>21.915384615384617</v>
      </c>
      <c r="AM40" s="15">
        <v>26</v>
      </c>
      <c r="AN40" s="11">
        <f>INDEX('[7]input data'!$G$1:$G$1108,AO89,1)</f>
        <v>16.995992330159833</v>
      </c>
      <c r="AO40" s="11">
        <f>INDEX('[7]input data'!$G$1:$G$1108,AP89,1)</f>
        <v>18.043079819846305</v>
      </c>
      <c r="AP40" s="11">
        <f>INDEX('[7]input data'!$G$1:$G$1108,AQ89,1)</f>
        <v>18.241590728905095</v>
      </c>
      <c r="AQ40" s="11">
        <f>INDEX('[7]input data'!$G$1:$G$1108,AR89,1)</f>
        <v>18.330241538915399</v>
      </c>
      <c r="AR40" s="11">
        <f>INDEX('[7]input data'!$G$1:$G$1108,AS89,1)</f>
        <v>18.321409246932255</v>
      </c>
      <c r="AS40" s="11">
        <f>INDEX('[7]input data'!$G$1:$G$1108,AT89,1)</f>
        <v>18.323731685920357</v>
      </c>
      <c r="AT40" s="11">
        <f>INDEX('[7]input data'!$G$1:$G$1108,AU89,1)</f>
        <v>18.510307781811029</v>
      </c>
      <c r="AU40" s="11">
        <f>INDEX('[7]input data'!$G$1:$G$1108,AV89,1)</f>
        <v>19.303951004386928</v>
      </c>
      <c r="AV40" s="11">
        <f>INDEX('[7]input data'!$G$1:$G$1108,AW89,1)</f>
        <v>19.075812827479979</v>
      </c>
      <c r="AW40" s="11">
        <f>INDEX('[7]input data'!$G$1:$G$1108,AX89,1)</f>
        <v>20.224288506437016</v>
      </c>
      <c r="AX40" s="11">
        <f>INDEX('[7]input data'!$G$1:$G$1108,AY89,1)</f>
        <v>20.602873681847623</v>
      </c>
      <c r="AY40" s="11">
        <f>INDEX('[7]input data'!$G$1:$G$1108,AZ89,1)</f>
        <v>21.758108440057615</v>
      </c>
      <c r="AZ40" s="11">
        <f>INDEX('[7]input data'!$G$1:$G$1108,BA89,1)</f>
        <v>21.857161726185268</v>
      </c>
      <c r="BA40" s="12">
        <f t="shared" si="4"/>
        <v>21.857161726185268</v>
      </c>
      <c r="BB40" s="13">
        <f t="shared" si="5"/>
        <v>16.995992330159833</v>
      </c>
      <c r="BC40" s="16">
        <f t="shared" si="8"/>
        <v>19.199119178375746</v>
      </c>
    </row>
    <row r="41" spans="1:55" ht="14.25" customHeight="1" x14ac:dyDescent="0.25">
      <c r="A41" s="15">
        <v>27</v>
      </c>
      <c r="B41" s="11">
        <f>'[7]input data'!E942</f>
        <v>22.2</v>
      </c>
      <c r="C41" s="11">
        <f>'[7]input data'!E943</f>
        <v>23.6</v>
      </c>
      <c r="D41" s="11">
        <f>'[7]input data'!E944</f>
        <v>25.4</v>
      </c>
      <c r="E41" s="11">
        <f>'[7]input data'!E945</f>
        <v>26.6</v>
      </c>
      <c r="F41" s="11">
        <f>'[7]input data'!E946</f>
        <v>28.8</v>
      </c>
      <c r="G41" s="11">
        <f>'[7]input data'!E947</f>
        <v>30</v>
      </c>
      <c r="H41" s="11">
        <f>'[7]input data'!E948</f>
        <v>31.3</v>
      </c>
      <c r="I41" s="11">
        <f>'[7]input data'!E949</f>
        <v>30.6</v>
      </c>
      <c r="J41" s="11">
        <f>'[7]input data'!E950</f>
        <v>29.4</v>
      </c>
      <c r="K41" s="11">
        <f>'[7]input data'!E951</f>
        <v>28.1</v>
      </c>
      <c r="L41" s="11">
        <f>'[7]input data'!E952</f>
        <v>26.8</v>
      </c>
      <c r="M41" s="11">
        <f>'[7]input data'!E953</f>
        <v>26</v>
      </c>
      <c r="N41" s="11">
        <f>'[7]input data'!E954</f>
        <v>25.3</v>
      </c>
      <c r="O41" s="12">
        <f t="shared" si="0"/>
        <v>31.3</v>
      </c>
      <c r="P41" s="13">
        <f t="shared" si="1"/>
        <v>22.2</v>
      </c>
      <c r="Q41" s="16">
        <f t="shared" si="6"/>
        <v>27.238461538461539</v>
      </c>
      <c r="T41" s="15">
        <v>27</v>
      </c>
      <c r="U41" s="11">
        <f>INDEX('[7]input data'!$F$1:$F$1108,U90,1)</f>
        <v>21.1</v>
      </c>
      <c r="V41" s="11">
        <f>INDEX('[7]input data'!$F$1:$F$1108,V90,1)</f>
        <v>21.8</v>
      </c>
      <c r="W41" s="11">
        <f>INDEX('[7]input data'!$F$1:$F$1108,W90,1)</f>
        <v>21.8</v>
      </c>
      <c r="X41" s="11">
        <f>INDEX('[7]input data'!$F$1:$F$1108,X90,1)</f>
        <v>22.8</v>
      </c>
      <c r="Y41" s="11">
        <f>INDEX('[7]input data'!$F$1:$F$1108,Y90,1)</f>
        <v>23.2</v>
      </c>
      <c r="Z41" s="11">
        <f>INDEX('[7]input data'!$F$1:$F$1108,Z90,1)</f>
        <v>23</v>
      </c>
      <c r="AA41" s="11">
        <f>INDEX('[7]input data'!$F$1:$F$1108,AA90,1)</f>
        <v>23</v>
      </c>
      <c r="AB41" s="11">
        <f>INDEX('[7]input data'!$F$1:$F$1108,AB90,1)</f>
        <v>24.7</v>
      </c>
      <c r="AC41" s="11">
        <f>INDEX('[7]input data'!$F$1:$F$1108,AC90,1)</f>
        <v>24.8</v>
      </c>
      <c r="AD41" s="11">
        <f>INDEX('[7]input data'!$F$1:$F$1108,AD90,1)</f>
        <v>24.8</v>
      </c>
      <c r="AE41" s="11">
        <f>INDEX('[7]input data'!$F$1:$F$1108,AE90,1)</f>
        <v>24.1</v>
      </c>
      <c r="AF41" s="11">
        <f>INDEX('[7]input data'!$F$1:$F$1108,AF90,1)</f>
        <v>23.9</v>
      </c>
      <c r="AG41" s="11">
        <f>INDEX('[7]input data'!$F$1:$F$1108,AG90,1)</f>
        <v>23.6</v>
      </c>
      <c r="AH41" s="12">
        <f t="shared" si="2"/>
        <v>24.8</v>
      </c>
      <c r="AI41" s="13">
        <f t="shared" si="3"/>
        <v>21.1</v>
      </c>
      <c r="AJ41" s="16">
        <f t="shared" si="7"/>
        <v>23.276923076923079</v>
      </c>
      <c r="AM41" s="15">
        <v>27</v>
      </c>
      <c r="AN41" s="11">
        <f>INDEX('[7]input data'!$G$1:$G$1108,AO90,1)</f>
        <v>20.421530135863314</v>
      </c>
      <c r="AO41" s="11">
        <f>INDEX('[7]input data'!$G$1:$G$1108,AP90,1)</f>
        <v>20.780516613089915</v>
      </c>
      <c r="AP41" s="11">
        <f>INDEX('[7]input data'!$G$1:$G$1108,AQ90,1)</f>
        <v>19.813913858523215</v>
      </c>
      <c r="AQ41" s="11">
        <f>INDEX('[7]input data'!$G$1:$G$1108,AR90,1)</f>
        <v>20.813000573675488</v>
      </c>
      <c r="AR41" s="11">
        <f>INDEX('[7]input data'!$G$1:$G$1108,AS90,1)</f>
        <v>20.313173065025666</v>
      </c>
      <c r="AS41" s="11">
        <f>INDEX('[7]input data'!$G$1:$G$1108,AT90,1)</f>
        <v>19.303951004386928</v>
      </c>
      <c r="AT41" s="11">
        <f>INDEX('[7]input data'!$G$1:$G$1108,AU90,1)</f>
        <v>18.551868035558428</v>
      </c>
      <c r="AU41" s="11">
        <f>INDEX('[7]input data'!$G$1:$G$1108,AV90,1)</f>
        <v>21.894147210597996</v>
      </c>
      <c r="AV41" s="11">
        <f>INDEX('[7]input data'!$G$1:$G$1108,AW90,1)</f>
        <v>22.635900736480924</v>
      </c>
      <c r="AW41" s="11">
        <f>INDEX('[7]input data'!$G$1:$G$1108,AX90,1)</f>
        <v>23.242241452753913</v>
      </c>
      <c r="AX41" s="11">
        <f>INDEX('[7]input data'!$G$1:$G$1108,AY90,1)</f>
        <v>22.769807193425653</v>
      </c>
      <c r="AY41" s="11">
        <f>INDEX('[7]input data'!$G$1:$G$1108,AZ90,1)</f>
        <v>22.839750014846285</v>
      </c>
      <c r="AZ41" s="11">
        <f>INDEX('[7]input data'!$G$1:$G$1108,BA90,1)</f>
        <v>22.713748663769724</v>
      </c>
      <c r="BA41" s="12">
        <f t="shared" si="4"/>
        <v>23.242241452753913</v>
      </c>
      <c r="BB41" s="13">
        <f t="shared" si="5"/>
        <v>18.551868035558428</v>
      </c>
      <c r="BC41" s="16">
        <f t="shared" si="8"/>
        <v>21.237965273692112</v>
      </c>
    </row>
    <row r="42" spans="1:55" ht="14.25" customHeight="1" x14ac:dyDescent="0.25">
      <c r="A42" s="15">
        <v>28</v>
      </c>
      <c r="B42" s="11">
        <f>'[7]input data'!E978</f>
        <v>22.6</v>
      </c>
      <c r="C42" s="11">
        <f>'[7]input data'!E979</f>
        <v>24.2</v>
      </c>
      <c r="D42" s="11">
        <f>'[7]input data'!E980</f>
        <v>26.4</v>
      </c>
      <c r="E42" s="11">
        <f>'[7]input data'!E981</f>
        <v>28</v>
      </c>
      <c r="F42" s="11">
        <f>'[7]input data'!E982</f>
        <v>28.7</v>
      </c>
      <c r="G42" s="11">
        <f>'[7]input data'!E983</f>
        <v>30.2</v>
      </c>
      <c r="H42" s="11">
        <f>'[7]input data'!E984</f>
        <v>30.6</v>
      </c>
      <c r="I42" s="11">
        <f>'[7]input data'!E985</f>
        <v>30.1</v>
      </c>
      <c r="J42" s="11">
        <f>'[7]input data'!E986</f>
        <v>29.4</v>
      </c>
      <c r="K42" s="11">
        <f>'[7]input data'!E987</f>
        <v>28.3</v>
      </c>
      <c r="L42" s="11">
        <f>'[7]input data'!E988</f>
        <v>27.2</v>
      </c>
      <c r="M42" s="11">
        <f>'[7]input data'!E989</f>
        <v>26</v>
      </c>
      <c r="N42" s="11">
        <f>'[7]input data'!E990</f>
        <v>25</v>
      </c>
      <c r="O42" s="12">
        <f t="shared" si="0"/>
        <v>30.6</v>
      </c>
      <c r="P42" s="13">
        <f t="shared" si="1"/>
        <v>22.6</v>
      </c>
      <c r="Q42" s="16">
        <f t="shared" si="6"/>
        <v>27.438461538461532</v>
      </c>
      <c r="T42" s="15">
        <v>28</v>
      </c>
      <c r="U42" s="11">
        <f>INDEX('[7]input data'!$F$1:$F$1108,U91,1)</f>
        <v>21.9</v>
      </c>
      <c r="V42" s="11">
        <f>INDEX('[7]input data'!$F$1:$F$1108,V91,1)</f>
        <v>23</v>
      </c>
      <c r="W42" s="11">
        <f>INDEX('[7]input data'!$F$1:$F$1108,W91,1)</f>
        <v>24.2</v>
      </c>
      <c r="X42" s="11">
        <f>INDEX('[7]input data'!$F$1:$F$1108,X91,1)</f>
        <v>24.4</v>
      </c>
      <c r="Y42" s="11">
        <f>INDEX('[7]input data'!$F$1:$F$1108,Y91,1)</f>
        <v>24.5</v>
      </c>
      <c r="Z42" s="11">
        <f>INDEX('[7]input data'!$F$1:$F$1108,Z91,1)</f>
        <v>24.6</v>
      </c>
      <c r="AA42" s="11">
        <f>INDEX('[7]input data'!$F$1:$F$1108,AA91,1)</f>
        <v>24.8</v>
      </c>
      <c r="AB42" s="11">
        <f>INDEX('[7]input data'!$F$1:$F$1108,AB91,1)</f>
        <v>25.4</v>
      </c>
      <c r="AC42" s="11">
        <f>INDEX('[7]input data'!$F$1:$F$1108,AC91,1)</f>
        <v>25.2</v>
      </c>
      <c r="AD42" s="11">
        <f>INDEX('[7]input data'!$F$1:$F$1108,AD91,1)</f>
        <v>24.2</v>
      </c>
      <c r="AE42" s="11">
        <f>INDEX('[7]input data'!$F$1:$F$1108,AE91,1)</f>
        <v>24.1</v>
      </c>
      <c r="AF42" s="11">
        <f>INDEX('[7]input data'!$F$1:$F$1108,AF91,1)</f>
        <v>24</v>
      </c>
      <c r="AG42" s="11">
        <f>INDEX('[7]input data'!$F$1:$F$1108,AG91,1)</f>
        <v>23.3</v>
      </c>
      <c r="AH42" s="12">
        <f t="shared" si="2"/>
        <v>25.4</v>
      </c>
      <c r="AI42" s="13">
        <f t="shared" si="3"/>
        <v>21.9</v>
      </c>
      <c r="AJ42" s="16">
        <f t="shared" si="7"/>
        <v>24.123076923076926</v>
      </c>
      <c r="AM42" s="15">
        <v>28</v>
      </c>
      <c r="AN42" s="11">
        <f>INDEX('[7]input data'!$G$1:$G$1108,AO91,1)</f>
        <v>21.449269149866719</v>
      </c>
      <c r="AO42" s="11">
        <f>INDEX('[7]input data'!$G$1:$G$1108,AP91,1)</f>
        <v>22.330168592037214</v>
      </c>
      <c r="AP42" s="11">
        <f>INDEX('[7]input data'!$G$1:$G$1108,AQ91,1)</f>
        <v>23.109032442757304</v>
      </c>
      <c r="AQ42" s="11">
        <f>INDEX('[7]input data'!$G$1:$G$1108,AR91,1)</f>
        <v>22.668616177039841</v>
      </c>
      <c r="AR42" s="11">
        <f>INDEX('[7]input data'!$G$1:$G$1108,AS91,1)</f>
        <v>22.493170810159956</v>
      </c>
      <c r="AS42" s="11">
        <f>INDEX('[7]input data'!$G$1:$G$1108,AT91,1)</f>
        <v>21.926992488235253</v>
      </c>
      <c r="AT42" s="11">
        <f>INDEX('[7]input data'!$G$1:$G$1108,AU91,1)</f>
        <v>22.058366904828024</v>
      </c>
      <c r="AU42" s="11">
        <f>INDEX('[7]input data'!$G$1:$G$1108,AV91,1)</f>
        <v>23.257484343510711</v>
      </c>
      <c r="AV42" s="11">
        <f>INDEX('[7]input data'!$G$1:$G$1108,AW91,1)</f>
        <v>23.265416041293889</v>
      </c>
      <c r="AW42" s="11">
        <f>INDEX('[7]input data'!$G$1:$G$1108,AX91,1)</f>
        <v>22.209701918786376</v>
      </c>
      <c r="AX42" s="11">
        <f>INDEX('[7]input data'!$G$1:$G$1108,AY91,1)</f>
        <v>22.58062006284025</v>
      </c>
      <c r="AY42" s="11">
        <f>INDEX('[7]input data'!$G$1:$G$1108,AZ91,1)</f>
        <v>22.991501967304046</v>
      </c>
      <c r="AZ42" s="11">
        <f>INDEX('[7]input data'!$G$1:$G$1108,BA91,1)</f>
        <v>22.400885909362238</v>
      </c>
      <c r="BA42" s="12">
        <f t="shared" si="4"/>
        <v>23.265416041293889</v>
      </c>
      <c r="BB42" s="13">
        <f t="shared" si="5"/>
        <v>21.449269149866719</v>
      </c>
      <c r="BC42" s="16">
        <f t="shared" si="8"/>
        <v>22.51855590830937</v>
      </c>
    </row>
    <row r="43" spans="1:55" ht="14.25" customHeight="1" x14ac:dyDescent="0.25">
      <c r="A43" s="15">
        <v>29</v>
      </c>
      <c r="B43" s="11">
        <f>'[7]input data'!E1014</f>
        <v>21.6</v>
      </c>
      <c r="C43" s="11">
        <f>'[7]input data'!E1015</f>
        <v>23.7</v>
      </c>
      <c r="D43" s="11">
        <f>'[7]input data'!E1016</f>
        <v>25.4</v>
      </c>
      <c r="E43" s="11">
        <f>'[7]input data'!E1017</f>
        <v>27</v>
      </c>
      <c r="F43" s="11">
        <f>'[7]input data'!E1018</f>
        <v>28.4</v>
      </c>
      <c r="G43" s="11">
        <f>'[7]input data'!E1019</f>
        <v>29.7</v>
      </c>
      <c r="H43" s="11">
        <f>'[7]input data'!E1020</f>
        <v>30</v>
      </c>
      <c r="I43" s="11">
        <f>'[7]input data'!E1021</f>
        <v>30</v>
      </c>
      <c r="J43" s="11">
        <f>'[7]input data'!E1022</f>
        <v>29.4</v>
      </c>
      <c r="K43" s="11">
        <f>'[7]input data'!E1023</f>
        <v>28.4</v>
      </c>
      <c r="L43" s="11">
        <f>'[7]input data'!E1024</f>
        <v>27.8</v>
      </c>
      <c r="M43" s="11">
        <f>'[7]input data'!E1025</f>
        <v>26</v>
      </c>
      <c r="N43" s="11">
        <f>'[7]input data'!E1026</f>
        <v>25.4</v>
      </c>
      <c r="O43" s="12">
        <f t="shared" si="0"/>
        <v>30</v>
      </c>
      <c r="P43" s="13">
        <f t="shared" si="1"/>
        <v>21.6</v>
      </c>
      <c r="Q43" s="16">
        <f t="shared" si="6"/>
        <v>27.138461538461534</v>
      </c>
      <c r="T43" s="15">
        <v>29</v>
      </c>
      <c r="U43" s="11">
        <f>INDEX('[7]input data'!$F$1:$F$1108,U92,1)</f>
        <v>21.2</v>
      </c>
      <c r="V43" s="11">
        <f>INDEX('[7]input data'!$F$1:$F$1108,V92,1)</f>
        <v>22.3</v>
      </c>
      <c r="W43" s="11">
        <f>INDEX('[7]input data'!$F$1:$F$1108,W92,1)</f>
        <v>23.2</v>
      </c>
      <c r="X43" s="11">
        <f>INDEX('[7]input data'!$F$1:$F$1108,X92,1)</f>
        <v>23.4</v>
      </c>
      <c r="Y43" s="11">
        <f>INDEX('[7]input data'!$F$1:$F$1108,Y92,1)</f>
        <v>24.2</v>
      </c>
      <c r="Z43" s="11">
        <f>INDEX('[7]input data'!$F$1:$F$1108,Z92,1)</f>
        <v>25</v>
      </c>
      <c r="AA43" s="11">
        <f>INDEX('[7]input data'!$F$1:$F$1108,AA92,1)</f>
        <v>24.4</v>
      </c>
      <c r="AB43" s="11">
        <f>INDEX('[7]input data'!$F$1:$F$1108,AB92,1)</f>
        <v>25.2</v>
      </c>
      <c r="AC43" s="11">
        <f>INDEX('[7]input data'!$F$1:$F$1108,AC92,1)</f>
        <v>24.7</v>
      </c>
      <c r="AD43" s="11">
        <f>INDEX('[7]input data'!$F$1:$F$1108,AD92,1)</f>
        <v>23.8</v>
      </c>
      <c r="AE43" s="11">
        <f>INDEX('[7]input data'!$F$1:$F$1108,AE92,1)</f>
        <v>23.8</v>
      </c>
      <c r="AF43" s="11">
        <f>INDEX('[7]input data'!$F$1:$F$1108,AF92,1)</f>
        <v>23.6</v>
      </c>
      <c r="AG43" s="11">
        <f>INDEX('[7]input data'!$F$1:$F$1108,AG92,1)</f>
        <v>23.4</v>
      </c>
      <c r="AH43" s="12">
        <f t="shared" si="2"/>
        <v>25.2</v>
      </c>
      <c r="AI43" s="13">
        <f t="shared" si="3"/>
        <v>21.2</v>
      </c>
      <c r="AJ43" s="16">
        <f t="shared" si="7"/>
        <v>23.707692307692305</v>
      </c>
      <c r="AM43" s="15">
        <v>29</v>
      </c>
      <c r="AN43" s="11">
        <f>INDEX('[7]input data'!$G$1:$G$1108,AO92,1)</f>
        <v>20.892361803794628</v>
      </c>
      <c r="AO43" s="11">
        <f>INDEX('[7]input data'!$G$1:$G$1108,AP92,1)</f>
        <v>21.507785109218418</v>
      </c>
      <c r="AP43" s="11">
        <f>INDEX('[7]input data'!$G$1:$G$1108,AQ92,1)</f>
        <v>22.053712651913379</v>
      </c>
      <c r="AQ43" s="11">
        <f>INDEX('[7]input data'!$G$1:$G$1108,AR92,1)</f>
        <v>21.575871494878008</v>
      </c>
      <c r="AR43" s="11">
        <f>INDEX('[7]input data'!$G$1:$G$1108,AS92,1)</f>
        <v>22.161158941710486</v>
      </c>
      <c r="AS43" s="11">
        <f>INDEX('[7]input data'!$G$1:$G$1108,AT92,1)</f>
        <v>22.811767552763925</v>
      </c>
      <c r="AT43" s="11">
        <f>INDEX('[7]input data'!$G$1:$G$1108,AU92,1)</f>
        <v>21.697718679692752</v>
      </c>
      <c r="AU43" s="11">
        <f>INDEX('[7]input data'!$G$1:$G$1108,AV92,1)</f>
        <v>22.988313287442271</v>
      </c>
      <c r="AV43" s="11">
        <f>INDEX('[7]input data'!$G$1:$G$1108,AW92,1)</f>
        <v>22.476662594288822</v>
      </c>
      <c r="AW43" s="11">
        <f>INDEX('[7]input data'!$G$1:$G$1108,AX92,1)</f>
        <v>21.517322869634658</v>
      </c>
      <c r="AX43" s="11">
        <f>INDEX('[7]input data'!$G$1:$G$1108,AY92,1)</f>
        <v>21.816730172619572</v>
      </c>
      <c r="AY43" s="11">
        <f>INDEX('[7]input data'!$G$1:$G$1108,AZ92,1)</f>
        <v>22.380428406468425</v>
      </c>
      <c r="AZ43" s="11">
        <f>INDEX('[7]input data'!$G$1:$G$1108,BA92,1)</f>
        <v>22.361484869154971</v>
      </c>
      <c r="BA43" s="12">
        <f t="shared" si="4"/>
        <v>22.988313287442271</v>
      </c>
      <c r="BB43" s="13">
        <f t="shared" si="5"/>
        <v>20.892361803794628</v>
      </c>
      <c r="BC43" s="16">
        <f t="shared" si="8"/>
        <v>22.01856295642926</v>
      </c>
    </row>
    <row r="44" spans="1:55" ht="14.25" customHeight="1" x14ac:dyDescent="0.25">
      <c r="A44" s="15">
        <v>30</v>
      </c>
      <c r="B44" s="11">
        <f>'[7]input data'!E1050</f>
        <v>23</v>
      </c>
      <c r="C44" s="11">
        <f>'[7]input data'!E1051</f>
        <v>24</v>
      </c>
      <c r="D44" s="11">
        <f>'[7]input data'!E1052</f>
        <v>26</v>
      </c>
      <c r="E44" s="11">
        <f>'[7]input data'!E1053</f>
        <v>26.7</v>
      </c>
      <c r="F44" s="11">
        <f>'[7]input data'!E1054</f>
        <v>28.4</v>
      </c>
      <c r="G44" s="11">
        <f>'[7]input data'!E1055</f>
        <v>29.4</v>
      </c>
      <c r="H44" s="11">
        <f>'[7]input data'!E1056</f>
        <v>30</v>
      </c>
      <c r="I44" s="11">
        <f>'[7]input data'!E1057</f>
        <v>30</v>
      </c>
      <c r="J44" s="11">
        <f>'[7]input data'!E1058</f>
        <v>29.7</v>
      </c>
      <c r="K44" s="11">
        <f>'[7]input data'!E1059</f>
        <v>28.5</v>
      </c>
      <c r="L44" s="11">
        <f>'[7]input data'!E1060</f>
        <v>26.8</v>
      </c>
      <c r="M44" s="11">
        <f>'[7]input data'!E1061</f>
        <v>25.6</v>
      </c>
      <c r="N44" s="11">
        <f>'[7]input data'!E1062</f>
        <v>24.8</v>
      </c>
      <c r="O44" s="12">
        <f t="shared" si="0"/>
        <v>30</v>
      </c>
      <c r="P44" s="13">
        <f t="shared" si="1"/>
        <v>23</v>
      </c>
      <c r="Q44" s="16">
        <f t="shared" si="6"/>
        <v>27.146153846153847</v>
      </c>
      <c r="T44" s="15">
        <v>30</v>
      </c>
      <c r="U44" s="11">
        <f>INDEX('[7]input data'!$F$1:$F$1108,U93,1)</f>
        <v>21.8</v>
      </c>
      <c r="V44" s="11">
        <f>INDEX('[7]input data'!$F$1:$F$1108,V93,1)</f>
        <v>22.2</v>
      </c>
      <c r="W44" s="11">
        <f>INDEX('[7]input data'!$F$1:$F$1108,W93,1)</f>
        <v>23.1</v>
      </c>
      <c r="X44" s="11">
        <f>INDEX('[7]input data'!$F$1:$F$1108,X93,1)</f>
        <v>23.3</v>
      </c>
      <c r="Y44" s="11">
        <f>INDEX('[7]input data'!$F$1:$F$1108,Y93,1)</f>
        <v>23.7</v>
      </c>
      <c r="Z44" s="11">
        <f>INDEX('[7]input data'!$F$1:$F$1108,Z93,1)</f>
        <v>23.7</v>
      </c>
      <c r="AA44" s="11">
        <f>INDEX('[7]input data'!$F$1:$F$1108,AA93,1)</f>
        <v>24.2</v>
      </c>
      <c r="AB44" s="11">
        <f>INDEX('[7]input data'!$F$1:$F$1108,AB93,1)</f>
        <v>24.3</v>
      </c>
      <c r="AC44" s="11">
        <f>INDEX('[7]input data'!$F$1:$F$1108,AC93,1)</f>
        <v>24.6</v>
      </c>
      <c r="AD44" s="11">
        <f>INDEX('[7]input data'!$F$1:$F$1108,AD93,1)</f>
        <v>23.3</v>
      </c>
      <c r="AE44" s="11">
        <f>INDEX('[7]input data'!$F$1:$F$1108,AE93,1)</f>
        <v>23.2</v>
      </c>
      <c r="AF44" s="11">
        <f>INDEX('[7]input data'!$F$1:$F$1108,AF93,1)</f>
        <v>22.9</v>
      </c>
      <c r="AG44" s="11">
        <f>INDEX('[7]input data'!$F$1:$F$1108,AG93,1)</f>
        <v>21.7</v>
      </c>
      <c r="AH44" s="12">
        <f t="shared" si="2"/>
        <v>24.6</v>
      </c>
      <c r="AI44" s="13">
        <f t="shared" si="3"/>
        <v>21.7</v>
      </c>
      <c r="AJ44" s="16">
        <f t="shared" si="7"/>
        <v>23.230769230769226</v>
      </c>
      <c r="AM44" s="15">
        <v>30</v>
      </c>
      <c r="AN44" s="11">
        <f>INDEX('[7]input data'!$G$1:$G$1108,AO93,1)</f>
        <v>21.09184168384748</v>
      </c>
      <c r="AO44" s="11">
        <f>INDEX('[7]input data'!$G$1:$G$1108,AP93,1)</f>
        <v>21.20048601042123</v>
      </c>
      <c r="AP44" s="11">
        <f>INDEX('[7]input data'!$G$1:$G$1108,AQ93,1)</f>
        <v>21.600686315847177</v>
      </c>
      <c r="AQ44" s="11">
        <f>INDEX('[7]input data'!$G$1:$G$1108,AR93,1)</f>
        <v>21.566858861312522</v>
      </c>
      <c r="AR44" s="11">
        <f>INDEX('[7]input data'!$G$1:$G$1108,AS93,1)</f>
        <v>21.354340552923322</v>
      </c>
      <c r="AS44" s="11">
        <f>INDEX('[7]input data'!$G$1:$G$1108,AT93,1)</f>
        <v>20.839881148537017</v>
      </c>
      <c r="AT44" s="11">
        <f>INDEX('[7]input data'!$G$1:$G$1108,AU93,1)</f>
        <v>21.366887025155211</v>
      </c>
      <c r="AU44" s="11">
        <f>INDEX('[7]input data'!$G$1:$G$1108,AV93,1)</f>
        <v>21.532732680700015</v>
      </c>
      <c r="AV44" s="11">
        <f>INDEX('[7]input data'!$G$1:$G$1108,AW93,1)</f>
        <v>22.1714776017124</v>
      </c>
      <c r="AW44" s="11">
        <f>INDEX('[7]input data'!$G$1:$G$1108,AX93,1)</f>
        <v>20.64125484485303</v>
      </c>
      <c r="AX44" s="11">
        <f>INDEX('[7]input data'!$G$1:$G$1108,AY93,1)</f>
        <v>21.356569638730033</v>
      </c>
      <c r="AY44" s="11">
        <f>INDEX('[7]input data'!$G$1:$G$1108,AZ93,1)</f>
        <v>21.486176608450648</v>
      </c>
      <c r="AZ44" s="11">
        <f>INDEX('[7]input data'!$G$1:$G$1108,BA93,1)</f>
        <v>19.978432804240207</v>
      </c>
      <c r="BA44" s="12">
        <f t="shared" si="4"/>
        <v>22.1714776017124</v>
      </c>
      <c r="BB44" s="13">
        <f t="shared" si="5"/>
        <v>19.978432804240207</v>
      </c>
      <c r="BC44" s="16">
        <f t="shared" si="8"/>
        <v>21.245201982825407</v>
      </c>
    </row>
    <row r="45" spans="1:55" ht="14.25" customHeight="1" thickBot="1" x14ac:dyDescent="0.3">
      <c r="A45" s="15">
        <v>31</v>
      </c>
      <c r="B45" s="11">
        <f>'[7]input data'!E1086</f>
        <v>21.2</v>
      </c>
      <c r="C45" s="11">
        <f>'[7]input data'!E1087</f>
        <v>23.8</v>
      </c>
      <c r="D45" s="11">
        <f>'[7]input data'!E1088</f>
        <v>25.4</v>
      </c>
      <c r="E45" s="11">
        <f>'[7]input data'!E1089</f>
        <v>27.9</v>
      </c>
      <c r="F45" s="11">
        <f>'[7]input data'!E1090</f>
        <v>28.6</v>
      </c>
      <c r="G45" s="11">
        <f>'[7]input data'!E1091</f>
        <v>29.3</v>
      </c>
      <c r="H45" s="11">
        <f>'[7]input data'!E1092</f>
        <v>29.2</v>
      </c>
      <c r="I45" s="11">
        <f>'[7]input data'!E1093</f>
        <v>29.8</v>
      </c>
      <c r="J45" s="11">
        <f>'[7]input data'!E1094</f>
        <v>29.5</v>
      </c>
      <c r="K45" s="11">
        <f>'[7]input data'!E1095</f>
        <v>28.5</v>
      </c>
      <c r="L45" s="11">
        <f>'[7]input data'!E1096</f>
        <v>27.4</v>
      </c>
      <c r="M45" s="11">
        <f>'[7]input data'!E1097</f>
        <v>26.2</v>
      </c>
      <c r="N45" s="11">
        <f>'[7]input data'!E1098</f>
        <v>25.4</v>
      </c>
      <c r="O45" s="17">
        <f t="shared" si="0"/>
        <v>29.8</v>
      </c>
      <c r="P45" s="18">
        <f t="shared" si="1"/>
        <v>21.2</v>
      </c>
      <c r="Q45" s="19">
        <f t="shared" si="6"/>
        <v>27.092307692307692</v>
      </c>
      <c r="T45" s="15">
        <v>31</v>
      </c>
      <c r="U45" s="11">
        <f>INDEX('[7]input data'!$F$1:$F$1108,U94,1)</f>
        <v>20.2</v>
      </c>
      <c r="V45" s="11">
        <f>INDEX('[7]input data'!$F$1:$F$1108,V94,1)</f>
        <v>21.8</v>
      </c>
      <c r="W45" s="11">
        <f>INDEX('[7]input data'!$F$1:$F$1108,W94,1)</f>
        <v>22.5</v>
      </c>
      <c r="X45" s="11">
        <f>INDEX('[7]input data'!$F$1:$F$1108,X94,1)</f>
        <v>23.2</v>
      </c>
      <c r="Y45" s="11">
        <f>INDEX('[7]input data'!$F$1:$F$1108,Y94,1)</f>
        <v>23.8</v>
      </c>
      <c r="Z45" s="11">
        <f>INDEX('[7]input data'!$F$1:$F$1108,Z94,1)</f>
        <v>24.2</v>
      </c>
      <c r="AA45" s="11">
        <f>INDEX('[7]input data'!$F$1:$F$1108,AA94,1)</f>
        <v>24.2</v>
      </c>
      <c r="AB45" s="11">
        <f>INDEX('[7]input data'!$F$1:$F$1108,AB94,1)</f>
        <v>24.6</v>
      </c>
      <c r="AC45" s="11">
        <f>INDEX('[7]input data'!$F$1:$F$1108,AC94,1)</f>
        <v>24.6</v>
      </c>
      <c r="AD45" s="11">
        <f>INDEX('[7]input data'!$F$1:$F$1108,AD94,1)</f>
        <v>24.2</v>
      </c>
      <c r="AE45" s="11">
        <f>INDEX('[7]input data'!$F$1:$F$1108,AE94,1)</f>
        <v>23.8</v>
      </c>
      <c r="AF45" s="11">
        <f>INDEX('[7]input data'!$F$1:$F$1108,AF94,1)</f>
        <v>22.8</v>
      </c>
      <c r="AG45" s="11">
        <f>INDEX('[7]input data'!$F$1:$F$1108,AG94,1)</f>
        <v>23</v>
      </c>
      <c r="AH45" s="12">
        <f t="shared" si="2"/>
        <v>24.6</v>
      </c>
      <c r="AI45" s="20">
        <f t="shared" si="3"/>
        <v>20.2</v>
      </c>
      <c r="AJ45" s="19">
        <f t="shared" si="7"/>
        <v>23.299999999999997</v>
      </c>
      <c r="AM45" s="15">
        <v>31</v>
      </c>
      <c r="AN45" s="11">
        <f>INDEX('[7]input data'!$G$1:$G$1108,AO94,1)</f>
        <v>19.548191753661882</v>
      </c>
      <c r="AO45" s="11">
        <f>INDEX('[7]input data'!$G$1:$G$1108,AP94,1)</f>
        <v>20.675572534002853</v>
      </c>
      <c r="AP45" s="11">
        <f>INDEX('[7]input data'!$G$1:$G$1108,AQ94,1)</f>
        <v>20.953415304456072</v>
      </c>
      <c r="AQ45" s="11">
        <f>INDEX('[7]input data'!$G$1:$G$1108,AR94,1)</f>
        <v>20.789959776328534</v>
      </c>
      <c r="AR45" s="11">
        <f>INDEX('[7]input data'!$G$1:$G$1108,AS94,1)</f>
        <v>21.416446175167959</v>
      </c>
      <c r="AS45" s="11">
        <f>INDEX('[7]input data'!$G$1:$G$1108,AT94,1)</f>
        <v>21.718531189331355</v>
      </c>
      <c r="AT45" s="11">
        <f>INDEX('[7]input data'!$G$1:$G$1108,AU94,1)</f>
        <v>21.768231046044811</v>
      </c>
      <c r="AU45" s="11">
        <f>INDEX('[7]input data'!$G$1:$G$1108,AV94,1)</f>
        <v>22.122834462404985</v>
      </c>
      <c r="AV45" s="11">
        <f>INDEX('[7]input data'!$G$1:$G$1108,AW94,1)</f>
        <v>22.268387984669609</v>
      </c>
      <c r="AW45" s="11">
        <f>INDEX('[7]input data'!$G$1:$G$1108,AX94,1)</f>
        <v>22.112490289433367</v>
      </c>
      <c r="AX45" s="11">
        <f>INDEX('[7]input data'!$G$1:$G$1108,AY94,1)</f>
        <v>22.013710163189856</v>
      </c>
      <c r="AY45" s="11">
        <f>INDEX('[7]input data'!$G$1:$G$1108,AZ94,1)</f>
        <v>21.020779142687349</v>
      </c>
      <c r="AZ45" s="11">
        <f>INDEX('[7]input data'!$G$1:$G$1108,BA94,1)</f>
        <v>21.743085824045714</v>
      </c>
      <c r="BA45" s="17">
        <f t="shared" si="4"/>
        <v>22.268387984669609</v>
      </c>
      <c r="BB45" s="18">
        <f t="shared" si="5"/>
        <v>19.548191753661882</v>
      </c>
      <c r="BC45" s="19">
        <f t="shared" si="8"/>
        <v>21.39627966503264</v>
      </c>
    </row>
    <row r="46" spans="1:55" ht="14.25" customHeight="1" thickTop="1" x14ac:dyDescent="0.25">
      <c r="A46" s="21" t="s">
        <v>25</v>
      </c>
      <c r="B46" s="22">
        <f t="shared" ref="B46:Q46" si="9">MAX(B15:B45)</f>
        <v>24.8</v>
      </c>
      <c r="C46" s="22">
        <f t="shared" si="9"/>
        <v>26.3</v>
      </c>
      <c r="D46" s="22">
        <f t="shared" si="9"/>
        <v>28.1</v>
      </c>
      <c r="E46" s="22">
        <f t="shared" si="9"/>
        <v>30</v>
      </c>
      <c r="F46" s="22">
        <f t="shared" si="9"/>
        <v>30.6</v>
      </c>
      <c r="G46" s="22">
        <f t="shared" si="9"/>
        <v>31</v>
      </c>
      <c r="H46" s="22">
        <f t="shared" si="9"/>
        <v>31.6</v>
      </c>
      <c r="I46" s="22">
        <f t="shared" si="9"/>
        <v>31.8</v>
      </c>
      <c r="J46" s="22">
        <f t="shared" si="9"/>
        <v>31.7</v>
      </c>
      <c r="K46" s="22">
        <f t="shared" si="9"/>
        <v>31.8</v>
      </c>
      <c r="L46" s="22">
        <f t="shared" si="9"/>
        <v>30</v>
      </c>
      <c r="M46" s="22">
        <f t="shared" si="9"/>
        <v>28</v>
      </c>
      <c r="N46" s="22">
        <f t="shared" si="9"/>
        <v>26.9</v>
      </c>
      <c r="O46" s="12">
        <f t="shared" si="9"/>
        <v>31.8</v>
      </c>
      <c r="P46" s="23">
        <f t="shared" si="9"/>
        <v>24.8</v>
      </c>
      <c r="Q46" s="24">
        <f t="shared" si="9"/>
        <v>29.030769230769234</v>
      </c>
      <c r="T46" s="21" t="s">
        <v>25</v>
      </c>
      <c r="U46" s="22">
        <f t="shared" ref="U46:AJ46" si="10">MAX(U15:U45)</f>
        <v>24</v>
      </c>
      <c r="V46" s="22">
        <f t="shared" si="10"/>
        <v>24.3</v>
      </c>
      <c r="W46" s="22">
        <f t="shared" si="10"/>
        <v>25</v>
      </c>
      <c r="X46" s="22">
        <f t="shared" si="10"/>
        <v>25.4</v>
      </c>
      <c r="Y46" s="22">
        <f t="shared" si="10"/>
        <v>25.6</v>
      </c>
      <c r="Z46" s="22">
        <f t="shared" si="10"/>
        <v>26</v>
      </c>
      <c r="AA46" s="22">
        <f t="shared" si="10"/>
        <v>26.8</v>
      </c>
      <c r="AB46" s="22">
        <f t="shared" si="10"/>
        <v>27.1</v>
      </c>
      <c r="AC46" s="22">
        <f t="shared" si="10"/>
        <v>25.9</v>
      </c>
      <c r="AD46" s="22">
        <f t="shared" si="10"/>
        <v>26</v>
      </c>
      <c r="AE46" s="22">
        <f t="shared" si="10"/>
        <v>26.4</v>
      </c>
      <c r="AF46" s="22">
        <f t="shared" si="10"/>
        <v>26.3</v>
      </c>
      <c r="AG46" s="22">
        <f t="shared" si="10"/>
        <v>25.7</v>
      </c>
      <c r="AH46" s="25">
        <f t="shared" si="10"/>
        <v>27.1</v>
      </c>
      <c r="AI46" s="23">
        <f t="shared" si="10"/>
        <v>24</v>
      </c>
      <c r="AJ46" s="24">
        <f t="shared" si="10"/>
        <v>25.423076923076923</v>
      </c>
      <c r="AM46" s="21" t="s">
        <v>25</v>
      </c>
      <c r="AN46" s="22">
        <f t="shared" ref="AN46:BC46" si="11">MAX(AN15:AN45)</f>
        <v>23.541582806104632</v>
      </c>
      <c r="AO46" s="22">
        <f t="shared" si="11"/>
        <v>23.475269202586603</v>
      </c>
      <c r="AP46" s="22">
        <f t="shared" si="11"/>
        <v>23.950825647173037</v>
      </c>
      <c r="AQ46" s="22">
        <f t="shared" si="11"/>
        <v>24.04720732609967</v>
      </c>
      <c r="AR46" s="22">
        <f t="shared" si="11"/>
        <v>23.640370879653982</v>
      </c>
      <c r="AS46" s="22">
        <f t="shared" si="11"/>
        <v>23.835018908079892</v>
      </c>
      <c r="AT46" s="22">
        <f t="shared" si="11"/>
        <v>26.076626053025738</v>
      </c>
      <c r="AU46" s="22">
        <f t="shared" si="11"/>
        <v>25.427593939938845</v>
      </c>
      <c r="AV46" s="22">
        <f t="shared" si="11"/>
        <v>24.580817888895325</v>
      </c>
      <c r="AW46" s="22">
        <f t="shared" si="11"/>
        <v>24.920143789821459</v>
      </c>
      <c r="AX46" s="22">
        <f t="shared" si="11"/>
        <v>24.836802408045006</v>
      </c>
      <c r="AY46" s="22">
        <f t="shared" si="11"/>
        <v>25.519291837086154</v>
      </c>
      <c r="AZ46" s="22">
        <f t="shared" si="11"/>
        <v>25.148253476740489</v>
      </c>
      <c r="BA46" s="12">
        <f t="shared" si="11"/>
        <v>26.076626053025738</v>
      </c>
      <c r="BB46" s="23">
        <f t="shared" si="11"/>
        <v>23.196271327670441</v>
      </c>
      <c r="BC46" s="24">
        <f t="shared" si="11"/>
        <v>23.894410287620317</v>
      </c>
    </row>
    <row r="47" spans="1:55" ht="14.25" customHeight="1" x14ac:dyDescent="0.25">
      <c r="A47" s="15" t="s">
        <v>26</v>
      </c>
      <c r="B47" s="26">
        <f t="shared" ref="B47:Q47" si="12">MIN(B15:B45)</f>
        <v>20.5</v>
      </c>
      <c r="C47" s="26">
        <f t="shared" si="12"/>
        <v>23.1</v>
      </c>
      <c r="D47" s="26">
        <f t="shared" si="12"/>
        <v>24.6</v>
      </c>
      <c r="E47" s="26">
        <f t="shared" si="12"/>
        <v>25.3</v>
      </c>
      <c r="F47" s="26">
        <f t="shared" si="12"/>
        <v>25.6</v>
      </c>
      <c r="G47" s="26">
        <f t="shared" si="12"/>
        <v>26</v>
      </c>
      <c r="H47" s="26">
        <f t="shared" si="12"/>
        <v>26.5</v>
      </c>
      <c r="I47" s="26">
        <f t="shared" si="12"/>
        <v>27.2</v>
      </c>
      <c r="J47" s="26">
        <f t="shared" si="12"/>
        <v>25.4</v>
      </c>
      <c r="K47" s="26">
        <f t="shared" si="12"/>
        <v>22.4</v>
      </c>
      <c r="L47" s="26">
        <f t="shared" si="12"/>
        <v>23.6</v>
      </c>
      <c r="M47" s="26">
        <f t="shared" si="12"/>
        <v>23.6</v>
      </c>
      <c r="N47" s="26">
        <f t="shared" si="12"/>
        <v>23.8</v>
      </c>
      <c r="O47" s="27">
        <f t="shared" si="12"/>
        <v>27.2</v>
      </c>
      <c r="P47" s="26">
        <f t="shared" si="12"/>
        <v>20.5</v>
      </c>
      <c r="Q47" s="28">
        <f t="shared" si="12"/>
        <v>25.499999999999996</v>
      </c>
      <c r="T47" s="15" t="s">
        <v>26</v>
      </c>
      <c r="U47" s="26">
        <f t="shared" ref="U47:AJ47" si="13">MIN(U15:U45)</f>
        <v>18.399999999999999</v>
      </c>
      <c r="V47" s="26">
        <f t="shared" si="13"/>
        <v>20.100000000000001</v>
      </c>
      <c r="W47" s="26">
        <f t="shared" si="13"/>
        <v>20.399999999999999</v>
      </c>
      <c r="X47" s="26">
        <f t="shared" si="13"/>
        <v>20.6</v>
      </c>
      <c r="Y47" s="26">
        <f t="shared" si="13"/>
        <v>20.3</v>
      </c>
      <c r="Z47" s="26">
        <f t="shared" si="13"/>
        <v>21.3</v>
      </c>
      <c r="AA47" s="26">
        <f t="shared" si="13"/>
        <v>21</v>
      </c>
      <c r="AB47" s="26">
        <f t="shared" si="13"/>
        <v>21.4</v>
      </c>
      <c r="AC47" s="26">
        <f t="shared" si="13"/>
        <v>21.4</v>
      </c>
      <c r="AD47" s="26">
        <f t="shared" si="13"/>
        <v>21.2</v>
      </c>
      <c r="AE47" s="26">
        <f t="shared" si="13"/>
        <v>20.8</v>
      </c>
      <c r="AF47" s="26">
        <f t="shared" si="13"/>
        <v>20.2</v>
      </c>
      <c r="AG47" s="26">
        <f t="shared" si="13"/>
        <v>20</v>
      </c>
      <c r="AH47" s="27">
        <f t="shared" si="13"/>
        <v>21.4</v>
      </c>
      <c r="AI47" s="26">
        <f t="shared" si="13"/>
        <v>18.399999999999999</v>
      </c>
      <c r="AJ47" s="28">
        <f t="shared" si="13"/>
        <v>20.653846153846153</v>
      </c>
      <c r="AM47" s="15" t="s">
        <v>26</v>
      </c>
      <c r="AN47" s="26">
        <f t="shared" ref="AN47:BC47" si="14">MIN(AN15:AN45)</f>
        <v>16.995992330159833</v>
      </c>
      <c r="AO47" s="26">
        <f t="shared" si="14"/>
        <v>18.043079819846305</v>
      </c>
      <c r="AP47" s="26">
        <f t="shared" si="14"/>
        <v>17.079236947287662</v>
      </c>
      <c r="AQ47" s="26">
        <f t="shared" si="14"/>
        <v>16.739474083286197</v>
      </c>
      <c r="AR47" s="26">
        <f t="shared" si="14"/>
        <v>15.621809806964336</v>
      </c>
      <c r="AS47" s="26">
        <f t="shared" si="14"/>
        <v>16.767391652468955</v>
      </c>
      <c r="AT47" s="26">
        <f t="shared" si="14"/>
        <v>16.048291774323804</v>
      </c>
      <c r="AU47" s="26">
        <f t="shared" si="14"/>
        <v>16.568168527103442</v>
      </c>
      <c r="AV47" s="26">
        <f t="shared" si="14"/>
        <v>16.95924516411883</v>
      </c>
      <c r="AW47" s="26">
        <f t="shared" si="14"/>
        <v>16.835731434304584</v>
      </c>
      <c r="AX47" s="26">
        <f t="shared" si="14"/>
        <v>17.113148573522995</v>
      </c>
      <c r="AY47" s="26">
        <f t="shared" si="14"/>
        <v>16.512943003651291</v>
      </c>
      <c r="AZ47" s="26">
        <f t="shared" si="14"/>
        <v>17.685725753632511</v>
      </c>
      <c r="BA47" s="27">
        <f t="shared" si="14"/>
        <v>19.121029195522599</v>
      </c>
      <c r="BB47" s="26">
        <f t="shared" si="14"/>
        <v>15.621809806964336</v>
      </c>
      <c r="BC47" s="28">
        <f t="shared" si="14"/>
        <v>17.028898370840999</v>
      </c>
    </row>
    <row r="48" spans="1:55" ht="14.25" customHeight="1" thickBot="1" x14ac:dyDescent="0.3">
      <c r="A48" s="29" t="s">
        <v>27</v>
      </c>
      <c r="B48" s="18">
        <f t="shared" ref="B48:Q48" si="15">AVERAGE(B15:B45)</f>
        <v>23.093548387096774</v>
      </c>
      <c r="C48" s="18">
        <f t="shared" si="15"/>
        <v>24.735483870967748</v>
      </c>
      <c r="D48" s="18">
        <f t="shared" si="15"/>
        <v>26.264516129032252</v>
      </c>
      <c r="E48" s="18">
        <f t="shared" si="15"/>
        <v>27.56129032258065</v>
      </c>
      <c r="F48" s="18">
        <f t="shared" si="15"/>
        <v>28.587096774193544</v>
      </c>
      <c r="G48" s="18">
        <f t="shared" si="15"/>
        <v>29.364516129032257</v>
      </c>
      <c r="H48" s="18">
        <f t="shared" si="15"/>
        <v>29.64193548387097</v>
      </c>
      <c r="I48" s="18">
        <f t="shared" si="15"/>
        <v>29.71612903225807</v>
      </c>
      <c r="J48" s="18">
        <f t="shared" si="15"/>
        <v>28.848387096774193</v>
      </c>
      <c r="K48" s="18">
        <f t="shared" si="15"/>
        <v>28.148387096774197</v>
      </c>
      <c r="L48" s="18">
        <f t="shared" si="15"/>
        <v>27.193548387096772</v>
      </c>
      <c r="M48" s="18">
        <f t="shared" si="15"/>
        <v>26.196774193548396</v>
      </c>
      <c r="N48" s="18">
        <f t="shared" si="15"/>
        <v>25.541935483870965</v>
      </c>
      <c r="O48" s="17">
        <f t="shared" si="15"/>
        <v>30.016129032258061</v>
      </c>
      <c r="P48" s="18">
        <f t="shared" si="15"/>
        <v>23.080645161290324</v>
      </c>
      <c r="Q48" s="19">
        <f t="shared" si="15"/>
        <v>27.299503722084374</v>
      </c>
      <c r="T48" s="29" t="s">
        <v>27</v>
      </c>
      <c r="U48" s="18">
        <f t="shared" ref="U48:AJ48" si="16">AVERAGE(U15:U45)</f>
        <v>21.893548387096772</v>
      </c>
      <c r="V48" s="18">
        <f t="shared" si="16"/>
        <v>22.703225806451616</v>
      </c>
      <c r="W48" s="18">
        <f t="shared" si="16"/>
        <v>23.167741935483871</v>
      </c>
      <c r="X48" s="18">
        <f t="shared" si="16"/>
        <v>23.580645161290324</v>
      </c>
      <c r="Y48" s="18">
        <f t="shared" si="16"/>
        <v>23.91935483870968</v>
      </c>
      <c r="Z48" s="18">
        <f t="shared" si="16"/>
        <v>24.193548387096779</v>
      </c>
      <c r="AA48" s="18">
        <f t="shared" si="16"/>
        <v>24.400000000000002</v>
      </c>
      <c r="AB48" s="18">
        <f t="shared" si="16"/>
        <v>24.56451612903226</v>
      </c>
      <c r="AC48" s="18">
        <f t="shared" si="16"/>
        <v>24.312903225806455</v>
      </c>
      <c r="AD48" s="18">
        <f t="shared" si="16"/>
        <v>24.003225806451606</v>
      </c>
      <c r="AE48" s="18">
        <f t="shared" si="16"/>
        <v>23.780645161290316</v>
      </c>
      <c r="AF48" s="18">
        <f t="shared" si="16"/>
        <v>23.587096774193547</v>
      </c>
      <c r="AG48" s="18">
        <f t="shared" si="16"/>
        <v>23.390322580645162</v>
      </c>
      <c r="AH48" s="17">
        <f t="shared" si="16"/>
        <v>24.880645161290325</v>
      </c>
      <c r="AI48" s="18">
        <f t="shared" si="16"/>
        <v>21.8</v>
      </c>
      <c r="AJ48" s="19">
        <f t="shared" si="16"/>
        <v>23.653598014888338</v>
      </c>
      <c r="AM48" s="29" t="s">
        <v>27</v>
      </c>
      <c r="AN48" s="18">
        <f t="shared" ref="AN48:BC48" si="17">AVERAGE(AN15:AN45)</f>
        <v>21.173086144804916</v>
      </c>
      <c r="AO48" s="18">
        <f t="shared" si="17"/>
        <v>21.596038268712611</v>
      </c>
      <c r="AP48" s="18">
        <f t="shared" si="17"/>
        <v>21.545824000938051</v>
      </c>
      <c r="AQ48" s="18">
        <f t="shared" si="17"/>
        <v>21.550536852459462</v>
      </c>
      <c r="AR48" s="18">
        <f t="shared" si="17"/>
        <v>21.584127063791772</v>
      </c>
      <c r="AS48" s="18">
        <f t="shared" si="17"/>
        <v>21.645391763620726</v>
      </c>
      <c r="AT48" s="18">
        <f t="shared" si="17"/>
        <v>21.8299690880242</v>
      </c>
      <c r="AU48" s="18">
        <f t="shared" si="17"/>
        <v>22.068557667671573</v>
      </c>
      <c r="AV48" s="18">
        <f t="shared" si="17"/>
        <v>22.083466464839812</v>
      </c>
      <c r="AW48" s="18">
        <f t="shared" si="17"/>
        <v>21.932686353389414</v>
      </c>
      <c r="AX48" s="18">
        <f t="shared" si="17"/>
        <v>22.051502455145467</v>
      </c>
      <c r="AY48" s="18">
        <f t="shared" si="17"/>
        <v>22.224409755030806</v>
      </c>
      <c r="AZ48" s="18">
        <f t="shared" si="17"/>
        <v>22.249125617867001</v>
      </c>
      <c r="BA48" s="17">
        <f t="shared" si="17"/>
        <v>23.162504519955728</v>
      </c>
      <c r="BB48" s="18">
        <f t="shared" si="17"/>
        <v>20.391692657975732</v>
      </c>
      <c r="BC48" s="19">
        <f t="shared" si="17"/>
        <v>21.810363192022759</v>
      </c>
    </row>
    <row r="49" spans="3:53" ht="13.8" thickTop="1" x14ac:dyDescent="0.25">
      <c r="T49" s="1"/>
      <c r="AM49" s="1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3:53" x14ac:dyDescent="0.25">
      <c r="C50" s="1" t="str">
        <f>[7]QFF!C42</f>
        <v>Mengetahui,</v>
      </c>
      <c r="T50" s="1"/>
      <c r="V50" s="1" t="str">
        <f>C50</f>
        <v>Mengetahui,</v>
      </c>
      <c r="AM50" s="1"/>
      <c r="AO50" s="1" t="str">
        <f>V50</f>
        <v>Mengetahui,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3:53" x14ac:dyDescent="0.25">
      <c r="C51" s="1" t="str">
        <f>[7]QFF!C43</f>
        <v>Kepala Stasiun Klimatologi Kelas IV</v>
      </c>
      <c r="N51" s="1" t="str">
        <f>[7]QFF!N43</f>
        <v>Pengolah</v>
      </c>
      <c r="T51" s="1"/>
      <c r="V51" s="1" t="str">
        <f>C51</f>
        <v>Kepala Stasiun Klimatologi Kelas IV</v>
      </c>
      <c r="AG51" s="1" t="str">
        <f>N51</f>
        <v>Pengolah</v>
      </c>
      <c r="AM51" s="1"/>
      <c r="AO51" s="1" t="str">
        <f>V51</f>
        <v>Kepala Stasiun Klimatologi Kelas IV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1" t="str">
        <f>AG51</f>
        <v>Pengolah</v>
      </c>
      <c r="BA51" s="2"/>
    </row>
    <row r="52" spans="3:53" x14ac:dyDescent="0.25">
      <c r="C52" s="1" t="str">
        <f>[7]QFF!C44</f>
        <v>Sleman Yogyakarta</v>
      </c>
      <c r="N52" s="1"/>
      <c r="T52" s="1"/>
      <c r="V52" s="1" t="str">
        <f>C52</f>
        <v>Sleman Yogyakarta</v>
      </c>
      <c r="AG52" s="1"/>
      <c r="AM52" s="1"/>
      <c r="AO52" s="1" t="str">
        <f>V52</f>
        <v>Sleman Yogyakarta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BA52" s="2"/>
    </row>
    <row r="53" spans="3:53" x14ac:dyDescent="0.25">
      <c r="C53" s="1"/>
      <c r="N53" s="1"/>
      <c r="T53" s="1"/>
      <c r="V53" s="1"/>
      <c r="AG53" s="1"/>
      <c r="AM53" s="1"/>
      <c r="AP53" s="2"/>
      <c r="AQ53" s="2"/>
      <c r="AR53" s="2"/>
      <c r="AS53" s="2"/>
      <c r="AT53" s="2"/>
      <c r="AU53" s="2"/>
      <c r="AV53" s="2"/>
      <c r="AW53" s="2"/>
      <c r="AX53" s="2"/>
      <c r="AY53" s="2"/>
      <c r="BA53" s="2"/>
    </row>
    <row r="54" spans="3:53" x14ac:dyDescent="0.25">
      <c r="C54" s="1"/>
      <c r="N54" s="1"/>
      <c r="T54" s="1"/>
      <c r="V54" s="1"/>
      <c r="AG54" s="1"/>
      <c r="AM54" s="1"/>
      <c r="AP54" s="2"/>
      <c r="AQ54" s="2"/>
      <c r="AR54" s="2"/>
      <c r="AS54" s="2"/>
      <c r="AT54" s="2"/>
      <c r="AU54" s="2"/>
      <c r="AV54" s="2"/>
      <c r="AW54" s="2"/>
      <c r="AX54" s="2"/>
      <c r="AY54" s="2"/>
      <c r="BA54" s="2"/>
    </row>
    <row r="55" spans="3:53" x14ac:dyDescent="0.25">
      <c r="C55" s="1"/>
      <c r="N55" s="1"/>
      <c r="T55" s="1"/>
      <c r="V55" s="1"/>
      <c r="AG55" s="1"/>
      <c r="AM55" s="1"/>
      <c r="AP55" s="2"/>
      <c r="AQ55" s="2"/>
      <c r="AR55" s="2"/>
      <c r="AS55" s="2"/>
      <c r="AT55" s="2"/>
      <c r="AU55" s="2"/>
      <c r="AV55" s="2"/>
      <c r="AW55" s="2"/>
      <c r="AX55" s="2"/>
      <c r="AY55" s="2"/>
      <c r="BA55" s="2"/>
    </row>
    <row r="56" spans="3:53" x14ac:dyDescent="0.25">
      <c r="C56" s="1"/>
      <c r="N56" s="1"/>
      <c r="T56" s="1"/>
      <c r="V56" s="1"/>
      <c r="AG56" s="1"/>
      <c r="AM56" s="1"/>
      <c r="AP56" s="2"/>
      <c r="AQ56" s="2"/>
      <c r="AR56" s="2"/>
      <c r="AS56" s="2"/>
      <c r="AT56" s="2"/>
      <c r="AU56" s="2"/>
      <c r="AV56" s="2"/>
      <c r="AW56" s="2"/>
      <c r="AX56" s="2"/>
      <c r="AY56" s="2"/>
      <c r="BA56" s="2"/>
    </row>
    <row r="57" spans="3:53" x14ac:dyDescent="0.25">
      <c r="C57" s="30" t="str">
        <f>[7]QFF!C49</f>
        <v>RENI KRANINGTYAS, SP, M.Si</v>
      </c>
      <c r="N57" s="30" t="str">
        <f>[7]QFF!N49</f>
        <v xml:space="preserve">TIM PEMBUAT LAPORAN </v>
      </c>
      <c r="T57" s="1"/>
      <c r="V57" s="30" t="str">
        <f>C57</f>
        <v>RENI KRANINGTYAS, SP, M.Si</v>
      </c>
      <c r="AG57" s="30" t="str">
        <f>N57</f>
        <v xml:space="preserve">TIM PEMBUAT LAPORAN </v>
      </c>
      <c r="AM57" s="1"/>
      <c r="AO57" s="30" t="str">
        <f>V57</f>
        <v>RENI KRANINGTYAS, SP, M.Si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30" t="str">
        <f>AG57</f>
        <v xml:space="preserve">TIM PEMBUAT LAPORAN </v>
      </c>
      <c r="BA57" s="2"/>
    </row>
    <row r="58" spans="3:53" x14ac:dyDescent="0.25">
      <c r="C58" s="1" t="str">
        <f>[7]QFF!C50</f>
        <v>NIP.  19740203 199703 2 001</v>
      </c>
      <c r="N58" s="1" t="str">
        <f>[7]QFF!N50</f>
        <v xml:space="preserve">PETUGAS OPERASIONAL </v>
      </c>
      <c r="T58" s="1"/>
      <c r="V58" s="1" t="str">
        <f>C58</f>
        <v>NIP.  19740203 199703 2 001</v>
      </c>
      <c r="AG58" s="1" t="str">
        <f>N58</f>
        <v xml:space="preserve">PETUGAS OPERASIONAL </v>
      </c>
      <c r="AM58" s="1"/>
      <c r="AO58" s="1" t="str">
        <f>V58</f>
        <v>NIP.  19740203 199703 2 001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1" t="str">
        <f>AG58</f>
        <v xml:space="preserve">PETUGAS OPERASIONAL </v>
      </c>
      <c r="BA58" s="2"/>
    </row>
    <row r="59" spans="3:53" x14ac:dyDescent="0.25">
      <c r="T59" s="1"/>
      <c r="AM59" s="1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2" spans="3:53" x14ac:dyDescent="0.25"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N62" s="31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</row>
    <row r="63" spans="3:53" x14ac:dyDescent="0.25">
      <c r="T63" s="31"/>
      <c r="U63" s="32">
        <v>0</v>
      </c>
      <c r="V63" s="32">
        <v>1</v>
      </c>
      <c r="W63" s="32">
        <v>2</v>
      </c>
      <c r="X63" s="32">
        <v>3</v>
      </c>
      <c r="Y63" s="32">
        <v>4</v>
      </c>
      <c r="Z63" s="32">
        <v>5</v>
      </c>
      <c r="AA63" s="32">
        <v>6</v>
      </c>
      <c r="AB63" s="32">
        <v>7</v>
      </c>
      <c r="AC63" s="32">
        <v>8</v>
      </c>
      <c r="AD63" s="32">
        <v>9</v>
      </c>
      <c r="AE63" s="32">
        <v>10</v>
      </c>
      <c r="AF63" s="32">
        <v>11</v>
      </c>
      <c r="AG63" s="32">
        <v>12</v>
      </c>
      <c r="AH63" s="31"/>
      <c r="AN63" s="31"/>
      <c r="AO63" s="32">
        <v>0</v>
      </c>
      <c r="AP63" s="32">
        <v>1</v>
      </c>
      <c r="AQ63" s="32">
        <v>2</v>
      </c>
      <c r="AR63" s="32">
        <v>3</v>
      </c>
      <c r="AS63" s="32">
        <v>4</v>
      </c>
      <c r="AT63" s="32">
        <v>5</v>
      </c>
      <c r="AU63" s="32">
        <v>6</v>
      </c>
      <c r="AV63" s="32">
        <v>7</v>
      </c>
      <c r="AW63" s="32">
        <v>8</v>
      </c>
      <c r="AX63" s="32">
        <v>9</v>
      </c>
      <c r="AY63" s="32">
        <v>10</v>
      </c>
      <c r="AZ63" s="32">
        <v>11</v>
      </c>
      <c r="BA63" s="32">
        <v>12</v>
      </c>
    </row>
    <row r="64" spans="3:53" x14ac:dyDescent="0.25">
      <c r="T64" s="31"/>
      <c r="U64" s="32">
        <v>6</v>
      </c>
      <c r="V64" s="32">
        <v>7</v>
      </c>
      <c r="W64" s="32">
        <v>8</v>
      </c>
      <c r="X64" s="32">
        <v>9</v>
      </c>
      <c r="Y64" s="32">
        <v>10</v>
      </c>
      <c r="Z64" s="32">
        <v>11</v>
      </c>
      <c r="AA64" s="32">
        <v>12</v>
      </c>
      <c r="AB64" s="32">
        <v>13</v>
      </c>
      <c r="AC64" s="32">
        <v>14</v>
      </c>
      <c r="AD64" s="32">
        <v>15</v>
      </c>
      <c r="AE64" s="32">
        <v>16</v>
      </c>
      <c r="AF64" s="32">
        <v>17</v>
      </c>
      <c r="AG64" s="32">
        <v>18</v>
      </c>
      <c r="AH64" s="31"/>
      <c r="AN64" s="31"/>
      <c r="AO64" s="32">
        <v>6</v>
      </c>
      <c r="AP64" s="32">
        <v>7</v>
      </c>
      <c r="AQ64" s="32">
        <v>8</v>
      </c>
      <c r="AR64" s="32">
        <v>9</v>
      </c>
      <c r="AS64" s="32">
        <v>10</v>
      </c>
      <c r="AT64" s="32">
        <v>11</v>
      </c>
      <c r="AU64" s="32">
        <v>12</v>
      </c>
      <c r="AV64" s="32">
        <v>13</v>
      </c>
      <c r="AW64" s="32">
        <v>14</v>
      </c>
      <c r="AX64" s="32">
        <v>15</v>
      </c>
      <c r="AY64" s="32">
        <v>16</v>
      </c>
      <c r="AZ64" s="32">
        <v>17</v>
      </c>
      <c r="BA64" s="32">
        <v>18</v>
      </c>
    </row>
    <row r="65" spans="20:53" x14ac:dyDescent="0.25">
      <c r="T65" s="31"/>
      <c r="U65" s="32">
        <v>42</v>
      </c>
      <c r="V65" s="32">
        <v>43</v>
      </c>
      <c r="W65" s="32">
        <v>44</v>
      </c>
      <c r="X65" s="32">
        <v>45</v>
      </c>
      <c r="Y65" s="32">
        <v>46</v>
      </c>
      <c r="Z65" s="32">
        <v>47</v>
      </c>
      <c r="AA65" s="32">
        <v>48</v>
      </c>
      <c r="AB65" s="32">
        <v>49</v>
      </c>
      <c r="AC65" s="32">
        <v>50</v>
      </c>
      <c r="AD65" s="32">
        <v>51</v>
      </c>
      <c r="AE65" s="32">
        <v>52</v>
      </c>
      <c r="AF65" s="32">
        <v>53</v>
      </c>
      <c r="AG65" s="32">
        <v>54</v>
      </c>
      <c r="AH65" s="31"/>
      <c r="AN65" s="31"/>
      <c r="AO65" s="32">
        <v>42</v>
      </c>
      <c r="AP65" s="32">
        <v>43</v>
      </c>
      <c r="AQ65" s="32">
        <v>44</v>
      </c>
      <c r="AR65" s="32">
        <v>45</v>
      </c>
      <c r="AS65" s="32">
        <v>46</v>
      </c>
      <c r="AT65" s="32">
        <v>47</v>
      </c>
      <c r="AU65" s="32">
        <v>48</v>
      </c>
      <c r="AV65" s="32">
        <v>49</v>
      </c>
      <c r="AW65" s="32">
        <v>50</v>
      </c>
      <c r="AX65" s="32">
        <v>51</v>
      </c>
      <c r="AY65" s="32">
        <v>52</v>
      </c>
      <c r="AZ65" s="32">
        <v>53</v>
      </c>
      <c r="BA65" s="32">
        <v>54</v>
      </c>
    </row>
    <row r="66" spans="20:53" x14ac:dyDescent="0.25">
      <c r="T66" s="31"/>
      <c r="U66" s="32">
        <f>U65+36</f>
        <v>78</v>
      </c>
      <c r="V66" s="32">
        <f t="shared" ref="V66:AG81" si="18">V65+36</f>
        <v>79</v>
      </c>
      <c r="W66" s="32">
        <f t="shared" si="18"/>
        <v>80</v>
      </c>
      <c r="X66" s="32">
        <f t="shared" si="18"/>
        <v>81</v>
      </c>
      <c r="Y66" s="32">
        <f t="shared" si="18"/>
        <v>82</v>
      </c>
      <c r="Z66" s="32">
        <f t="shared" si="18"/>
        <v>83</v>
      </c>
      <c r="AA66" s="32">
        <f t="shared" si="18"/>
        <v>84</v>
      </c>
      <c r="AB66" s="32">
        <f t="shared" si="18"/>
        <v>85</v>
      </c>
      <c r="AC66" s="32">
        <f t="shared" si="18"/>
        <v>86</v>
      </c>
      <c r="AD66" s="32">
        <f t="shared" si="18"/>
        <v>87</v>
      </c>
      <c r="AE66" s="32">
        <f t="shared" si="18"/>
        <v>88</v>
      </c>
      <c r="AF66" s="32">
        <f t="shared" si="18"/>
        <v>89</v>
      </c>
      <c r="AG66" s="32">
        <f t="shared" si="18"/>
        <v>90</v>
      </c>
      <c r="AH66" s="31"/>
      <c r="AN66" s="31"/>
      <c r="AO66" s="32">
        <f>AO65+36</f>
        <v>78</v>
      </c>
      <c r="AP66" s="32">
        <f t="shared" ref="AP66:BA81" si="19">AP65+36</f>
        <v>79</v>
      </c>
      <c r="AQ66" s="32">
        <f t="shared" si="19"/>
        <v>80</v>
      </c>
      <c r="AR66" s="32">
        <f t="shared" si="19"/>
        <v>81</v>
      </c>
      <c r="AS66" s="32">
        <f t="shared" si="19"/>
        <v>82</v>
      </c>
      <c r="AT66" s="32">
        <f t="shared" si="19"/>
        <v>83</v>
      </c>
      <c r="AU66" s="32">
        <f t="shared" si="19"/>
        <v>84</v>
      </c>
      <c r="AV66" s="32">
        <f t="shared" si="19"/>
        <v>85</v>
      </c>
      <c r="AW66" s="32">
        <f t="shared" si="19"/>
        <v>86</v>
      </c>
      <c r="AX66" s="32">
        <f t="shared" si="19"/>
        <v>87</v>
      </c>
      <c r="AY66" s="32">
        <f t="shared" si="19"/>
        <v>88</v>
      </c>
      <c r="AZ66" s="32">
        <f t="shared" si="19"/>
        <v>89</v>
      </c>
      <c r="BA66" s="32">
        <f t="shared" si="19"/>
        <v>90</v>
      </c>
    </row>
    <row r="67" spans="20:53" x14ac:dyDescent="0.25">
      <c r="T67" s="31"/>
      <c r="U67" s="32">
        <f t="shared" ref="U67:AG82" si="20">U66+36</f>
        <v>114</v>
      </c>
      <c r="V67" s="32">
        <f t="shared" si="18"/>
        <v>115</v>
      </c>
      <c r="W67" s="32">
        <f t="shared" si="18"/>
        <v>116</v>
      </c>
      <c r="X67" s="32">
        <f t="shared" si="18"/>
        <v>117</v>
      </c>
      <c r="Y67" s="32">
        <f t="shared" si="18"/>
        <v>118</v>
      </c>
      <c r="Z67" s="32">
        <f t="shared" si="18"/>
        <v>119</v>
      </c>
      <c r="AA67" s="32">
        <f t="shared" si="18"/>
        <v>120</v>
      </c>
      <c r="AB67" s="32">
        <f t="shared" si="18"/>
        <v>121</v>
      </c>
      <c r="AC67" s="32">
        <f t="shared" si="18"/>
        <v>122</v>
      </c>
      <c r="AD67" s="32">
        <f t="shared" si="18"/>
        <v>123</v>
      </c>
      <c r="AE67" s="32">
        <f t="shared" si="18"/>
        <v>124</v>
      </c>
      <c r="AF67" s="32">
        <f t="shared" si="18"/>
        <v>125</v>
      </c>
      <c r="AG67" s="32">
        <f t="shared" si="18"/>
        <v>126</v>
      </c>
      <c r="AH67" s="31"/>
      <c r="AN67" s="31"/>
      <c r="AO67" s="32">
        <f t="shared" ref="AO67:BA82" si="21">AO66+36</f>
        <v>114</v>
      </c>
      <c r="AP67" s="32">
        <f t="shared" si="19"/>
        <v>115</v>
      </c>
      <c r="AQ67" s="32">
        <f t="shared" si="19"/>
        <v>116</v>
      </c>
      <c r="AR67" s="32">
        <f t="shared" si="19"/>
        <v>117</v>
      </c>
      <c r="AS67" s="32">
        <f t="shared" si="19"/>
        <v>118</v>
      </c>
      <c r="AT67" s="32">
        <f t="shared" si="19"/>
        <v>119</v>
      </c>
      <c r="AU67" s="32">
        <f t="shared" si="19"/>
        <v>120</v>
      </c>
      <c r="AV67" s="32">
        <f t="shared" si="19"/>
        <v>121</v>
      </c>
      <c r="AW67" s="32">
        <f t="shared" si="19"/>
        <v>122</v>
      </c>
      <c r="AX67" s="32">
        <f t="shared" si="19"/>
        <v>123</v>
      </c>
      <c r="AY67" s="32">
        <f t="shared" si="19"/>
        <v>124</v>
      </c>
      <c r="AZ67" s="32">
        <f t="shared" si="19"/>
        <v>125</v>
      </c>
      <c r="BA67" s="32">
        <f t="shared" si="19"/>
        <v>126</v>
      </c>
    </row>
    <row r="68" spans="20:53" x14ac:dyDescent="0.25">
      <c r="T68" s="31"/>
      <c r="U68" s="32">
        <f t="shared" si="20"/>
        <v>150</v>
      </c>
      <c r="V68" s="32">
        <f t="shared" si="18"/>
        <v>151</v>
      </c>
      <c r="W68" s="32">
        <f t="shared" si="18"/>
        <v>152</v>
      </c>
      <c r="X68" s="32">
        <f t="shared" si="18"/>
        <v>153</v>
      </c>
      <c r="Y68" s="32">
        <f t="shared" si="18"/>
        <v>154</v>
      </c>
      <c r="Z68" s="32">
        <f t="shared" si="18"/>
        <v>155</v>
      </c>
      <c r="AA68" s="32">
        <f t="shared" si="18"/>
        <v>156</v>
      </c>
      <c r="AB68" s="32">
        <f t="shared" si="18"/>
        <v>157</v>
      </c>
      <c r="AC68" s="32">
        <f t="shared" si="18"/>
        <v>158</v>
      </c>
      <c r="AD68" s="32">
        <f t="shared" si="18"/>
        <v>159</v>
      </c>
      <c r="AE68" s="32">
        <f t="shared" si="18"/>
        <v>160</v>
      </c>
      <c r="AF68" s="32">
        <f t="shared" si="18"/>
        <v>161</v>
      </c>
      <c r="AG68" s="32">
        <f t="shared" si="18"/>
        <v>162</v>
      </c>
      <c r="AH68" s="31"/>
      <c r="AN68" s="31"/>
      <c r="AO68" s="32">
        <f t="shared" si="21"/>
        <v>150</v>
      </c>
      <c r="AP68" s="32">
        <f t="shared" si="19"/>
        <v>151</v>
      </c>
      <c r="AQ68" s="32">
        <f t="shared" si="19"/>
        <v>152</v>
      </c>
      <c r="AR68" s="32">
        <f t="shared" si="19"/>
        <v>153</v>
      </c>
      <c r="AS68" s="32">
        <f t="shared" si="19"/>
        <v>154</v>
      </c>
      <c r="AT68" s="32">
        <f t="shared" si="19"/>
        <v>155</v>
      </c>
      <c r="AU68" s="32">
        <f t="shared" si="19"/>
        <v>156</v>
      </c>
      <c r="AV68" s="32">
        <f t="shared" si="19"/>
        <v>157</v>
      </c>
      <c r="AW68" s="32">
        <f t="shared" si="19"/>
        <v>158</v>
      </c>
      <c r="AX68" s="32">
        <f t="shared" si="19"/>
        <v>159</v>
      </c>
      <c r="AY68" s="32">
        <f t="shared" si="19"/>
        <v>160</v>
      </c>
      <c r="AZ68" s="32">
        <f t="shared" si="19"/>
        <v>161</v>
      </c>
      <c r="BA68" s="32">
        <f t="shared" si="19"/>
        <v>162</v>
      </c>
    </row>
    <row r="69" spans="20:53" x14ac:dyDescent="0.25">
      <c r="T69" s="31"/>
      <c r="U69" s="32">
        <f t="shared" si="20"/>
        <v>186</v>
      </c>
      <c r="V69" s="32">
        <f t="shared" si="18"/>
        <v>187</v>
      </c>
      <c r="W69" s="32">
        <f t="shared" si="18"/>
        <v>188</v>
      </c>
      <c r="X69" s="32">
        <f t="shared" si="18"/>
        <v>189</v>
      </c>
      <c r="Y69" s="32">
        <f t="shared" si="18"/>
        <v>190</v>
      </c>
      <c r="Z69" s="32">
        <f t="shared" si="18"/>
        <v>191</v>
      </c>
      <c r="AA69" s="32">
        <f t="shared" si="18"/>
        <v>192</v>
      </c>
      <c r="AB69" s="32">
        <f t="shared" si="18"/>
        <v>193</v>
      </c>
      <c r="AC69" s="32">
        <f t="shared" si="18"/>
        <v>194</v>
      </c>
      <c r="AD69" s="32">
        <f t="shared" si="18"/>
        <v>195</v>
      </c>
      <c r="AE69" s="32">
        <f t="shared" si="18"/>
        <v>196</v>
      </c>
      <c r="AF69" s="32">
        <f t="shared" si="18"/>
        <v>197</v>
      </c>
      <c r="AG69" s="32">
        <f t="shared" si="18"/>
        <v>198</v>
      </c>
      <c r="AH69" s="31"/>
      <c r="AN69" s="31"/>
      <c r="AO69" s="32">
        <f t="shared" si="21"/>
        <v>186</v>
      </c>
      <c r="AP69" s="32">
        <f t="shared" si="19"/>
        <v>187</v>
      </c>
      <c r="AQ69" s="32">
        <f t="shared" si="19"/>
        <v>188</v>
      </c>
      <c r="AR69" s="32">
        <f t="shared" si="19"/>
        <v>189</v>
      </c>
      <c r="AS69" s="32">
        <f t="shared" si="19"/>
        <v>190</v>
      </c>
      <c r="AT69" s="32">
        <f t="shared" si="19"/>
        <v>191</v>
      </c>
      <c r="AU69" s="32">
        <f t="shared" si="19"/>
        <v>192</v>
      </c>
      <c r="AV69" s="32">
        <f t="shared" si="19"/>
        <v>193</v>
      </c>
      <c r="AW69" s="32">
        <f t="shared" si="19"/>
        <v>194</v>
      </c>
      <c r="AX69" s="32">
        <f t="shared" si="19"/>
        <v>195</v>
      </c>
      <c r="AY69" s="32">
        <f t="shared" si="19"/>
        <v>196</v>
      </c>
      <c r="AZ69" s="32">
        <f t="shared" si="19"/>
        <v>197</v>
      </c>
      <c r="BA69" s="32">
        <f t="shared" si="19"/>
        <v>198</v>
      </c>
    </row>
    <row r="70" spans="20:53" x14ac:dyDescent="0.25">
      <c r="T70" s="31"/>
      <c r="U70" s="32">
        <f t="shared" si="20"/>
        <v>222</v>
      </c>
      <c r="V70" s="32">
        <f t="shared" si="18"/>
        <v>223</v>
      </c>
      <c r="W70" s="32">
        <f t="shared" si="18"/>
        <v>224</v>
      </c>
      <c r="X70" s="32">
        <f t="shared" si="18"/>
        <v>225</v>
      </c>
      <c r="Y70" s="32">
        <f t="shared" si="18"/>
        <v>226</v>
      </c>
      <c r="Z70" s="32">
        <f t="shared" si="18"/>
        <v>227</v>
      </c>
      <c r="AA70" s="32">
        <f t="shared" si="18"/>
        <v>228</v>
      </c>
      <c r="AB70" s="32">
        <f t="shared" si="18"/>
        <v>229</v>
      </c>
      <c r="AC70" s="32">
        <f t="shared" si="18"/>
        <v>230</v>
      </c>
      <c r="AD70" s="32">
        <f t="shared" si="18"/>
        <v>231</v>
      </c>
      <c r="AE70" s="32">
        <f t="shared" si="18"/>
        <v>232</v>
      </c>
      <c r="AF70" s="32">
        <f t="shared" si="18"/>
        <v>233</v>
      </c>
      <c r="AG70" s="32">
        <f t="shared" si="18"/>
        <v>234</v>
      </c>
      <c r="AH70" s="31"/>
      <c r="AN70" s="31"/>
      <c r="AO70" s="32">
        <f t="shared" si="21"/>
        <v>222</v>
      </c>
      <c r="AP70" s="32">
        <f t="shared" si="19"/>
        <v>223</v>
      </c>
      <c r="AQ70" s="32">
        <f t="shared" si="19"/>
        <v>224</v>
      </c>
      <c r="AR70" s="32">
        <f t="shared" si="19"/>
        <v>225</v>
      </c>
      <c r="AS70" s="32">
        <f t="shared" si="19"/>
        <v>226</v>
      </c>
      <c r="AT70" s="32">
        <f t="shared" si="19"/>
        <v>227</v>
      </c>
      <c r="AU70" s="32">
        <f t="shared" si="19"/>
        <v>228</v>
      </c>
      <c r="AV70" s="32">
        <f t="shared" si="19"/>
        <v>229</v>
      </c>
      <c r="AW70" s="32">
        <f t="shared" si="19"/>
        <v>230</v>
      </c>
      <c r="AX70" s="32">
        <f t="shared" si="19"/>
        <v>231</v>
      </c>
      <c r="AY70" s="32">
        <f t="shared" si="19"/>
        <v>232</v>
      </c>
      <c r="AZ70" s="32">
        <f t="shared" si="19"/>
        <v>233</v>
      </c>
      <c r="BA70" s="32">
        <f t="shared" si="19"/>
        <v>234</v>
      </c>
    </row>
    <row r="71" spans="20:53" x14ac:dyDescent="0.25">
      <c r="T71" s="31"/>
      <c r="U71" s="32">
        <f t="shared" si="20"/>
        <v>258</v>
      </c>
      <c r="V71" s="32">
        <f t="shared" si="18"/>
        <v>259</v>
      </c>
      <c r="W71" s="32">
        <f t="shared" si="18"/>
        <v>260</v>
      </c>
      <c r="X71" s="32">
        <f t="shared" si="18"/>
        <v>261</v>
      </c>
      <c r="Y71" s="32">
        <f t="shared" si="18"/>
        <v>262</v>
      </c>
      <c r="Z71" s="32">
        <f t="shared" si="18"/>
        <v>263</v>
      </c>
      <c r="AA71" s="32">
        <f t="shared" si="18"/>
        <v>264</v>
      </c>
      <c r="AB71" s="32">
        <f t="shared" si="18"/>
        <v>265</v>
      </c>
      <c r="AC71" s="32">
        <f t="shared" si="18"/>
        <v>266</v>
      </c>
      <c r="AD71" s="32">
        <f t="shared" si="18"/>
        <v>267</v>
      </c>
      <c r="AE71" s="32">
        <f t="shared" si="18"/>
        <v>268</v>
      </c>
      <c r="AF71" s="32">
        <f t="shared" si="18"/>
        <v>269</v>
      </c>
      <c r="AG71" s="32">
        <f t="shared" si="18"/>
        <v>270</v>
      </c>
      <c r="AH71" s="31"/>
      <c r="AN71" s="31"/>
      <c r="AO71" s="32">
        <f t="shared" si="21"/>
        <v>258</v>
      </c>
      <c r="AP71" s="32">
        <f t="shared" si="19"/>
        <v>259</v>
      </c>
      <c r="AQ71" s="32">
        <f t="shared" si="19"/>
        <v>260</v>
      </c>
      <c r="AR71" s="32">
        <f t="shared" si="19"/>
        <v>261</v>
      </c>
      <c r="AS71" s="32">
        <f t="shared" si="19"/>
        <v>262</v>
      </c>
      <c r="AT71" s="32">
        <f t="shared" si="19"/>
        <v>263</v>
      </c>
      <c r="AU71" s="32">
        <f t="shared" si="19"/>
        <v>264</v>
      </c>
      <c r="AV71" s="32">
        <f t="shared" si="19"/>
        <v>265</v>
      </c>
      <c r="AW71" s="32">
        <f t="shared" si="19"/>
        <v>266</v>
      </c>
      <c r="AX71" s="32">
        <f t="shared" si="19"/>
        <v>267</v>
      </c>
      <c r="AY71" s="32">
        <f t="shared" si="19"/>
        <v>268</v>
      </c>
      <c r="AZ71" s="32">
        <f t="shared" si="19"/>
        <v>269</v>
      </c>
      <c r="BA71" s="32">
        <f t="shared" si="19"/>
        <v>270</v>
      </c>
    </row>
    <row r="72" spans="20:53" x14ac:dyDescent="0.25">
      <c r="T72" s="31"/>
      <c r="U72" s="32">
        <f t="shared" si="20"/>
        <v>294</v>
      </c>
      <c r="V72" s="32">
        <f t="shared" si="18"/>
        <v>295</v>
      </c>
      <c r="W72" s="32">
        <f t="shared" si="18"/>
        <v>296</v>
      </c>
      <c r="X72" s="32">
        <f t="shared" si="18"/>
        <v>297</v>
      </c>
      <c r="Y72" s="32">
        <f t="shared" si="18"/>
        <v>298</v>
      </c>
      <c r="Z72" s="32">
        <f t="shared" si="18"/>
        <v>299</v>
      </c>
      <c r="AA72" s="32">
        <f t="shared" si="18"/>
        <v>300</v>
      </c>
      <c r="AB72" s="32">
        <f t="shared" si="18"/>
        <v>301</v>
      </c>
      <c r="AC72" s="32">
        <f t="shared" si="18"/>
        <v>302</v>
      </c>
      <c r="AD72" s="32">
        <f t="shared" si="18"/>
        <v>303</v>
      </c>
      <c r="AE72" s="32">
        <f t="shared" si="18"/>
        <v>304</v>
      </c>
      <c r="AF72" s="32">
        <f t="shared" si="18"/>
        <v>305</v>
      </c>
      <c r="AG72" s="32">
        <f t="shared" si="18"/>
        <v>306</v>
      </c>
      <c r="AH72" s="31"/>
      <c r="AN72" s="31"/>
      <c r="AO72" s="32">
        <f t="shared" si="21"/>
        <v>294</v>
      </c>
      <c r="AP72" s="32">
        <f t="shared" si="19"/>
        <v>295</v>
      </c>
      <c r="AQ72" s="32">
        <f t="shared" si="19"/>
        <v>296</v>
      </c>
      <c r="AR72" s="32">
        <f t="shared" si="19"/>
        <v>297</v>
      </c>
      <c r="AS72" s="32">
        <f t="shared" si="19"/>
        <v>298</v>
      </c>
      <c r="AT72" s="32">
        <f t="shared" si="19"/>
        <v>299</v>
      </c>
      <c r="AU72" s="32">
        <f t="shared" si="19"/>
        <v>300</v>
      </c>
      <c r="AV72" s="32">
        <f t="shared" si="19"/>
        <v>301</v>
      </c>
      <c r="AW72" s="32">
        <f t="shared" si="19"/>
        <v>302</v>
      </c>
      <c r="AX72" s="32">
        <f t="shared" si="19"/>
        <v>303</v>
      </c>
      <c r="AY72" s="32">
        <f t="shared" si="19"/>
        <v>304</v>
      </c>
      <c r="AZ72" s="32">
        <f t="shared" si="19"/>
        <v>305</v>
      </c>
      <c r="BA72" s="32">
        <f t="shared" si="19"/>
        <v>306</v>
      </c>
    </row>
    <row r="73" spans="20:53" x14ac:dyDescent="0.25">
      <c r="T73" s="31"/>
      <c r="U73" s="32">
        <f t="shared" si="20"/>
        <v>330</v>
      </c>
      <c r="V73" s="32">
        <f t="shared" si="18"/>
        <v>331</v>
      </c>
      <c r="W73" s="32">
        <f t="shared" si="18"/>
        <v>332</v>
      </c>
      <c r="X73" s="32">
        <f t="shared" si="18"/>
        <v>333</v>
      </c>
      <c r="Y73" s="32">
        <f t="shared" si="18"/>
        <v>334</v>
      </c>
      <c r="Z73" s="32">
        <f t="shared" si="18"/>
        <v>335</v>
      </c>
      <c r="AA73" s="32">
        <f t="shared" si="18"/>
        <v>336</v>
      </c>
      <c r="AB73" s="32">
        <f t="shared" si="18"/>
        <v>337</v>
      </c>
      <c r="AC73" s="32">
        <f t="shared" si="18"/>
        <v>338</v>
      </c>
      <c r="AD73" s="32">
        <f t="shared" si="18"/>
        <v>339</v>
      </c>
      <c r="AE73" s="32">
        <f t="shared" si="18"/>
        <v>340</v>
      </c>
      <c r="AF73" s="32">
        <f t="shared" si="18"/>
        <v>341</v>
      </c>
      <c r="AG73" s="32">
        <f t="shared" si="18"/>
        <v>342</v>
      </c>
      <c r="AH73" s="31"/>
      <c r="AN73" s="31"/>
      <c r="AO73" s="32">
        <f t="shared" si="21"/>
        <v>330</v>
      </c>
      <c r="AP73" s="32">
        <f t="shared" si="19"/>
        <v>331</v>
      </c>
      <c r="AQ73" s="32">
        <f t="shared" si="19"/>
        <v>332</v>
      </c>
      <c r="AR73" s="32">
        <f t="shared" si="19"/>
        <v>333</v>
      </c>
      <c r="AS73" s="32">
        <f t="shared" si="19"/>
        <v>334</v>
      </c>
      <c r="AT73" s="32">
        <f t="shared" si="19"/>
        <v>335</v>
      </c>
      <c r="AU73" s="32">
        <f t="shared" si="19"/>
        <v>336</v>
      </c>
      <c r="AV73" s="32">
        <f t="shared" si="19"/>
        <v>337</v>
      </c>
      <c r="AW73" s="32">
        <f t="shared" si="19"/>
        <v>338</v>
      </c>
      <c r="AX73" s="32">
        <f t="shared" si="19"/>
        <v>339</v>
      </c>
      <c r="AY73" s="32">
        <f t="shared" si="19"/>
        <v>340</v>
      </c>
      <c r="AZ73" s="32">
        <f t="shared" si="19"/>
        <v>341</v>
      </c>
      <c r="BA73" s="32">
        <f t="shared" si="19"/>
        <v>342</v>
      </c>
    </row>
    <row r="74" spans="20:53" x14ac:dyDescent="0.25">
      <c r="T74" s="31"/>
      <c r="U74" s="32">
        <f t="shared" si="20"/>
        <v>366</v>
      </c>
      <c r="V74" s="32">
        <f t="shared" si="18"/>
        <v>367</v>
      </c>
      <c r="W74" s="32">
        <f t="shared" si="18"/>
        <v>368</v>
      </c>
      <c r="X74" s="32">
        <f t="shared" si="18"/>
        <v>369</v>
      </c>
      <c r="Y74" s="32">
        <f t="shared" si="18"/>
        <v>370</v>
      </c>
      <c r="Z74" s="32">
        <f t="shared" si="18"/>
        <v>371</v>
      </c>
      <c r="AA74" s="32">
        <f t="shared" si="18"/>
        <v>372</v>
      </c>
      <c r="AB74" s="32">
        <f t="shared" si="18"/>
        <v>373</v>
      </c>
      <c r="AC74" s="32">
        <f t="shared" si="18"/>
        <v>374</v>
      </c>
      <c r="AD74" s="32">
        <f t="shared" si="18"/>
        <v>375</v>
      </c>
      <c r="AE74" s="32">
        <f t="shared" si="18"/>
        <v>376</v>
      </c>
      <c r="AF74" s="32">
        <f t="shared" si="18"/>
        <v>377</v>
      </c>
      <c r="AG74" s="32">
        <f t="shared" si="18"/>
        <v>378</v>
      </c>
      <c r="AH74" s="31"/>
      <c r="AN74" s="31"/>
      <c r="AO74" s="32">
        <f t="shared" si="21"/>
        <v>366</v>
      </c>
      <c r="AP74" s="32">
        <f t="shared" si="19"/>
        <v>367</v>
      </c>
      <c r="AQ74" s="32">
        <f t="shared" si="19"/>
        <v>368</v>
      </c>
      <c r="AR74" s="32">
        <f t="shared" si="19"/>
        <v>369</v>
      </c>
      <c r="AS74" s="32">
        <f t="shared" si="19"/>
        <v>370</v>
      </c>
      <c r="AT74" s="32">
        <f t="shared" si="19"/>
        <v>371</v>
      </c>
      <c r="AU74" s="32">
        <f t="shared" si="19"/>
        <v>372</v>
      </c>
      <c r="AV74" s="32">
        <f t="shared" si="19"/>
        <v>373</v>
      </c>
      <c r="AW74" s="32">
        <f t="shared" si="19"/>
        <v>374</v>
      </c>
      <c r="AX74" s="32">
        <f t="shared" si="19"/>
        <v>375</v>
      </c>
      <c r="AY74" s="32">
        <f t="shared" si="19"/>
        <v>376</v>
      </c>
      <c r="AZ74" s="32">
        <f t="shared" si="19"/>
        <v>377</v>
      </c>
      <c r="BA74" s="32">
        <f t="shared" si="19"/>
        <v>378</v>
      </c>
    </row>
    <row r="75" spans="20:53" x14ac:dyDescent="0.25">
      <c r="T75" s="31"/>
      <c r="U75" s="32">
        <f t="shared" si="20"/>
        <v>402</v>
      </c>
      <c r="V75" s="32">
        <f t="shared" si="18"/>
        <v>403</v>
      </c>
      <c r="W75" s="32">
        <f t="shared" si="18"/>
        <v>404</v>
      </c>
      <c r="X75" s="32">
        <f t="shared" si="18"/>
        <v>405</v>
      </c>
      <c r="Y75" s="32">
        <f t="shared" si="18"/>
        <v>406</v>
      </c>
      <c r="Z75" s="32">
        <f t="shared" si="18"/>
        <v>407</v>
      </c>
      <c r="AA75" s="32">
        <f t="shared" si="18"/>
        <v>408</v>
      </c>
      <c r="AB75" s="32">
        <f t="shared" si="18"/>
        <v>409</v>
      </c>
      <c r="AC75" s="32">
        <f t="shared" si="18"/>
        <v>410</v>
      </c>
      <c r="AD75" s="32">
        <f t="shared" si="18"/>
        <v>411</v>
      </c>
      <c r="AE75" s="32">
        <f t="shared" si="18"/>
        <v>412</v>
      </c>
      <c r="AF75" s="32">
        <f t="shared" si="18"/>
        <v>413</v>
      </c>
      <c r="AG75" s="32">
        <f t="shared" si="18"/>
        <v>414</v>
      </c>
      <c r="AH75" s="31"/>
      <c r="AN75" s="31"/>
      <c r="AO75" s="32">
        <f t="shared" si="21"/>
        <v>402</v>
      </c>
      <c r="AP75" s="32">
        <f t="shared" si="19"/>
        <v>403</v>
      </c>
      <c r="AQ75" s="32">
        <f t="shared" si="19"/>
        <v>404</v>
      </c>
      <c r="AR75" s="32">
        <f t="shared" si="19"/>
        <v>405</v>
      </c>
      <c r="AS75" s="32">
        <f t="shared" si="19"/>
        <v>406</v>
      </c>
      <c r="AT75" s="32">
        <f t="shared" si="19"/>
        <v>407</v>
      </c>
      <c r="AU75" s="32">
        <f t="shared" si="19"/>
        <v>408</v>
      </c>
      <c r="AV75" s="32">
        <f t="shared" si="19"/>
        <v>409</v>
      </c>
      <c r="AW75" s="32">
        <f t="shared" si="19"/>
        <v>410</v>
      </c>
      <c r="AX75" s="32">
        <f t="shared" si="19"/>
        <v>411</v>
      </c>
      <c r="AY75" s="32">
        <f t="shared" si="19"/>
        <v>412</v>
      </c>
      <c r="AZ75" s="32">
        <f t="shared" si="19"/>
        <v>413</v>
      </c>
      <c r="BA75" s="32">
        <f t="shared" si="19"/>
        <v>414</v>
      </c>
    </row>
    <row r="76" spans="20:53" x14ac:dyDescent="0.25">
      <c r="T76" s="31"/>
      <c r="U76" s="32">
        <f t="shared" si="20"/>
        <v>438</v>
      </c>
      <c r="V76" s="32">
        <f t="shared" si="18"/>
        <v>439</v>
      </c>
      <c r="W76" s="32">
        <f t="shared" si="18"/>
        <v>440</v>
      </c>
      <c r="X76" s="32">
        <f t="shared" si="18"/>
        <v>441</v>
      </c>
      <c r="Y76" s="32">
        <f t="shared" si="18"/>
        <v>442</v>
      </c>
      <c r="Z76" s="32">
        <f t="shared" si="18"/>
        <v>443</v>
      </c>
      <c r="AA76" s="32">
        <f t="shared" si="18"/>
        <v>444</v>
      </c>
      <c r="AB76" s="32">
        <f t="shared" si="18"/>
        <v>445</v>
      </c>
      <c r="AC76" s="32">
        <f t="shared" si="18"/>
        <v>446</v>
      </c>
      <c r="AD76" s="32">
        <f t="shared" si="18"/>
        <v>447</v>
      </c>
      <c r="AE76" s="32">
        <f t="shared" si="18"/>
        <v>448</v>
      </c>
      <c r="AF76" s="32">
        <f t="shared" si="18"/>
        <v>449</v>
      </c>
      <c r="AG76" s="32">
        <f t="shared" si="18"/>
        <v>450</v>
      </c>
      <c r="AH76" s="31"/>
      <c r="AN76" s="31"/>
      <c r="AO76" s="32">
        <f t="shared" si="21"/>
        <v>438</v>
      </c>
      <c r="AP76" s="32">
        <f t="shared" si="19"/>
        <v>439</v>
      </c>
      <c r="AQ76" s="32">
        <f t="shared" si="19"/>
        <v>440</v>
      </c>
      <c r="AR76" s="32">
        <f t="shared" si="19"/>
        <v>441</v>
      </c>
      <c r="AS76" s="32">
        <f t="shared" si="19"/>
        <v>442</v>
      </c>
      <c r="AT76" s="32">
        <f t="shared" si="19"/>
        <v>443</v>
      </c>
      <c r="AU76" s="32">
        <f t="shared" si="19"/>
        <v>444</v>
      </c>
      <c r="AV76" s="32">
        <f t="shared" si="19"/>
        <v>445</v>
      </c>
      <c r="AW76" s="32">
        <f t="shared" si="19"/>
        <v>446</v>
      </c>
      <c r="AX76" s="32">
        <f t="shared" si="19"/>
        <v>447</v>
      </c>
      <c r="AY76" s="32">
        <f t="shared" si="19"/>
        <v>448</v>
      </c>
      <c r="AZ76" s="32">
        <f t="shared" si="19"/>
        <v>449</v>
      </c>
      <c r="BA76" s="32">
        <f t="shared" si="19"/>
        <v>450</v>
      </c>
    </row>
    <row r="77" spans="20:53" x14ac:dyDescent="0.25">
      <c r="T77" s="31"/>
      <c r="U77" s="32">
        <f t="shared" si="20"/>
        <v>474</v>
      </c>
      <c r="V77" s="32">
        <f t="shared" si="18"/>
        <v>475</v>
      </c>
      <c r="W77" s="32">
        <f t="shared" si="18"/>
        <v>476</v>
      </c>
      <c r="X77" s="32">
        <f t="shared" si="18"/>
        <v>477</v>
      </c>
      <c r="Y77" s="32">
        <f t="shared" si="18"/>
        <v>478</v>
      </c>
      <c r="Z77" s="32">
        <f t="shared" si="18"/>
        <v>479</v>
      </c>
      <c r="AA77" s="32">
        <f t="shared" si="18"/>
        <v>480</v>
      </c>
      <c r="AB77" s="32">
        <f t="shared" si="18"/>
        <v>481</v>
      </c>
      <c r="AC77" s="32">
        <f t="shared" si="18"/>
        <v>482</v>
      </c>
      <c r="AD77" s="32">
        <f t="shared" si="18"/>
        <v>483</v>
      </c>
      <c r="AE77" s="32">
        <f t="shared" si="18"/>
        <v>484</v>
      </c>
      <c r="AF77" s="32">
        <f t="shared" si="18"/>
        <v>485</v>
      </c>
      <c r="AG77" s="32">
        <f t="shared" si="18"/>
        <v>486</v>
      </c>
      <c r="AH77" s="31"/>
      <c r="AN77" s="31"/>
      <c r="AO77" s="32">
        <f t="shared" si="21"/>
        <v>474</v>
      </c>
      <c r="AP77" s="32">
        <f t="shared" si="19"/>
        <v>475</v>
      </c>
      <c r="AQ77" s="32">
        <f t="shared" si="19"/>
        <v>476</v>
      </c>
      <c r="AR77" s="32">
        <f t="shared" si="19"/>
        <v>477</v>
      </c>
      <c r="AS77" s="32">
        <f t="shared" si="19"/>
        <v>478</v>
      </c>
      <c r="AT77" s="32">
        <f t="shared" si="19"/>
        <v>479</v>
      </c>
      <c r="AU77" s="32">
        <f t="shared" si="19"/>
        <v>480</v>
      </c>
      <c r="AV77" s="32">
        <f t="shared" si="19"/>
        <v>481</v>
      </c>
      <c r="AW77" s="32">
        <f t="shared" si="19"/>
        <v>482</v>
      </c>
      <c r="AX77" s="32">
        <f t="shared" si="19"/>
        <v>483</v>
      </c>
      <c r="AY77" s="32">
        <f t="shared" si="19"/>
        <v>484</v>
      </c>
      <c r="AZ77" s="32">
        <f t="shared" si="19"/>
        <v>485</v>
      </c>
      <c r="BA77" s="32">
        <f t="shared" si="19"/>
        <v>486</v>
      </c>
    </row>
    <row r="78" spans="20:53" x14ac:dyDescent="0.25">
      <c r="T78" s="31"/>
      <c r="U78" s="32">
        <f t="shared" si="20"/>
        <v>510</v>
      </c>
      <c r="V78" s="32">
        <f t="shared" si="18"/>
        <v>511</v>
      </c>
      <c r="W78" s="32">
        <f t="shared" si="18"/>
        <v>512</v>
      </c>
      <c r="X78" s="32">
        <f t="shared" si="18"/>
        <v>513</v>
      </c>
      <c r="Y78" s="32">
        <f t="shared" si="18"/>
        <v>514</v>
      </c>
      <c r="Z78" s="32">
        <f t="shared" si="18"/>
        <v>515</v>
      </c>
      <c r="AA78" s="32">
        <f t="shared" si="18"/>
        <v>516</v>
      </c>
      <c r="AB78" s="32">
        <f t="shared" si="18"/>
        <v>517</v>
      </c>
      <c r="AC78" s="32">
        <f t="shared" si="18"/>
        <v>518</v>
      </c>
      <c r="AD78" s="32">
        <f t="shared" si="18"/>
        <v>519</v>
      </c>
      <c r="AE78" s="32">
        <f t="shared" si="18"/>
        <v>520</v>
      </c>
      <c r="AF78" s="32">
        <f t="shared" si="18"/>
        <v>521</v>
      </c>
      <c r="AG78" s="32">
        <f t="shared" si="18"/>
        <v>522</v>
      </c>
      <c r="AH78" s="31"/>
      <c r="AN78" s="31"/>
      <c r="AO78" s="32">
        <f t="shared" si="21"/>
        <v>510</v>
      </c>
      <c r="AP78" s="32">
        <f t="shared" si="19"/>
        <v>511</v>
      </c>
      <c r="AQ78" s="32">
        <f t="shared" si="19"/>
        <v>512</v>
      </c>
      <c r="AR78" s="32">
        <f t="shared" si="19"/>
        <v>513</v>
      </c>
      <c r="AS78" s="32">
        <f t="shared" si="19"/>
        <v>514</v>
      </c>
      <c r="AT78" s="32">
        <f t="shared" si="19"/>
        <v>515</v>
      </c>
      <c r="AU78" s="32">
        <f t="shared" si="19"/>
        <v>516</v>
      </c>
      <c r="AV78" s="32">
        <f t="shared" si="19"/>
        <v>517</v>
      </c>
      <c r="AW78" s="32">
        <f t="shared" si="19"/>
        <v>518</v>
      </c>
      <c r="AX78" s="32">
        <f t="shared" si="19"/>
        <v>519</v>
      </c>
      <c r="AY78" s="32">
        <f t="shared" si="19"/>
        <v>520</v>
      </c>
      <c r="AZ78" s="32">
        <f t="shared" si="19"/>
        <v>521</v>
      </c>
      <c r="BA78" s="32">
        <f t="shared" si="19"/>
        <v>522</v>
      </c>
    </row>
    <row r="79" spans="20:53" x14ac:dyDescent="0.25">
      <c r="T79" s="31"/>
      <c r="U79" s="32">
        <f t="shared" si="20"/>
        <v>546</v>
      </c>
      <c r="V79" s="32">
        <f t="shared" si="18"/>
        <v>547</v>
      </c>
      <c r="W79" s="32">
        <f t="shared" si="18"/>
        <v>548</v>
      </c>
      <c r="X79" s="32">
        <f t="shared" si="18"/>
        <v>549</v>
      </c>
      <c r="Y79" s="32">
        <f t="shared" si="18"/>
        <v>550</v>
      </c>
      <c r="Z79" s="32">
        <f t="shared" si="18"/>
        <v>551</v>
      </c>
      <c r="AA79" s="32">
        <f t="shared" si="18"/>
        <v>552</v>
      </c>
      <c r="AB79" s="32">
        <f t="shared" si="18"/>
        <v>553</v>
      </c>
      <c r="AC79" s="32">
        <f t="shared" si="18"/>
        <v>554</v>
      </c>
      <c r="AD79" s="32">
        <f t="shared" si="18"/>
        <v>555</v>
      </c>
      <c r="AE79" s="32">
        <f t="shared" si="18"/>
        <v>556</v>
      </c>
      <c r="AF79" s="32">
        <f t="shared" si="18"/>
        <v>557</v>
      </c>
      <c r="AG79" s="32">
        <f t="shared" si="18"/>
        <v>558</v>
      </c>
      <c r="AH79" s="31"/>
      <c r="AN79" s="31"/>
      <c r="AO79" s="32">
        <f t="shared" si="21"/>
        <v>546</v>
      </c>
      <c r="AP79" s="32">
        <f t="shared" si="19"/>
        <v>547</v>
      </c>
      <c r="AQ79" s="32">
        <f t="shared" si="19"/>
        <v>548</v>
      </c>
      <c r="AR79" s="32">
        <f t="shared" si="19"/>
        <v>549</v>
      </c>
      <c r="AS79" s="32">
        <f t="shared" si="19"/>
        <v>550</v>
      </c>
      <c r="AT79" s="32">
        <f t="shared" si="19"/>
        <v>551</v>
      </c>
      <c r="AU79" s="32">
        <f t="shared" si="19"/>
        <v>552</v>
      </c>
      <c r="AV79" s="32">
        <f t="shared" si="19"/>
        <v>553</v>
      </c>
      <c r="AW79" s="32">
        <f t="shared" si="19"/>
        <v>554</v>
      </c>
      <c r="AX79" s="32">
        <f t="shared" si="19"/>
        <v>555</v>
      </c>
      <c r="AY79" s="32">
        <f t="shared" si="19"/>
        <v>556</v>
      </c>
      <c r="AZ79" s="32">
        <f t="shared" si="19"/>
        <v>557</v>
      </c>
      <c r="BA79" s="32">
        <f t="shared" si="19"/>
        <v>558</v>
      </c>
    </row>
    <row r="80" spans="20:53" x14ac:dyDescent="0.25">
      <c r="T80" s="31"/>
      <c r="U80" s="32">
        <f t="shared" si="20"/>
        <v>582</v>
      </c>
      <c r="V80" s="32">
        <f t="shared" si="18"/>
        <v>583</v>
      </c>
      <c r="W80" s="32">
        <f t="shared" si="18"/>
        <v>584</v>
      </c>
      <c r="X80" s="32">
        <f t="shared" si="18"/>
        <v>585</v>
      </c>
      <c r="Y80" s="32">
        <f t="shared" si="18"/>
        <v>586</v>
      </c>
      <c r="Z80" s="32">
        <f t="shared" si="18"/>
        <v>587</v>
      </c>
      <c r="AA80" s="32">
        <f t="shared" si="18"/>
        <v>588</v>
      </c>
      <c r="AB80" s="32">
        <f t="shared" si="18"/>
        <v>589</v>
      </c>
      <c r="AC80" s="32">
        <f t="shared" si="18"/>
        <v>590</v>
      </c>
      <c r="AD80" s="32">
        <f t="shared" si="18"/>
        <v>591</v>
      </c>
      <c r="AE80" s="32">
        <f t="shared" si="18"/>
        <v>592</v>
      </c>
      <c r="AF80" s="32">
        <f t="shared" si="18"/>
        <v>593</v>
      </c>
      <c r="AG80" s="32">
        <f t="shared" si="18"/>
        <v>594</v>
      </c>
      <c r="AH80" s="31"/>
      <c r="AN80" s="31"/>
      <c r="AO80" s="32">
        <f t="shared" si="21"/>
        <v>582</v>
      </c>
      <c r="AP80" s="32">
        <f t="shared" si="19"/>
        <v>583</v>
      </c>
      <c r="AQ80" s="32">
        <f t="shared" si="19"/>
        <v>584</v>
      </c>
      <c r="AR80" s="32">
        <f t="shared" si="19"/>
        <v>585</v>
      </c>
      <c r="AS80" s="32">
        <f t="shared" si="19"/>
        <v>586</v>
      </c>
      <c r="AT80" s="32">
        <f t="shared" si="19"/>
        <v>587</v>
      </c>
      <c r="AU80" s="32">
        <f t="shared" si="19"/>
        <v>588</v>
      </c>
      <c r="AV80" s="32">
        <f t="shared" si="19"/>
        <v>589</v>
      </c>
      <c r="AW80" s="32">
        <f t="shared" si="19"/>
        <v>590</v>
      </c>
      <c r="AX80" s="32">
        <f t="shared" si="19"/>
        <v>591</v>
      </c>
      <c r="AY80" s="32">
        <f t="shared" si="19"/>
        <v>592</v>
      </c>
      <c r="AZ80" s="32">
        <f t="shared" si="19"/>
        <v>593</v>
      </c>
      <c r="BA80" s="32">
        <f t="shared" si="19"/>
        <v>594</v>
      </c>
    </row>
    <row r="81" spans="20:53" x14ac:dyDescent="0.25">
      <c r="T81" s="31"/>
      <c r="U81" s="32">
        <f t="shared" si="20"/>
        <v>618</v>
      </c>
      <c r="V81" s="32">
        <f t="shared" si="18"/>
        <v>619</v>
      </c>
      <c r="W81" s="32">
        <f t="shared" si="18"/>
        <v>620</v>
      </c>
      <c r="X81" s="32">
        <f t="shared" si="18"/>
        <v>621</v>
      </c>
      <c r="Y81" s="32">
        <f t="shared" si="18"/>
        <v>622</v>
      </c>
      <c r="Z81" s="32">
        <f t="shared" si="18"/>
        <v>623</v>
      </c>
      <c r="AA81" s="32">
        <f t="shared" si="18"/>
        <v>624</v>
      </c>
      <c r="AB81" s="32">
        <f t="shared" si="18"/>
        <v>625</v>
      </c>
      <c r="AC81" s="32">
        <f t="shared" si="18"/>
        <v>626</v>
      </c>
      <c r="AD81" s="32">
        <f t="shared" si="18"/>
        <v>627</v>
      </c>
      <c r="AE81" s="32">
        <f t="shared" si="18"/>
        <v>628</v>
      </c>
      <c r="AF81" s="32">
        <f t="shared" si="18"/>
        <v>629</v>
      </c>
      <c r="AG81" s="32">
        <f t="shared" si="18"/>
        <v>630</v>
      </c>
      <c r="AH81" s="31"/>
      <c r="AN81" s="31"/>
      <c r="AO81" s="32">
        <f t="shared" si="21"/>
        <v>618</v>
      </c>
      <c r="AP81" s="32">
        <f t="shared" si="19"/>
        <v>619</v>
      </c>
      <c r="AQ81" s="32">
        <f t="shared" si="19"/>
        <v>620</v>
      </c>
      <c r="AR81" s="32">
        <f t="shared" si="19"/>
        <v>621</v>
      </c>
      <c r="AS81" s="32">
        <f t="shared" si="19"/>
        <v>622</v>
      </c>
      <c r="AT81" s="32">
        <f t="shared" si="19"/>
        <v>623</v>
      </c>
      <c r="AU81" s="32">
        <f t="shared" si="19"/>
        <v>624</v>
      </c>
      <c r="AV81" s="32">
        <f t="shared" si="19"/>
        <v>625</v>
      </c>
      <c r="AW81" s="32">
        <f t="shared" si="19"/>
        <v>626</v>
      </c>
      <c r="AX81" s="32">
        <f t="shared" si="19"/>
        <v>627</v>
      </c>
      <c r="AY81" s="32">
        <f t="shared" si="19"/>
        <v>628</v>
      </c>
      <c r="AZ81" s="32">
        <f t="shared" si="19"/>
        <v>629</v>
      </c>
      <c r="BA81" s="32">
        <f t="shared" si="19"/>
        <v>630</v>
      </c>
    </row>
    <row r="82" spans="20:53" x14ac:dyDescent="0.25">
      <c r="T82" s="31"/>
      <c r="U82" s="32">
        <f t="shared" si="20"/>
        <v>654</v>
      </c>
      <c r="V82" s="32">
        <f t="shared" si="20"/>
        <v>655</v>
      </c>
      <c r="W82" s="32">
        <f t="shared" si="20"/>
        <v>656</v>
      </c>
      <c r="X82" s="32">
        <f t="shared" si="20"/>
        <v>657</v>
      </c>
      <c r="Y82" s="32">
        <f t="shared" si="20"/>
        <v>658</v>
      </c>
      <c r="Z82" s="32">
        <f t="shared" si="20"/>
        <v>659</v>
      </c>
      <c r="AA82" s="32">
        <f t="shared" si="20"/>
        <v>660</v>
      </c>
      <c r="AB82" s="32">
        <f t="shared" si="20"/>
        <v>661</v>
      </c>
      <c r="AC82" s="32">
        <f t="shared" si="20"/>
        <v>662</v>
      </c>
      <c r="AD82" s="32">
        <f t="shared" si="20"/>
        <v>663</v>
      </c>
      <c r="AE82" s="32">
        <f t="shared" si="20"/>
        <v>664</v>
      </c>
      <c r="AF82" s="32">
        <f t="shared" si="20"/>
        <v>665</v>
      </c>
      <c r="AG82" s="32">
        <f t="shared" si="20"/>
        <v>666</v>
      </c>
      <c r="AH82" s="31"/>
      <c r="AN82" s="31"/>
      <c r="AO82" s="32">
        <f t="shared" si="21"/>
        <v>654</v>
      </c>
      <c r="AP82" s="32">
        <f t="shared" si="21"/>
        <v>655</v>
      </c>
      <c r="AQ82" s="32">
        <f t="shared" si="21"/>
        <v>656</v>
      </c>
      <c r="AR82" s="32">
        <f t="shared" si="21"/>
        <v>657</v>
      </c>
      <c r="AS82" s="32">
        <f t="shared" si="21"/>
        <v>658</v>
      </c>
      <c r="AT82" s="32">
        <f t="shared" si="21"/>
        <v>659</v>
      </c>
      <c r="AU82" s="32">
        <f t="shared" si="21"/>
        <v>660</v>
      </c>
      <c r="AV82" s="32">
        <f t="shared" si="21"/>
        <v>661</v>
      </c>
      <c r="AW82" s="32">
        <f t="shared" si="21"/>
        <v>662</v>
      </c>
      <c r="AX82" s="32">
        <f t="shared" si="21"/>
        <v>663</v>
      </c>
      <c r="AY82" s="32">
        <f t="shared" si="21"/>
        <v>664</v>
      </c>
      <c r="AZ82" s="32">
        <f t="shared" si="21"/>
        <v>665</v>
      </c>
      <c r="BA82" s="32">
        <f t="shared" si="21"/>
        <v>666</v>
      </c>
    </row>
    <row r="83" spans="20:53" x14ac:dyDescent="0.25">
      <c r="T83" s="31"/>
      <c r="U83" s="32">
        <f t="shared" ref="U83:AG94" si="22">U82+36</f>
        <v>690</v>
      </c>
      <c r="V83" s="32">
        <f t="shared" si="22"/>
        <v>691</v>
      </c>
      <c r="W83" s="32">
        <f t="shared" si="22"/>
        <v>692</v>
      </c>
      <c r="X83" s="32">
        <f t="shared" si="22"/>
        <v>693</v>
      </c>
      <c r="Y83" s="32">
        <f t="shared" si="22"/>
        <v>694</v>
      </c>
      <c r="Z83" s="32">
        <f t="shared" si="22"/>
        <v>695</v>
      </c>
      <c r="AA83" s="32">
        <f t="shared" si="22"/>
        <v>696</v>
      </c>
      <c r="AB83" s="32">
        <f t="shared" si="22"/>
        <v>697</v>
      </c>
      <c r="AC83" s="32">
        <f t="shared" si="22"/>
        <v>698</v>
      </c>
      <c r="AD83" s="32">
        <f t="shared" si="22"/>
        <v>699</v>
      </c>
      <c r="AE83" s="32">
        <f t="shared" si="22"/>
        <v>700</v>
      </c>
      <c r="AF83" s="32">
        <f t="shared" si="22"/>
        <v>701</v>
      </c>
      <c r="AG83" s="32">
        <f t="shared" si="22"/>
        <v>702</v>
      </c>
      <c r="AH83" s="31"/>
      <c r="AN83" s="31"/>
      <c r="AO83" s="32">
        <f t="shared" ref="AO83:BA94" si="23">AO82+36</f>
        <v>690</v>
      </c>
      <c r="AP83" s="32">
        <f t="shared" si="23"/>
        <v>691</v>
      </c>
      <c r="AQ83" s="32">
        <f t="shared" si="23"/>
        <v>692</v>
      </c>
      <c r="AR83" s="32">
        <f t="shared" si="23"/>
        <v>693</v>
      </c>
      <c r="AS83" s="32">
        <f t="shared" si="23"/>
        <v>694</v>
      </c>
      <c r="AT83" s="32">
        <f t="shared" si="23"/>
        <v>695</v>
      </c>
      <c r="AU83" s="32">
        <f t="shared" si="23"/>
        <v>696</v>
      </c>
      <c r="AV83" s="32">
        <f t="shared" si="23"/>
        <v>697</v>
      </c>
      <c r="AW83" s="32">
        <f t="shared" si="23"/>
        <v>698</v>
      </c>
      <c r="AX83" s="32">
        <f t="shared" si="23"/>
        <v>699</v>
      </c>
      <c r="AY83" s="32">
        <f t="shared" si="23"/>
        <v>700</v>
      </c>
      <c r="AZ83" s="32">
        <f t="shared" si="23"/>
        <v>701</v>
      </c>
      <c r="BA83" s="32">
        <f t="shared" si="23"/>
        <v>702</v>
      </c>
    </row>
    <row r="84" spans="20:53" x14ac:dyDescent="0.25">
      <c r="T84" s="31"/>
      <c r="U84" s="32">
        <f t="shared" si="22"/>
        <v>726</v>
      </c>
      <c r="V84" s="32">
        <f t="shared" si="22"/>
        <v>727</v>
      </c>
      <c r="W84" s="32">
        <f t="shared" si="22"/>
        <v>728</v>
      </c>
      <c r="X84" s="32">
        <f t="shared" si="22"/>
        <v>729</v>
      </c>
      <c r="Y84" s="32">
        <f t="shared" si="22"/>
        <v>730</v>
      </c>
      <c r="Z84" s="32">
        <f t="shared" si="22"/>
        <v>731</v>
      </c>
      <c r="AA84" s="32">
        <f t="shared" si="22"/>
        <v>732</v>
      </c>
      <c r="AB84" s="32">
        <f t="shared" si="22"/>
        <v>733</v>
      </c>
      <c r="AC84" s="32">
        <f t="shared" si="22"/>
        <v>734</v>
      </c>
      <c r="AD84" s="32">
        <f t="shared" si="22"/>
        <v>735</v>
      </c>
      <c r="AE84" s="32">
        <f t="shared" si="22"/>
        <v>736</v>
      </c>
      <c r="AF84" s="32">
        <f t="shared" si="22"/>
        <v>737</v>
      </c>
      <c r="AG84" s="32">
        <f t="shared" si="22"/>
        <v>738</v>
      </c>
      <c r="AH84" s="31"/>
      <c r="AN84" s="31"/>
      <c r="AO84" s="32">
        <f t="shared" si="23"/>
        <v>726</v>
      </c>
      <c r="AP84" s="32">
        <f t="shared" si="23"/>
        <v>727</v>
      </c>
      <c r="AQ84" s="32">
        <f t="shared" si="23"/>
        <v>728</v>
      </c>
      <c r="AR84" s="32">
        <f t="shared" si="23"/>
        <v>729</v>
      </c>
      <c r="AS84" s="32">
        <f t="shared" si="23"/>
        <v>730</v>
      </c>
      <c r="AT84" s="32">
        <f t="shared" si="23"/>
        <v>731</v>
      </c>
      <c r="AU84" s="32">
        <f t="shared" si="23"/>
        <v>732</v>
      </c>
      <c r="AV84" s="32">
        <f t="shared" si="23"/>
        <v>733</v>
      </c>
      <c r="AW84" s="32">
        <f t="shared" si="23"/>
        <v>734</v>
      </c>
      <c r="AX84" s="32">
        <f t="shared" si="23"/>
        <v>735</v>
      </c>
      <c r="AY84" s="32">
        <f t="shared" si="23"/>
        <v>736</v>
      </c>
      <c r="AZ84" s="32">
        <f t="shared" si="23"/>
        <v>737</v>
      </c>
      <c r="BA84" s="32">
        <f t="shared" si="23"/>
        <v>738</v>
      </c>
    </row>
    <row r="85" spans="20:53" x14ac:dyDescent="0.25">
      <c r="T85" s="31"/>
      <c r="U85" s="32">
        <f t="shared" si="22"/>
        <v>762</v>
      </c>
      <c r="V85" s="32">
        <f t="shared" si="22"/>
        <v>763</v>
      </c>
      <c r="W85" s="32">
        <f t="shared" si="22"/>
        <v>764</v>
      </c>
      <c r="X85" s="32">
        <f t="shared" si="22"/>
        <v>765</v>
      </c>
      <c r="Y85" s="32">
        <f t="shared" si="22"/>
        <v>766</v>
      </c>
      <c r="Z85" s="32">
        <f t="shared" si="22"/>
        <v>767</v>
      </c>
      <c r="AA85" s="32">
        <f t="shared" si="22"/>
        <v>768</v>
      </c>
      <c r="AB85" s="32">
        <f t="shared" si="22"/>
        <v>769</v>
      </c>
      <c r="AC85" s="32">
        <f t="shared" si="22"/>
        <v>770</v>
      </c>
      <c r="AD85" s="32">
        <f t="shared" si="22"/>
        <v>771</v>
      </c>
      <c r="AE85" s="32">
        <f t="shared" si="22"/>
        <v>772</v>
      </c>
      <c r="AF85" s="32">
        <f t="shared" si="22"/>
        <v>773</v>
      </c>
      <c r="AG85" s="32">
        <f t="shared" si="22"/>
        <v>774</v>
      </c>
      <c r="AH85" s="31"/>
      <c r="AN85" s="31"/>
      <c r="AO85" s="32">
        <f t="shared" si="23"/>
        <v>762</v>
      </c>
      <c r="AP85" s="32">
        <f t="shared" si="23"/>
        <v>763</v>
      </c>
      <c r="AQ85" s="32">
        <f t="shared" si="23"/>
        <v>764</v>
      </c>
      <c r="AR85" s="32">
        <f t="shared" si="23"/>
        <v>765</v>
      </c>
      <c r="AS85" s="32">
        <f t="shared" si="23"/>
        <v>766</v>
      </c>
      <c r="AT85" s="32">
        <f t="shared" si="23"/>
        <v>767</v>
      </c>
      <c r="AU85" s="32">
        <f t="shared" si="23"/>
        <v>768</v>
      </c>
      <c r="AV85" s="32">
        <f t="shared" si="23"/>
        <v>769</v>
      </c>
      <c r="AW85" s="32">
        <f t="shared" si="23"/>
        <v>770</v>
      </c>
      <c r="AX85" s="32">
        <f t="shared" si="23"/>
        <v>771</v>
      </c>
      <c r="AY85" s="32">
        <f t="shared" si="23"/>
        <v>772</v>
      </c>
      <c r="AZ85" s="32">
        <f t="shared" si="23"/>
        <v>773</v>
      </c>
      <c r="BA85" s="32">
        <f t="shared" si="23"/>
        <v>774</v>
      </c>
    </row>
    <row r="86" spans="20:53" x14ac:dyDescent="0.25">
      <c r="T86" s="31"/>
      <c r="U86" s="32">
        <f t="shared" si="22"/>
        <v>798</v>
      </c>
      <c r="V86" s="32">
        <f t="shared" si="22"/>
        <v>799</v>
      </c>
      <c r="W86" s="32">
        <f t="shared" si="22"/>
        <v>800</v>
      </c>
      <c r="X86" s="32">
        <f t="shared" si="22"/>
        <v>801</v>
      </c>
      <c r="Y86" s="32">
        <f t="shared" si="22"/>
        <v>802</v>
      </c>
      <c r="Z86" s="32">
        <f t="shared" si="22"/>
        <v>803</v>
      </c>
      <c r="AA86" s="32">
        <f t="shared" si="22"/>
        <v>804</v>
      </c>
      <c r="AB86" s="32">
        <f t="shared" si="22"/>
        <v>805</v>
      </c>
      <c r="AC86" s="32">
        <f t="shared" si="22"/>
        <v>806</v>
      </c>
      <c r="AD86" s="32">
        <f t="shared" si="22"/>
        <v>807</v>
      </c>
      <c r="AE86" s="32">
        <f t="shared" si="22"/>
        <v>808</v>
      </c>
      <c r="AF86" s="32">
        <f t="shared" si="22"/>
        <v>809</v>
      </c>
      <c r="AG86" s="32">
        <f t="shared" si="22"/>
        <v>810</v>
      </c>
      <c r="AH86" s="31"/>
      <c r="AN86" s="31"/>
      <c r="AO86" s="32">
        <f t="shared" si="23"/>
        <v>798</v>
      </c>
      <c r="AP86" s="32">
        <f t="shared" si="23"/>
        <v>799</v>
      </c>
      <c r="AQ86" s="32">
        <f t="shared" si="23"/>
        <v>800</v>
      </c>
      <c r="AR86" s="32">
        <f t="shared" si="23"/>
        <v>801</v>
      </c>
      <c r="AS86" s="32">
        <f t="shared" si="23"/>
        <v>802</v>
      </c>
      <c r="AT86" s="32">
        <f t="shared" si="23"/>
        <v>803</v>
      </c>
      <c r="AU86" s="32">
        <f t="shared" si="23"/>
        <v>804</v>
      </c>
      <c r="AV86" s="32">
        <f t="shared" si="23"/>
        <v>805</v>
      </c>
      <c r="AW86" s="32">
        <f t="shared" si="23"/>
        <v>806</v>
      </c>
      <c r="AX86" s="32">
        <f t="shared" si="23"/>
        <v>807</v>
      </c>
      <c r="AY86" s="32">
        <f t="shared" si="23"/>
        <v>808</v>
      </c>
      <c r="AZ86" s="32">
        <f t="shared" si="23"/>
        <v>809</v>
      </c>
      <c r="BA86" s="32">
        <f t="shared" si="23"/>
        <v>810</v>
      </c>
    </row>
    <row r="87" spans="20:53" x14ac:dyDescent="0.25">
      <c r="T87" s="31"/>
      <c r="U87" s="32">
        <f t="shared" si="22"/>
        <v>834</v>
      </c>
      <c r="V87" s="32">
        <f t="shared" si="22"/>
        <v>835</v>
      </c>
      <c r="W87" s="32">
        <f t="shared" si="22"/>
        <v>836</v>
      </c>
      <c r="X87" s="32">
        <f t="shared" si="22"/>
        <v>837</v>
      </c>
      <c r="Y87" s="32">
        <f t="shared" si="22"/>
        <v>838</v>
      </c>
      <c r="Z87" s="32">
        <f t="shared" si="22"/>
        <v>839</v>
      </c>
      <c r="AA87" s="32">
        <f t="shared" si="22"/>
        <v>840</v>
      </c>
      <c r="AB87" s="32">
        <f t="shared" si="22"/>
        <v>841</v>
      </c>
      <c r="AC87" s="32">
        <f t="shared" si="22"/>
        <v>842</v>
      </c>
      <c r="AD87" s="32">
        <f t="shared" si="22"/>
        <v>843</v>
      </c>
      <c r="AE87" s="32">
        <f t="shared" si="22"/>
        <v>844</v>
      </c>
      <c r="AF87" s="32">
        <f t="shared" si="22"/>
        <v>845</v>
      </c>
      <c r="AG87" s="32">
        <f t="shared" si="22"/>
        <v>846</v>
      </c>
      <c r="AH87" s="31"/>
      <c r="AN87" s="31"/>
      <c r="AO87" s="32">
        <f t="shared" si="23"/>
        <v>834</v>
      </c>
      <c r="AP87" s="32">
        <f t="shared" si="23"/>
        <v>835</v>
      </c>
      <c r="AQ87" s="32">
        <f t="shared" si="23"/>
        <v>836</v>
      </c>
      <c r="AR87" s="32">
        <f t="shared" si="23"/>
        <v>837</v>
      </c>
      <c r="AS87" s="32">
        <f t="shared" si="23"/>
        <v>838</v>
      </c>
      <c r="AT87" s="32">
        <f t="shared" si="23"/>
        <v>839</v>
      </c>
      <c r="AU87" s="32">
        <f t="shared" si="23"/>
        <v>840</v>
      </c>
      <c r="AV87" s="32">
        <f t="shared" si="23"/>
        <v>841</v>
      </c>
      <c r="AW87" s="32">
        <f t="shared" si="23"/>
        <v>842</v>
      </c>
      <c r="AX87" s="32">
        <f t="shared" si="23"/>
        <v>843</v>
      </c>
      <c r="AY87" s="32">
        <f t="shared" si="23"/>
        <v>844</v>
      </c>
      <c r="AZ87" s="32">
        <f t="shared" si="23"/>
        <v>845</v>
      </c>
      <c r="BA87" s="32">
        <f t="shared" si="23"/>
        <v>846</v>
      </c>
    </row>
    <row r="88" spans="20:53" x14ac:dyDescent="0.25">
      <c r="T88" s="31"/>
      <c r="U88" s="32">
        <f t="shared" si="22"/>
        <v>870</v>
      </c>
      <c r="V88" s="32">
        <f t="shared" si="22"/>
        <v>871</v>
      </c>
      <c r="W88" s="32">
        <f t="shared" si="22"/>
        <v>872</v>
      </c>
      <c r="X88" s="32">
        <f t="shared" si="22"/>
        <v>873</v>
      </c>
      <c r="Y88" s="32">
        <f t="shared" si="22"/>
        <v>874</v>
      </c>
      <c r="Z88" s="32">
        <f t="shared" si="22"/>
        <v>875</v>
      </c>
      <c r="AA88" s="32">
        <f t="shared" si="22"/>
        <v>876</v>
      </c>
      <c r="AB88" s="32">
        <f t="shared" si="22"/>
        <v>877</v>
      </c>
      <c r="AC88" s="32">
        <f t="shared" si="22"/>
        <v>878</v>
      </c>
      <c r="AD88" s="32">
        <f t="shared" si="22"/>
        <v>879</v>
      </c>
      <c r="AE88" s="32">
        <f t="shared" si="22"/>
        <v>880</v>
      </c>
      <c r="AF88" s="32">
        <f t="shared" si="22"/>
        <v>881</v>
      </c>
      <c r="AG88" s="32">
        <f t="shared" si="22"/>
        <v>882</v>
      </c>
      <c r="AH88" s="31"/>
      <c r="AN88" s="31"/>
      <c r="AO88" s="32">
        <f t="shared" si="23"/>
        <v>870</v>
      </c>
      <c r="AP88" s="32">
        <f t="shared" si="23"/>
        <v>871</v>
      </c>
      <c r="AQ88" s="32">
        <f t="shared" si="23"/>
        <v>872</v>
      </c>
      <c r="AR88" s="32">
        <f t="shared" si="23"/>
        <v>873</v>
      </c>
      <c r="AS88" s="32">
        <f t="shared" si="23"/>
        <v>874</v>
      </c>
      <c r="AT88" s="32">
        <f t="shared" si="23"/>
        <v>875</v>
      </c>
      <c r="AU88" s="32">
        <f t="shared" si="23"/>
        <v>876</v>
      </c>
      <c r="AV88" s="32">
        <f t="shared" si="23"/>
        <v>877</v>
      </c>
      <c r="AW88" s="32">
        <f t="shared" si="23"/>
        <v>878</v>
      </c>
      <c r="AX88" s="32">
        <f t="shared" si="23"/>
        <v>879</v>
      </c>
      <c r="AY88" s="32">
        <f t="shared" si="23"/>
        <v>880</v>
      </c>
      <c r="AZ88" s="32">
        <f t="shared" si="23"/>
        <v>881</v>
      </c>
      <c r="BA88" s="32">
        <f t="shared" si="23"/>
        <v>882</v>
      </c>
    </row>
    <row r="89" spans="20:53" x14ac:dyDescent="0.25">
      <c r="T89" s="31"/>
      <c r="U89" s="32">
        <f t="shared" si="22"/>
        <v>906</v>
      </c>
      <c r="V89" s="32">
        <f t="shared" si="22"/>
        <v>907</v>
      </c>
      <c r="W89" s="32">
        <f t="shared" si="22"/>
        <v>908</v>
      </c>
      <c r="X89" s="32">
        <f t="shared" si="22"/>
        <v>909</v>
      </c>
      <c r="Y89" s="32">
        <f t="shared" si="22"/>
        <v>910</v>
      </c>
      <c r="Z89" s="32">
        <f t="shared" si="22"/>
        <v>911</v>
      </c>
      <c r="AA89" s="32">
        <f t="shared" si="22"/>
        <v>912</v>
      </c>
      <c r="AB89" s="32">
        <f t="shared" si="22"/>
        <v>913</v>
      </c>
      <c r="AC89" s="32">
        <f t="shared" si="22"/>
        <v>914</v>
      </c>
      <c r="AD89" s="32">
        <f t="shared" si="22"/>
        <v>915</v>
      </c>
      <c r="AE89" s="32">
        <f t="shared" si="22"/>
        <v>916</v>
      </c>
      <c r="AF89" s="32">
        <f t="shared" si="22"/>
        <v>917</v>
      </c>
      <c r="AG89" s="32">
        <f t="shared" si="22"/>
        <v>918</v>
      </c>
      <c r="AH89" s="31"/>
      <c r="AN89" s="31"/>
      <c r="AO89" s="32">
        <f t="shared" si="23"/>
        <v>906</v>
      </c>
      <c r="AP89" s="32">
        <f t="shared" si="23"/>
        <v>907</v>
      </c>
      <c r="AQ89" s="32">
        <f t="shared" si="23"/>
        <v>908</v>
      </c>
      <c r="AR89" s="32">
        <f t="shared" si="23"/>
        <v>909</v>
      </c>
      <c r="AS89" s="32">
        <f t="shared" si="23"/>
        <v>910</v>
      </c>
      <c r="AT89" s="32">
        <f t="shared" si="23"/>
        <v>911</v>
      </c>
      <c r="AU89" s="32">
        <f t="shared" si="23"/>
        <v>912</v>
      </c>
      <c r="AV89" s="32">
        <f t="shared" si="23"/>
        <v>913</v>
      </c>
      <c r="AW89" s="32">
        <f t="shared" si="23"/>
        <v>914</v>
      </c>
      <c r="AX89" s="32">
        <f t="shared" si="23"/>
        <v>915</v>
      </c>
      <c r="AY89" s="32">
        <f t="shared" si="23"/>
        <v>916</v>
      </c>
      <c r="AZ89" s="32">
        <f t="shared" si="23"/>
        <v>917</v>
      </c>
      <c r="BA89" s="32">
        <f t="shared" si="23"/>
        <v>918</v>
      </c>
    </row>
    <row r="90" spans="20:53" x14ac:dyDescent="0.25">
      <c r="T90" s="31"/>
      <c r="U90" s="32">
        <f t="shared" si="22"/>
        <v>942</v>
      </c>
      <c r="V90" s="32">
        <f t="shared" si="22"/>
        <v>943</v>
      </c>
      <c r="W90" s="32">
        <f t="shared" si="22"/>
        <v>944</v>
      </c>
      <c r="X90" s="32">
        <f t="shared" si="22"/>
        <v>945</v>
      </c>
      <c r="Y90" s="32">
        <f t="shared" si="22"/>
        <v>946</v>
      </c>
      <c r="Z90" s="32">
        <f t="shared" si="22"/>
        <v>947</v>
      </c>
      <c r="AA90" s="32">
        <f t="shared" si="22"/>
        <v>948</v>
      </c>
      <c r="AB90" s="32">
        <f t="shared" si="22"/>
        <v>949</v>
      </c>
      <c r="AC90" s="32">
        <f t="shared" si="22"/>
        <v>950</v>
      </c>
      <c r="AD90" s="32">
        <f t="shared" si="22"/>
        <v>951</v>
      </c>
      <c r="AE90" s="32">
        <f t="shared" si="22"/>
        <v>952</v>
      </c>
      <c r="AF90" s="32">
        <f t="shared" si="22"/>
        <v>953</v>
      </c>
      <c r="AG90" s="32">
        <f t="shared" si="22"/>
        <v>954</v>
      </c>
      <c r="AH90" s="31"/>
      <c r="AN90" s="31"/>
      <c r="AO90" s="32">
        <f t="shared" si="23"/>
        <v>942</v>
      </c>
      <c r="AP90" s="32">
        <f t="shared" si="23"/>
        <v>943</v>
      </c>
      <c r="AQ90" s="32">
        <f t="shared" si="23"/>
        <v>944</v>
      </c>
      <c r="AR90" s="32">
        <f t="shared" si="23"/>
        <v>945</v>
      </c>
      <c r="AS90" s="32">
        <f t="shared" si="23"/>
        <v>946</v>
      </c>
      <c r="AT90" s="32">
        <f t="shared" si="23"/>
        <v>947</v>
      </c>
      <c r="AU90" s="32">
        <f t="shared" si="23"/>
        <v>948</v>
      </c>
      <c r="AV90" s="32">
        <f t="shared" si="23"/>
        <v>949</v>
      </c>
      <c r="AW90" s="32">
        <f t="shared" si="23"/>
        <v>950</v>
      </c>
      <c r="AX90" s="32">
        <f t="shared" si="23"/>
        <v>951</v>
      </c>
      <c r="AY90" s="32">
        <f t="shared" si="23"/>
        <v>952</v>
      </c>
      <c r="AZ90" s="32">
        <f t="shared" si="23"/>
        <v>953</v>
      </c>
      <c r="BA90" s="32">
        <f t="shared" si="23"/>
        <v>954</v>
      </c>
    </row>
    <row r="91" spans="20:53" x14ac:dyDescent="0.25">
      <c r="T91" s="31"/>
      <c r="U91" s="32">
        <f t="shared" si="22"/>
        <v>978</v>
      </c>
      <c r="V91" s="32">
        <f t="shared" si="22"/>
        <v>979</v>
      </c>
      <c r="W91" s="32">
        <f t="shared" si="22"/>
        <v>980</v>
      </c>
      <c r="X91" s="32">
        <f t="shared" si="22"/>
        <v>981</v>
      </c>
      <c r="Y91" s="32">
        <f t="shared" si="22"/>
        <v>982</v>
      </c>
      <c r="Z91" s="32">
        <f t="shared" si="22"/>
        <v>983</v>
      </c>
      <c r="AA91" s="32">
        <f t="shared" si="22"/>
        <v>984</v>
      </c>
      <c r="AB91" s="32">
        <f t="shared" si="22"/>
        <v>985</v>
      </c>
      <c r="AC91" s="32">
        <f t="shared" si="22"/>
        <v>986</v>
      </c>
      <c r="AD91" s="32">
        <f t="shared" si="22"/>
        <v>987</v>
      </c>
      <c r="AE91" s="32">
        <f t="shared" si="22"/>
        <v>988</v>
      </c>
      <c r="AF91" s="32">
        <f t="shared" si="22"/>
        <v>989</v>
      </c>
      <c r="AG91" s="32">
        <f t="shared" si="22"/>
        <v>990</v>
      </c>
      <c r="AH91" s="31"/>
      <c r="AN91" s="31"/>
      <c r="AO91" s="32">
        <f t="shared" si="23"/>
        <v>978</v>
      </c>
      <c r="AP91" s="32">
        <f t="shared" si="23"/>
        <v>979</v>
      </c>
      <c r="AQ91" s="32">
        <f t="shared" si="23"/>
        <v>980</v>
      </c>
      <c r="AR91" s="32">
        <f t="shared" si="23"/>
        <v>981</v>
      </c>
      <c r="AS91" s="32">
        <f t="shared" si="23"/>
        <v>982</v>
      </c>
      <c r="AT91" s="32">
        <f t="shared" si="23"/>
        <v>983</v>
      </c>
      <c r="AU91" s="32">
        <f t="shared" si="23"/>
        <v>984</v>
      </c>
      <c r="AV91" s="32">
        <f t="shared" si="23"/>
        <v>985</v>
      </c>
      <c r="AW91" s="32">
        <f t="shared" si="23"/>
        <v>986</v>
      </c>
      <c r="AX91" s="32">
        <f t="shared" si="23"/>
        <v>987</v>
      </c>
      <c r="AY91" s="32">
        <f t="shared" si="23"/>
        <v>988</v>
      </c>
      <c r="AZ91" s="32">
        <f t="shared" si="23"/>
        <v>989</v>
      </c>
      <c r="BA91" s="32">
        <f t="shared" si="23"/>
        <v>990</v>
      </c>
    </row>
    <row r="92" spans="20:53" x14ac:dyDescent="0.25">
      <c r="T92" s="31"/>
      <c r="U92" s="32">
        <f t="shared" si="22"/>
        <v>1014</v>
      </c>
      <c r="V92" s="32">
        <f t="shared" si="22"/>
        <v>1015</v>
      </c>
      <c r="W92" s="32">
        <f t="shared" si="22"/>
        <v>1016</v>
      </c>
      <c r="X92" s="32">
        <f t="shared" si="22"/>
        <v>1017</v>
      </c>
      <c r="Y92" s="32">
        <f t="shared" si="22"/>
        <v>1018</v>
      </c>
      <c r="Z92" s="32">
        <f t="shared" si="22"/>
        <v>1019</v>
      </c>
      <c r="AA92" s="32">
        <f t="shared" si="22"/>
        <v>1020</v>
      </c>
      <c r="AB92" s="32">
        <f t="shared" si="22"/>
        <v>1021</v>
      </c>
      <c r="AC92" s="32">
        <f t="shared" si="22"/>
        <v>1022</v>
      </c>
      <c r="AD92" s="32">
        <f t="shared" si="22"/>
        <v>1023</v>
      </c>
      <c r="AE92" s="32">
        <f t="shared" si="22"/>
        <v>1024</v>
      </c>
      <c r="AF92" s="32">
        <f t="shared" si="22"/>
        <v>1025</v>
      </c>
      <c r="AG92" s="32">
        <f t="shared" si="22"/>
        <v>1026</v>
      </c>
      <c r="AH92" s="31"/>
      <c r="AN92" s="31"/>
      <c r="AO92" s="32">
        <f t="shared" si="23"/>
        <v>1014</v>
      </c>
      <c r="AP92" s="32">
        <f t="shared" si="23"/>
        <v>1015</v>
      </c>
      <c r="AQ92" s="32">
        <f t="shared" si="23"/>
        <v>1016</v>
      </c>
      <c r="AR92" s="32">
        <f t="shared" si="23"/>
        <v>1017</v>
      </c>
      <c r="AS92" s="32">
        <f t="shared" si="23"/>
        <v>1018</v>
      </c>
      <c r="AT92" s="32">
        <f t="shared" si="23"/>
        <v>1019</v>
      </c>
      <c r="AU92" s="32">
        <f t="shared" si="23"/>
        <v>1020</v>
      </c>
      <c r="AV92" s="32">
        <f t="shared" si="23"/>
        <v>1021</v>
      </c>
      <c r="AW92" s="32">
        <f t="shared" si="23"/>
        <v>1022</v>
      </c>
      <c r="AX92" s="32">
        <f t="shared" si="23"/>
        <v>1023</v>
      </c>
      <c r="AY92" s="32">
        <f t="shared" si="23"/>
        <v>1024</v>
      </c>
      <c r="AZ92" s="32">
        <f t="shared" si="23"/>
        <v>1025</v>
      </c>
      <c r="BA92" s="32">
        <f t="shared" si="23"/>
        <v>1026</v>
      </c>
    </row>
    <row r="93" spans="20:53" x14ac:dyDescent="0.25">
      <c r="T93" s="31"/>
      <c r="U93" s="32">
        <f t="shared" si="22"/>
        <v>1050</v>
      </c>
      <c r="V93" s="32">
        <f t="shared" si="22"/>
        <v>1051</v>
      </c>
      <c r="W93" s="32">
        <f t="shared" si="22"/>
        <v>1052</v>
      </c>
      <c r="X93" s="32">
        <f t="shared" si="22"/>
        <v>1053</v>
      </c>
      <c r="Y93" s="32">
        <f t="shared" si="22"/>
        <v>1054</v>
      </c>
      <c r="Z93" s="32">
        <f t="shared" si="22"/>
        <v>1055</v>
      </c>
      <c r="AA93" s="32">
        <f t="shared" si="22"/>
        <v>1056</v>
      </c>
      <c r="AB93" s="32">
        <f t="shared" si="22"/>
        <v>1057</v>
      </c>
      <c r="AC93" s="32">
        <f t="shared" si="22"/>
        <v>1058</v>
      </c>
      <c r="AD93" s="32">
        <f t="shared" si="22"/>
        <v>1059</v>
      </c>
      <c r="AE93" s="32">
        <f t="shared" si="22"/>
        <v>1060</v>
      </c>
      <c r="AF93" s="32">
        <f t="shared" si="22"/>
        <v>1061</v>
      </c>
      <c r="AG93" s="32">
        <f t="shared" si="22"/>
        <v>1062</v>
      </c>
      <c r="AH93" s="31"/>
      <c r="AN93" s="31"/>
      <c r="AO93" s="32">
        <f t="shared" si="23"/>
        <v>1050</v>
      </c>
      <c r="AP93" s="32">
        <f t="shared" si="23"/>
        <v>1051</v>
      </c>
      <c r="AQ93" s="32">
        <f t="shared" si="23"/>
        <v>1052</v>
      </c>
      <c r="AR93" s="32">
        <f t="shared" si="23"/>
        <v>1053</v>
      </c>
      <c r="AS93" s="32">
        <f t="shared" si="23"/>
        <v>1054</v>
      </c>
      <c r="AT93" s="32">
        <f t="shared" si="23"/>
        <v>1055</v>
      </c>
      <c r="AU93" s="32">
        <f t="shared" si="23"/>
        <v>1056</v>
      </c>
      <c r="AV93" s="32">
        <f t="shared" si="23"/>
        <v>1057</v>
      </c>
      <c r="AW93" s="32">
        <f t="shared" si="23"/>
        <v>1058</v>
      </c>
      <c r="AX93" s="32">
        <f t="shared" si="23"/>
        <v>1059</v>
      </c>
      <c r="AY93" s="32">
        <f t="shared" si="23"/>
        <v>1060</v>
      </c>
      <c r="AZ93" s="32">
        <f t="shared" si="23"/>
        <v>1061</v>
      </c>
      <c r="BA93" s="32">
        <f t="shared" si="23"/>
        <v>1062</v>
      </c>
    </row>
    <row r="94" spans="20:53" x14ac:dyDescent="0.25">
      <c r="T94" s="31"/>
      <c r="U94" s="32">
        <f t="shared" si="22"/>
        <v>1086</v>
      </c>
      <c r="V94" s="32">
        <f t="shared" si="22"/>
        <v>1087</v>
      </c>
      <c r="W94" s="32">
        <f t="shared" si="22"/>
        <v>1088</v>
      </c>
      <c r="X94" s="32">
        <f t="shared" si="22"/>
        <v>1089</v>
      </c>
      <c r="Y94" s="32">
        <f t="shared" si="22"/>
        <v>1090</v>
      </c>
      <c r="Z94" s="32">
        <f t="shared" si="22"/>
        <v>1091</v>
      </c>
      <c r="AA94" s="32">
        <f t="shared" si="22"/>
        <v>1092</v>
      </c>
      <c r="AB94" s="32">
        <f t="shared" si="22"/>
        <v>1093</v>
      </c>
      <c r="AC94" s="32">
        <f t="shared" si="22"/>
        <v>1094</v>
      </c>
      <c r="AD94" s="32">
        <f t="shared" si="22"/>
        <v>1095</v>
      </c>
      <c r="AE94" s="32">
        <f t="shared" si="22"/>
        <v>1096</v>
      </c>
      <c r="AF94" s="32">
        <f t="shared" si="22"/>
        <v>1097</v>
      </c>
      <c r="AG94" s="32">
        <f t="shared" si="22"/>
        <v>1098</v>
      </c>
      <c r="AH94" s="31"/>
      <c r="AN94" s="31"/>
      <c r="AO94" s="32">
        <f t="shared" si="23"/>
        <v>1086</v>
      </c>
      <c r="AP94" s="32">
        <f t="shared" si="23"/>
        <v>1087</v>
      </c>
      <c r="AQ94" s="32">
        <f t="shared" si="23"/>
        <v>1088</v>
      </c>
      <c r="AR94" s="32">
        <f t="shared" si="23"/>
        <v>1089</v>
      </c>
      <c r="AS94" s="32">
        <f t="shared" si="23"/>
        <v>1090</v>
      </c>
      <c r="AT94" s="32">
        <f t="shared" si="23"/>
        <v>1091</v>
      </c>
      <c r="AU94" s="32">
        <f t="shared" si="23"/>
        <v>1092</v>
      </c>
      <c r="AV94" s="32">
        <f t="shared" si="23"/>
        <v>1093</v>
      </c>
      <c r="AW94" s="32">
        <f t="shared" si="23"/>
        <v>1094</v>
      </c>
      <c r="AX94" s="32">
        <f t="shared" si="23"/>
        <v>1095</v>
      </c>
      <c r="AY94" s="32">
        <f t="shared" si="23"/>
        <v>1096</v>
      </c>
      <c r="AZ94" s="32">
        <f t="shared" si="23"/>
        <v>1097</v>
      </c>
      <c r="BA94" s="32">
        <f t="shared" si="23"/>
        <v>1098</v>
      </c>
    </row>
    <row r="95" spans="20:53" x14ac:dyDescent="0.25"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N95" s="31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</row>
    <row r="96" spans="20:53" x14ac:dyDescent="0.25">
      <c r="AN96" s="31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</row>
  </sheetData>
  <mergeCells count="69">
    <mergeCell ref="T7:AJ7"/>
    <mergeCell ref="AM1:BC1"/>
    <mergeCell ref="AM2:BC2"/>
    <mergeCell ref="AM3:BC3"/>
    <mergeCell ref="AM4:BC4"/>
    <mergeCell ref="AM6:BC6"/>
    <mergeCell ref="AM7:BC7"/>
    <mergeCell ref="T1:AJ1"/>
    <mergeCell ref="T2:AJ2"/>
    <mergeCell ref="T3:AJ3"/>
    <mergeCell ref="T4:AJ4"/>
    <mergeCell ref="T6:AJ6"/>
    <mergeCell ref="A1:Q1"/>
    <mergeCell ref="A2:Q2"/>
    <mergeCell ref="A3:Q3"/>
    <mergeCell ref="A4:Q4"/>
    <mergeCell ref="A6:Q6"/>
    <mergeCell ref="A7:Q7"/>
    <mergeCell ref="BC13:BC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AQ13:AQ14"/>
    <mergeCell ref="AD13:AD14"/>
    <mergeCell ref="AE13:AE14"/>
    <mergeCell ref="AM13:AM14"/>
    <mergeCell ref="AN13:AN14"/>
    <mergeCell ref="AO13:AO14"/>
    <mergeCell ref="AP13:AP14"/>
    <mergeCell ref="AC13:AC14"/>
    <mergeCell ref="AF13:AF14"/>
    <mergeCell ref="AG13:AG14"/>
    <mergeCell ref="AH13:AH14"/>
    <mergeCell ref="AI13:AI14"/>
    <mergeCell ref="AJ13:AJ14"/>
    <mergeCell ref="P13:P14"/>
    <mergeCell ref="Q13:Q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B14"/>
    <mergeCell ref="O13:O14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BE59"/>
  <sheetViews>
    <sheetView topLeftCell="Q1" workbookViewId="0">
      <selection activeCell="AV54" sqref="AV54"/>
    </sheetView>
  </sheetViews>
  <sheetFormatPr defaultRowHeight="14.4" x14ac:dyDescent="0.3"/>
  <sheetData>
    <row r="1" spans="1:57" x14ac:dyDescent="0.3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T1" s="104" t="s">
        <v>33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M1" s="104" t="s">
        <v>33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</row>
    <row r="2" spans="1:57" x14ac:dyDescent="0.3">
      <c r="A2" s="104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T2" s="104" t="s">
        <v>34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M2" s="104" t="s">
        <v>34</v>
      </c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</row>
    <row r="3" spans="1:57" x14ac:dyDescent="0.3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T3" s="105" t="s">
        <v>35</v>
      </c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M3" s="105" t="s">
        <v>35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</row>
    <row r="4" spans="1:57" ht="15" thickBot="1" x14ac:dyDescent="0.35">
      <c r="A4" s="106" t="s">
        <v>36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T4" s="106" t="s">
        <v>36</v>
      </c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M4" s="106" t="s">
        <v>36</v>
      </c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</row>
    <row r="5" spans="1:57" ht="6.75" customHeight="1" x14ac:dyDescent="0.3">
      <c r="A5" s="34"/>
      <c r="B5" s="34"/>
      <c r="C5" s="34"/>
      <c r="D5" s="34"/>
      <c r="E5" s="34"/>
      <c r="F5" s="34"/>
      <c r="T5" s="34"/>
      <c r="U5" s="34"/>
      <c r="V5" s="34"/>
      <c r="W5" s="34"/>
      <c r="X5" s="34"/>
      <c r="Y5" s="34"/>
      <c r="AM5" s="34"/>
      <c r="AN5" s="34"/>
      <c r="AO5" s="34"/>
      <c r="AP5" s="34"/>
      <c r="AQ5" s="34"/>
      <c r="AR5" s="34"/>
    </row>
    <row r="6" spans="1:57" x14ac:dyDescent="0.3">
      <c r="A6" s="107" t="s">
        <v>45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T6" s="107" t="s">
        <v>47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M6" s="107" t="s">
        <v>48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</row>
    <row r="7" spans="1:57" ht="14.25" customHeight="1" x14ac:dyDescent="0.3">
      <c r="A7" s="103" t="s">
        <v>49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T7" s="103" t="str">
        <f>A7</f>
        <v>BULAN  : AGUSTUS 2022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M7" s="103" t="str">
        <f>T7</f>
        <v>BULAN  : AGUSTUS 2022</v>
      </c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7" ht="7.5" customHeight="1" x14ac:dyDescent="0.3"/>
    <row r="9" spans="1:57" x14ac:dyDescent="0.3">
      <c r="A9" s="35" t="s">
        <v>37</v>
      </c>
      <c r="B9" s="35"/>
      <c r="C9" s="36" t="s">
        <v>38</v>
      </c>
      <c r="T9" s="35" t="s">
        <v>37</v>
      </c>
      <c r="U9" s="35"/>
      <c r="V9" s="36" t="s">
        <v>38</v>
      </c>
      <c r="AM9" s="35" t="s">
        <v>37</v>
      </c>
      <c r="AN9" s="35"/>
      <c r="AO9" s="36" t="s">
        <v>38</v>
      </c>
    </row>
    <row r="10" spans="1:57" x14ac:dyDescent="0.3">
      <c r="A10" t="s">
        <v>39</v>
      </c>
      <c r="B10" s="35"/>
      <c r="C10" t="s">
        <v>40</v>
      </c>
      <c r="T10" t="s">
        <v>39</v>
      </c>
      <c r="U10" s="35"/>
      <c r="V10" t="s">
        <v>40</v>
      </c>
      <c r="AM10" t="s">
        <v>39</v>
      </c>
      <c r="AN10" s="35"/>
      <c r="AO10" t="s">
        <v>40</v>
      </c>
    </row>
    <row r="11" spans="1:57" x14ac:dyDescent="0.3">
      <c r="A11" t="s">
        <v>41</v>
      </c>
      <c r="C11" t="s">
        <v>42</v>
      </c>
      <c r="P11" s="37" t="s">
        <v>43</v>
      </c>
      <c r="Q11" s="38" t="s">
        <v>44</v>
      </c>
      <c r="T11" t="s">
        <v>41</v>
      </c>
      <c r="V11" t="s">
        <v>42</v>
      </c>
      <c r="AI11" s="37" t="s">
        <v>43</v>
      </c>
      <c r="AJ11" s="38" t="s">
        <v>44</v>
      </c>
      <c r="AM11" t="s">
        <v>41</v>
      </c>
      <c r="AO11" t="s">
        <v>42</v>
      </c>
      <c r="BB11" s="37" t="s">
        <v>43</v>
      </c>
      <c r="BC11" s="38" t="s">
        <v>44</v>
      </c>
    </row>
    <row r="12" spans="1:57" s="2" customFormat="1" ht="9" customHeight="1" thickBot="1" x14ac:dyDescent="0.3">
      <c r="A12" s="1"/>
      <c r="F12" s="3"/>
      <c r="G12" s="3"/>
      <c r="H12" s="3"/>
      <c r="I12" s="3"/>
      <c r="J12" s="3"/>
      <c r="K12" s="3"/>
      <c r="L12" s="3"/>
      <c r="T12" s="1"/>
      <c r="Y12" s="3"/>
      <c r="Z12" s="3"/>
      <c r="AA12" s="3"/>
      <c r="AB12" s="3"/>
      <c r="AC12" s="3"/>
      <c r="AD12" s="3"/>
      <c r="AE12" s="3"/>
      <c r="AM12" s="1"/>
      <c r="AR12" s="3"/>
      <c r="AS12" s="3"/>
      <c r="AT12" s="3"/>
      <c r="AU12" s="3"/>
      <c r="AV12" s="3"/>
      <c r="AW12" s="3"/>
      <c r="AX12" s="3"/>
    </row>
    <row r="13" spans="1:57" s="2" customFormat="1" ht="14.25" customHeight="1" thickTop="1" x14ac:dyDescent="0.25">
      <c r="A13" s="99" t="s">
        <v>8</v>
      </c>
      <c r="B13" s="101" t="s">
        <v>9</v>
      </c>
      <c r="C13" s="101" t="s">
        <v>10</v>
      </c>
      <c r="D13" s="101" t="s">
        <v>11</v>
      </c>
      <c r="E13" s="101" t="s">
        <v>12</v>
      </c>
      <c r="F13" s="101" t="s">
        <v>13</v>
      </c>
      <c r="G13" s="101" t="s">
        <v>14</v>
      </c>
      <c r="H13" s="101" t="s">
        <v>15</v>
      </c>
      <c r="I13" s="101" t="s">
        <v>16</v>
      </c>
      <c r="J13" s="101" t="s">
        <v>17</v>
      </c>
      <c r="K13" s="101" t="s">
        <v>18</v>
      </c>
      <c r="L13" s="101" t="s">
        <v>19</v>
      </c>
      <c r="M13" s="101" t="s">
        <v>20</v>
      </c>
      <c r="N13" s="101" t="s">
        <v>21</v>
      </c>
      <c r="O13" s="97" t="s">
        <v>22</v>
      </c>
      <c r="P13" s="97" t="s">
        <v>23</v>
      </c>
      <c r="Q13" s="101" t="s">
        <v>24</v>
      </c>
      <c r="T13" s="99" t="s">
        <v>8</v>
      </c>
      <c r="U13" s="101" t="s">
        <v>9</v>
      </c>
      <c r="V13" s="101" t="s">
        <v>10</v>
      </c>
      <c r="W13" s="101" t="s">
        <v>11</v>
      </c>
      <c r="X13" s="101" t="s">
        <v>12</v>
      </c>
      <c r="Y13" s="101" t="s">
        <v>13</v>
      </c>
      <c r="Z13" s="101" t="s">
        <v>14</v>
      </c>
      <c r="AA13" s="101" t="s">
        <v>15</v>
      </c>
      <c r="AB13" s="101" t="s">
        <v>16</v>
      </c>
      <c r="AC13" s="101" t="s">
        <v>17</v>
      </c>
      <c r="AD13" s="101" t="s">
        <v>18</v>
      </c>
      <c r="AE13" s="101" t="s">
        <v>19</v>
      </c>
      <c r="AF13" s="101" t="s">
        <v>20</v>
      </c>
      <c r="AG13" s="101" t="s">
        <v>21</v>
      </c>
      <c r="AH13" s="97" t="s">
        <v>22</v>
      </c>
      <c r="AI13" s="97" t="s">
        <v>23</v>
      </c>
      <c r="AJ13" s="101" t="s">
        <v>24</v>
      </c>
      <c r="AM13" s="99" t="s">
        <v>8</v>
      </c>
      <c r="AN13" s="101" t="s">
        <v>9</v>
      </c>
      <c r="AO13" s="101" t="s">
        <v>10</v>
      </c>
      <c r="AP13" s="101" t="s">
        <v>11</v>
      </c>
      <c r="AQ13" s="101" t="s">
        <v>12</v>
      </c>
      <c r="AR13" s="101" t="s">
        <v>13</v>
      </c>
      <c r="AS13" s="101" t="s">
        <v>14</v>
      </c>
      <c r="AT13" s="101" t="s">
        <v>15</v>
      </c>
      <c r="AU13" s="101" t="s">
        <v>16</v>
      </c>
      <c r="AV13" s="101" t="s">
        <v>17</v>
      </c>
      <c r="AW13" s="101" t="s">
        <v>18</v>
      </c>
      <c r="AX13" s="101" t="s">
        <v>19</v>
      </c>
      <c r="AY13" s="101" t="s">
        <v>20</v>
      </c>
      <c r="AZ13" s="101" t="s">
        <v>21</v>
      </c>
      <c r="BA13" s="97" t="s">
        <v>22</v>
      </c>
      <c r="BB13" s="97" t="s">
        <v>23</v>
      </c>
      <c r="BC13" s="101" t="s">
        <v>24</v>
      </c>
    </row>
    <row r="14" spans="1:57" s="2" customFormat="1" ht="14.25" customHeight="1" thickBot="1" x14ac:dyDescent="0.3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98"/>
      <c r="P14" s="98"/>
      <c r="Q14" s="102"/>
      <c r="R14" s="8"/>
      <c r="S14" s="8"/>
      <c r="T14" s="100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98"/>
      <c r="AI14" s="98"/>
      <c r="AJ14" s="102"/>
      <c r="AK14" s="8"/>
      <c r="AL14" s="8"/>
      <c r="AM14" s="100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98"/>
      <c r="BB14" s="98"/>
      <c r="BC14" s="102"/>
      <c r="BD14" s="8"/>
      <c r="BE14" s="8"/>
    </row>
    <row r="15" spans="1:57" s="2" customFormat="1" ht="14.25" customHeight="1" thickTop="1" x14ac:dyDescent="0.25">
      <c r="A15" s="39">
        <v>1</v>
      </c>
      <c r="B15" s="40">
        <v>22.4</v>
      </c>
      <c r="C15" s="40">
        <v>25.8</v>
      </c>
      <c r="D15" s="40">
        <v>26</v>
      </c>
      <c r="E15" s="40">
        <v>28.8</v>
      </c>
      <c r="F15" s="40">
        <v>29.4</v>
      </c>
      <c r="G15" s="40">
        <v>30.8</v>
      </c>
      <c r="H15" s="40">
        <v>31.7</v>
      </c>
      <c r="I15" s="40">
        <v>31.4</v>
      </c>
      <c r="J15" s="40">
        <v>29.6</v>
      </c>
      <c r="K15" s="40">
        <v>28</v>
      </c>
      <c r="L15" s="40">
        <v>26.4</v>
      </c>
      <c r="M15" s="40">
        <v>26</v>
      </c>
      <c r="N15" s="40">
        <v>25.4</v>
      </c>
      <c r="O15" s="41">
        <f t="shared" ref="O15:O45" si="0">MAX(B15:N15)</f>
        <v>31.7</v>
      </c>
      <c r="P15" s="42">
        <f t="shared" ref="P15:P45" si="1">MIN(B15:N15)</f>
        <v>22.4</v>
      </c>
      <c r="Q15" s="43">
        <f>AVERAGE(B15:N15)</f>
        <v>27.823076923076918</v>
      </c>
      <c r="T15" s="39">
        <v>1</v>
      </c>
      <c r="U15" s="40">
        <v>21.4</v>
      </c>
      <c r="V15" s="40">
        <v>22.2</v>
      </c>
      <c r="W15" s="40">
        <v>22.7</v>
      </c>
      <c r="X15" s="40">
        <v>23.5</v>
      </c>
      <c r="Y15" s="40">
        <v>23.8</v>
      </c>
      <c r="Z15" s="40">
        <v>24.2</v>
      </c>
      <c r="AA15" s="40">
        <v>24.4</v>
      </c>
      <c r="AB15" s="40">
        <v>25.6</v>
      </c>
      <c r="AC15" s="40">
        <v>25</v>
      </c>
      <c r="AD15" s="40">
        <v>24.6</v>
      </c>
      <c r="AE15" s="40">
        <v>24</v>
      </c>
      <c r="AF15" s="40">
        <v>23.8</v>
      </c>
      <c r="AG15" s="40">
        <v>23.8</v>
      </c>
      <c r="AH15" s="41">
        <f t="shared" ref="AH15:AH45" si="2">MAX(U15:AG15)</f>
        <v>25.6</v>
      </c>
      <c r="AI15" s="42">
        <f t="shared" ref="AI15:AI45" si="3">MIN(U15:AG15)</f>
        <v>21.4</v>
      </c>
      <c r="AJ15" s="43">
        <f>AVERAGE(U15:AG15)</f>
        <v>23.76923076923077</v>
      </c>
      <c r="AM15" s="39">
        <v>1</v>
      </c>
      <c r="AN15" s="40">
        <v>20.783334994604147</v>
      </c>
      <c r="AO15" s="40">
        <v>20.256064442086451</v>
      </c>
      <c r="AP15" s="40">
        <v>20.963264346434137</v>
      </c>
      <c r="AQ15" s="40">
        <v>20.818121940520413</v>
      </c>
      <c r="AR15" s="40">
        <v>21.007398684043931</v>
      </c>
      <c r="AS15" s="40">
        <v>20.956729082873636</v>
      </c>
      <c r="AT15" s="40">
        <v>20.830950997410522</v>
      </c>
      <c r="AU15" s="40">
        <v>22.974543087525692</v>
      </c>
      <c r="AV15" s="40">
        <v>22.858668311959782</v>
      </c>
      <c r="AW15" s="40">
        <v>22.979754663101517</v>
      </c>
      <c r="AX15" s="40">
        <v>22.804533908537021</v>
      </c>
      <c r="AY15" s="40">
        <v>22.687327425827569</v>
      </c>
      <c r="AZ15" s="40">
        <v>22.968814165589823</v>
      </c>
      <c r="BA15" s="41">
        <f t="shared" ref="BA15:BA45" si="4">MAX(AN15:AZ15)</f>
        <v>22.979754663101517</v>
      </c>
      <c r="BB15" s="42">
        <f t="shared" ref="BB15:BB45" si="5">MIN(AN15:AZ15)</f>
        <v>20.256064442086451</v>
      </c>
      <c r="BC15" s="43">
        <f>AVERAGE(AN15:AZ15)</f>
        <v>21.760731234654973</v>
      </c>
    </row>
    <row r="16" spans="1:57" s="2" customFormat="1" ht="14.25" customHeight="1" x14ac:dyDescent="0.25">
      <c r="A16" s="44">
        <v>2</v>
      </c>
      <c r="B16" s="40">
        <v>22.9</v>
      </c>
      <c r="C16" s="40">
        <v>24.2</v>
      </c>
      <c r="D16" s="40">
        <v>25.6</v>
      </c>
      <c r="E16" s="40">
        <v>27.2</v>
      </c>
      <c r="F16" s="40">
        <v>28.6</v>
      </c>
      <c r="G16" s="40">
        <v>28.8</v>
      </c>
      <c r="H16" s="40">
        <v>29.9</v>
      </c>
      <c r="I16" s="40">
        <v>30</v>
      </c>
      <c r="J16" s="40">
        <v>29</v>
      </c>
      <c r="K16" s="40">
        <v>28.6</v>
      </c>
      <c r="L16" s="40">
        <v>27</v>
      </c>
      <c r="M16" s="40">
        <v>26.4</v>
      </c>
      <c r="N16" s="40">
        <v>25.6</v>
      </c>
      <c r="O16" s="41">
        <f t="shared" si="0"/>
        <v>30</v>
      </c>
      <c r="P16" s="42">
        <f t="shared" si="1"/>
        <v>22.9</v>
      </c>
      <c r="Q16" s="45">
        <f t="shared" ref="Q16:Q45" si="6">AVERAGE(B16:N16)</f>
        <v>27.215384615384615</v>
      </c>
      <c r="T16" s="44">
        <v>2</v>
      </c>
      <c r="U16" s="40">
        <v>21.6</v>
      </c>
      <c r="V16" s="40">
        <v>22.3</v>
      </c>
      <c r="W16" s="40">
        <v>22.9</v>
      </c>
      <c r="X16" s="40">
        <v>23.6</v>
      </c>
      <c r="Y16" s="40">
        <v>23.8</v>
      </c>
      <c r="Z16" s="40">
        <v>24</v>
      </c>
      <c r="AA16" s="40">
        <v>24.2</v>
      </c>
      <c r="AB16" s="40">
        <v>24.6</v>
      </c>
      <c r="AC16" s="40">
        <v>24.8</v>
      </c>
      <c r="AD16" s="40">
        <v>25</v>
      </c>
      <c r="AE16" s="40">
        <v>24.8</v>
      </c>
      <c r="AF16" s="40">
        <v>24.6</v>
      </c>
      <c r="AG16" s="40">
        <v>24</v>
      </c>
      <c r="AH16" s="41">
        <f t="shared" si="2"/>
        <v>25</v>
      </c>
      <c r="AI16" s="42">
        <f t="shared" si="3"/>
        <v>21.6</v>
      </c>
      <c r="AJ16" s="45">
        <f t="shared" ref="AJ16:AJ45" si="7">AVERAGE(U16:AG16)</f>
        <v>23.861538461538462</v>
      </c>
      <c r="AM16" s="44">
        <v>2</v>
      </c>
      <c r="AN16" s="40">
        <v>20.833065179456195</v>
      </c>
      <c r="AO16" s="40">
        <v>21.25445747523171</v>
      </c>
      <c r="AP16" s="40">
        <v>21.486176608450648</v>
      </c>
      <c r="AQ16" s="40">
        <v>21.794916962756314</v>
      </c>
      <c r="AR16" s="40">
        <v>21.416446175167959</v>
      </c>
      <c r="AS16" s="40">
        <v>21.642015979127848</v>
      </c>
      <c r="AT16" s="40">
        <v>21.417528608408382</v>
      </c>
      <c r="AU16" s="40">
        <v>22.025168782248613</v>
      </c>
      <c r="AV16" s="40">
        <v>22.824546080853771</v>
      </c>
      <c r="AW16" s="40">
        <v>23.321392650725961</v>
      </c>
      <c r="AX16" s="40">
        <v>23.740574438114979</v>
      </c>
      <c r="AY16" s="40">
        <v>23.710183186275557</v>
      </c>
      <c r="AZ16" s="40">
        <v>23.17664094358928</v>
      </c>
      <c r="BA16" s="41">
        <f t="shared" si="4"/>
        <v>23.740574438114979</v>
      </c>
      <c r="BB16" s="42">
        <f t="shared" si="5"/>
        <v>20.833065179456195</v>
      </c>
      <c r="BC16" s="45">
        <f t="shared" ref="BC16:BC45" si="8">AVERAGE(AN16:AZ16)</f>
        <v>22.203316390031322</v>
      </c>
    </row>
    <row r="17" spans="1:55" s="2" customFormat="1" ht="14.25" customHeight="1" x14ac:dyDescent="0.25">
      <c r="A17" s="44">
        <v>3</v>
      </c>
      <c r="B17" s="40">
        <v>23.3</v>
      </c>
      <c r="C17" s="40">
        <v>24.6</v>
      </c>
      <c r="D17" s="40">
        <v>26.4</v>
      </c>
      <c r="E17" s="40">
        <v>27.6</v>
      </c>
      <c r="F17" s="40">
        <v>29.1</v>
      </c>
      <c r="G17" s="40">
        <v>30.5</v>
      </c>
      <c r="H17" s="40">
        <v>30.6</v>
      </c>
      <c r="I17" s="40">
        <v>29.5</v>
      </c>
      <c r="J17" s="40">
        <v>29.5</v>
      </c>
      <c r="K17" s="40">
        <v>29</v>
      </c>
      <c r="L17" s="40">
        <v>27.6</v>
      </c>
      <c r="M17" s="40">
        <v>26.8</v>
      </c>
      <c r="N17" s="40">
        <v>25.7</v>
      </c>
      <c r="O17" s="41">
        <f t="shared" si="0"/>
        <v>30.6</v>
      </c>
      <c r="P17" s="42">
        <f t="shared" si="1"/>
        <v>23.3</v>
      </c>
      <c r="Q17" s="45">
        <f t="shared" si="6"/>
        <v>27.707692307692312</v>
      </c>
      <c r="T17" s="44">
        <v>3</v>
      </c>
      <c r="U17" s="40">
        <v>22.4</v>
      </c>
      <c r="V17" s="40">
        <v>23</v>
      </c>
      <c r="W17" s="40">
        <v>23.6</v>
      </c>
      <c r="X17" s="40">
        <v>24</v>
      </c>
      <c r="Y17" s="40">
        <v>25</v>
      </c>
      <c r="Z17" s="40">
        <v>25.3</v>
      </c>
      <c r="AA17" s="40">
        <v>25.1</v>
      </c>
      <c r="AB17" s="40">
        <v>25.1</v>
      </c>
      <c r="AC17" s="40">
        <v>25.2</v>
      </c>
      <c r="AD17" s="40">
        <v>24.8</v>
      </c>
      <c r="AE17" s="40">
        <v>25</v>
      </c>
      <c r="AF17" s="40">
        <v>24.6</v>
      </c>
      <c r="AG17" s="40">
        <v>24</v>
      </c>
      <c r="AH17" s="41">
        <f t="shared" si="2"/>
        <v>25.3</v>
      </c>
      <c r="AI17" s="42">
        <f t="shared" si="3"/>
        <v>22.4</v>
      </c>
      <c r="AJ17" s="45">
        <f t="shared" si="7"/>
        <v>24.392307692307693</v>
      </c>
      <c r="AM17" s="44">
        <v>3</v>
      </c>
      <c r="AN17" s="40">
        <v>21.860111681616239</v>
      </c>
      <c r="AO17" s="40">
        <v>22.13650602405399</v>
      </c>
      <c r="AP17" s="40">
        <v>22.18727787108098</v>
      </c>
      <c r="AQ17" s="40">
        <v>22.232255136844188</v>
      </c>
      <c r="AR17" s="40">
        <v>23.091443449890949</v>
      </c>
      <c r="AS17" s="40">
        <v>22.914066385087182</v>
      </c>
      <c r="AT17" s="40">
        <v>22.546107734515989</v>
      </c>
      <c r="AU17" s="40">
        <v>23.062845771566085</v>
      </c>
      <c r="AV17" s="40">
        <v>23.21951269876568</v>
      </c>
      <c r="AW17" s="40">
        <v>22.824546080853771</v>
      </c>
      <c r="AX17" s="40">
        <v>23.773101758937997</v>
      </c>
      <c r="AY17" s="40">
        <v>23.530193147412959</v>
      </c>
      <c r="AZ17" s="40">
        <v>23.130525571971543</v>
      </c>
      <c r="BA17" s="41">
        <f t="shared" si="4"/>
        <v>23.773101758937997</v>
      </c>
      <c r="BB17" s="42">
        <f t="shared" si="5"/>
        <v>21.860111681616239</v>
      </c>
      <c r="BC17" s="45">
        <f t="shared" si="8"/>
        <v>22.808345639430577</v>
      </c>
    </row>
    <row r="18" spans="1:55" s="2" customFormat="1" ht="14.25" customHeight="1" x14ac:dyDescent="0.25">
      <c r="A18" s="44">
        <v>4</v>
      </c>
      <c r="B18" s="40">
        <v>23.4</v>
      </c>
      <c r="C18" s="40">
        <v>25.4</v>
      </c>
      <c r="D18" s="40">
        <v>26.6</v>
      </c>
      <c r="E18" s="40">
        <v>28</v>
      </c>
      <c r="F18" s="40">
        <v>29.5</v>
      </c>
      <c r="G18" s="40">
        <v>29.8</v>
      </c>
      <c r="H18" s="40">
        <v>30.7</v>
      </c>
      <c r="I18" s="40">
        <v>31</v>
      </c>
      <c r="J18" s="40">
        <v>30.6</v>
      </c>
      <c r="K18" s="40">
        <v>30</v>
      </c>
      <c r="L18" s="40">
        <v>28.8</v>
      </c>
      <c r="M18" s="40">
        <v>26</v>
      </c>
      <c r="N18" s="40">
        <v>25.2</v>
      </c>
      <c r="O18" s="41">
        <f t="shared" si="0"/>
        <v>31</v>
      </c>
      <c r="P18" s="42">
        <f t="shared" si="1"/>
        <v>23.4</v>
      </c>
      <c r="Q18" s="45">
        <f t="shared" si="6"/>
        <v>28.076923076923077</v>
      </c>
      <c r="T18" s="44">
        <v>4</v>
      </c>
      <c r="U18" s="40">
        <v>22.2</v>
      </c>
      <c r="V18" s="40">
        <v>23</v>
      </c>
      <c r="W18" s="40">
        <v>23.3</v>
      </c>
      <c r="X18" s="40">
        <v>23.6</v>
      </c>
      <c r="Y18" s="40">
        <v>24</v>
      </c>
      <c r="Z18" s="40">
        <v>24.3</v>
      </c>
      <c r="AA18" s="40">
        <v>24.5</v>
      </c>
      <c r="AB18" s="40">
        <v>24</v>
      </c>
      <c r="AC18" s="40">
        <v>23.2</v>
      </c>
      <c r="AD18" s="40">
        <v>26.6</v>
      </c>
      <c r="AE18" s="40">
        <v>22.2</v>
      </c>
      <c r="AF18" s="40">
        <v>22.8</v>
      </c>
      <c r="AG18" s="40">
        <v>22.6</v>
      </c>
      <c r="AH18" s="41">
        <f t="shared" si="2"/>
        <v>26.6</v>
      </c>
      <c r="AI18" s="42">
        <f t="shared" si="3"/>
        <v>22.2</v>
      </c>
      <c r="AJ18" s="45">
        <f t="shared" si="7"/>
        <v>23.561538461538461</v>
      </c>
      <c r="AM18" s="44">
        <v>4</v>
      </c>
      <c r="AN18" s="40">
        <v>21.504939246603684</v>
      </c>
      <c r="AO18" s="40">
        <v>21.743085824045714</v>
      </c>
      <c r="AP18" s="40">
        <v>21.616959657059734</v>
      </c>
      <c r="AQ18" s="40">
        <v>21.394166031907911</v>
      </c>
      <c r="AR18" s="40">
        <v>21.288920581605684</v>
      </c>
      <c r="AS18" s="40">
        <v>21.632988803420968</v>
      </c>
      <c r="AT18" s="40">
        <v>21.512916539250263</v>
      </c>
      <c r="AU18" s="40">
        <v>20.508989309109545</v>
      </c>
      <c r="AV18" s="40">
        <v>19.321053623069933</v>
      </c>
      <c r="AW18" s="40">
        <v>25.135790377940566</v>
      </c>
      <c r="AX18" s="40">
        <v>18.566084366819187</v>
      </c>
      <c r="AY18" s="40">
        <v>21.123805308926201</v>
      </c>
      <c r="AZ18" s="40">
        <v>21.215414323906355</v>
      </c>
      <c r="BA18" s="41">
        <f t="shared" si="4"/>
        <v>25.135790377940566</v>
      </c>
      <c r="BB18" s="42">
        <f t="shared" si="5"/>
        <v>18.566084366819187</v>
      </c>
      <c r="BC18" s="45">
        <f t="shared" si="8"/>
        <v>21.274239537974285</v>
      </c>
    </row>
    <row r="19" spans="1:55" s="2" customFormat="1" ht="14.25" customHeight="1" x14ac:dyDescent="0.25">
      <c r="A19" s="44">
        <v>5</v>
      </c>
      <c r="B19" s="40">
        <v>22</v>
      </c>
      <c r="C19" s="40">
        <v>24.6</v>
      </c>
      <c r="D19" s="40">
        <v>26.8</v>
      </c>
      <c r="E19" s="40">
        <v>28.4</v>
      </c>
      <c r="F19" s="40">
        <v>29.1</v>
      </c>
      <c r="G19" s="40">
        <v>29.6</v>
      </c>
      <c r="H19" s="40">
        <v>29.8</v>
      </c>
      <c r="I19" s="40">
        <v>30.6</v>
      </c>
      <c r="J19" s="40">
        <v>30.4</v>
      </c>
      <c r="K19" s="40">
        <v>29.2</v>
      </c>
      <c r="L19" s="40">
        <v>27.5</v>
      </c>
      <c r="M19" s="40">
        <v>25.5</v>
      </c>
      <c r="N19" s="40">
        <v>24.9</v>
      </c>
      <c r="O19" s="41">
        <f t="shared" si="0"/>
        <v>30.6</v>
      </c>
      <c r="P19" s="42">
        <f t="shared" si="1"/>
        <v>22</v>
      </c>
      <c r="Q19" s="45">
        <f t="shared" si="6"/>
        <v>27.569230769230767</v>
      </c>
      <c r="T19" s="44">
        <v>5</v>
      </c>
      <c r="U19" s="40">
        <v>20.3</v>
      </c>
      <c r="V19" s="40">
        <v>21.8</v>
      </c>
      <c r="W19" s="40">
        <v>22</v>
      </c>
      <c r="X19" s="40">
        <v>22.8</v>
      </c>
      <c r="Y19" s="40">
        <v>23</v>
      </c>
      <c r="Z19" s="40">
        <v>23.6</v>
      </c>
      <c r="AA19" s="40">
        <v>23.6</v>
      </c>
      <c r="AB19" s="40">
        <v>23.6</v>
      </c>
      <c r="AC19" s="40">
        <v>23.6</v>
      </c>
      <c r="AD19" s="40">
        <v>23.8</v>
      </c>
      <c r="AE19" s="40">
        <v>23.4</v>
      </c>
      <c r="AF19" s="40">
        <v>23</v>
      </c>
      <c r="AG19" s="40">
        <v>22.5</v>
      </c>
      <c r="AH19" s="41">
        <f t="shared" si="2"/>
        <v>23.8</v>
      </c>
      <c r="AI19" s="42">
        <f t="shared" si="3"/>
        <v>20.3</v>
      </c>
      <c r="AJ19" s="45">
        <f t="shared" si="7"/>
        <v>22.846153846153847</v>
      </c>
      <c r="AM19" s="44">
        <v>5</v>
      </c>
      <c r="AN19" s="40">
        <v>19.257754012680614</v>
      </c>
      <c r="AO19" s="40">
        <v>20.249757841790238</v>
      </c>
      <c r="AP19" s="40">
        <v>19.369596532411727</v>
      </c>
      <c r="AQ19" s="40">
        <v>19.848080836532382</v>
      </c>
      <c r="AR19" s="40">
        <v>19.807137062369129</v>
      </c>
      <c r="AS19" s="40">
        <v>20.565881195477441</v>
      </c>
      <c r="AT19" s="40">
        <v>20.459702073917192</v>
      </c>
      <c r="AU19" s="40">
        <v>20.02879237939263</v>
      </c>
      <c r="AV19" s="40">
        <v>20.137464342295072</v>
      </c>
      <c r="AW19" s="40">
        <v>21.110504772755601</v>
      </c>
      <c r="AX19" s="40">
        <v>21.323454788121797</v>
      </c>
      <c r="AY19" s="40">
        <v>21.693322799263363</v>
      </c>
      <c r="AZ19" s="40">
        <v>21.210838784648832</v>
      </c>
      <c r="BA19" s="41">
        <f t="shared" si="4"/>
        <v>21.693322799263363</v>
      </c>
      <c r="BB19" s="42">
        <f t="shared" si="5"/>
        <v>19.257754012680614</v>
      </c>
      <c r="BC19" s="45">
        <f t="shared" si="8"/>
        <v>20.389406724742773</v>
      </c>
    </row>
    <row r="20" spans="1:55" s="2" customFormat="1" ht="14.25" customHeight="1" x14ac:dyDescent="0.25">
      <c r="A20" s="44">
        <v>6</v>
      </c>
      <c r="B20" s="40">
        <v>22.2</v>
      </c>
      <c r="C20" s="40">
        <v>25</v>
      </c>
      <c r="D20" s="40">
        <v>27.2</v>
      </c>
      <c r="E20" s="40">
        <v>28</v>
      </c>
      <c r="F20" s="40">
        <v>28.4</v>
      </c>
      <c r="G20" s="40">
        <v>29.2</v>
      </c>
      <c r="H20" s="40">
        <v>29.5</v>
      </c>
      <c r="I20" s="40">
        <v>29.8</v>
      </c>
      <c r="J20" s="40">
        <v>28.9</v>
      </c>
      <c r="K20" s="40">
        <v>28.4</v>
      </c>
      <c r="L20" s="40">
        <v>27.6</v>
      </c>
      <c r="M20" s="40">
        <v>26.3</v>
      </c>
      <c r="N20" s="40">
        <v>26</v>
      </c>
      <c r="O20" s="41">
        <f t="shared" si="0"/>
        <v>29.8</v>
      </c>
      <c r="P20" s="42">
        <f t="shared" si="1"/>
        <v>22.2</v>
      </c>
      <c r="Q20" s="45">
        <f t="shared" si="6"/>
        <v>27.423076923076927</v>
      </c>
      <c r="T20" s="44">
        <v>6</v>
      </c>
      <c r="U20" s="40">
        <v>20.8</v>
      </c>
      <c r="V20" s="40">
        <v>22.2</v>
      </c>
      <c r="W20" s="40">
        <v>23.2</v>
      </c>
      <c r="X20" s="40">
        <v>23.5</v>
      </c>
      <c r="Y20" s="40">
        <v>23.5</v>
      </c>
      <c r="Z20" s="40">
        <v>24.2</v>
      </c>
      <c r="AA20" s="40">
        <v>24.4</v>
      </c>
      <c r="AB20" s="40">
        <v>24.5</v>
      </c>
      <c r="AC20" s="40">
        <v>24.2</v>
      </c>
      <c r="AD20" s="40">
        <v>24.3</v>
      </c>
      <c r="AE20" s="40">
        <v>24</v>
      </c>
      <c r="AF20" s="40">
        <v>25.9</v>
      </c>
      <c r="AG20" s="40">
        <v>23.3</v>
      </c>
      <c r="AH20" s="41">
        <f t="shared" si="2"/>
        <v>25.9</v>
      </c>
      <c r="AI20" s="42">
        <f t="shared" si="3"/>
        <v>20.8</v>
      </c>
      <c r="AJ20" s="45">
        <f t="shared" si="7"/>
        <v>23.692307692307693</v>
      </c>
      <c r="AM20" s="44">
        <v>6</v>
      </c>
      <c r="AN20" s="40">
        <v>19.948483810742367</v>
      </c>
      <c r="AO20" s="40">
        <v>20.681745539238516</v>
      </c>
      <c r="AP20" s="40">
        <v>21.152517335305355</v>
      </c>
      <c r="AQ20" s="40">
        <v>21.231291069821708</v>
      </c>
      <c r="AR20" s="40">
        <v>21.025852170374819</v>
      </c>
      <c r="AS20" s="40">
        <v>21.768231046044811</v>
      </c>
      <c r="AT20" s="40">
        <v>21.945186531562147</v>
      </c>
      <c r="AU20" s="40">
        <v>21.960375502763952</v>
      </c>
      <c r="AV20" s="40">
        <v>21.916544789226339</v>
      </c>
      <c r="AW20" s="40">
        <v>22.320159974034194</v>
      </c>
      <c r="AX20" s="40">
        <v>22.232255136844188</v>
      </c>
      <c r="AY20" s="40">
        <v>25.638637508189511</v>
      </c>
      <c r="AZ20" s="40">
        <v>21.914781953827603</v>
      </c>
      <c r="BA20" s="41">
        <f t="shared" si="4"/>
        <v>25.638637508189511</v>
      </c>
      <c r="BB20" s="42">
        <f t="shared" si="5"/>
        <v>19.948483810742367</v>
      </c>
      <c r="BC20" s="45">
        <f t="shared" si="8"/>
        <v>21.825850951382733</v>
      </c>
    </row>
    <row r="21" spans="1:55" s="2" customFormat="1" ht="14.25" customHeight="1" x14ac:dyDescent="0.25">
      <c r="A21" s="44">
        <v>7</v>
      </c>
      <c r="B21" s="40">
        <v>23.8</v>
      </c>
      <c r="C21" s="40">
        <v>25</v>
      </c>
      <c r="D21" s="40">
        <v>25.7</v>
      </c>
      <c r="E21" s="40">
        <v>26.7</v>
      </c>
      <c r="F21" s="40">
        <v>28.4</v>
      </c>
      <c r="G21" s="40">
        <v>28.8</v>
      </c>
      <c r="H21" s="40">
        <v>28.8</v>
      </c>
      <c r="I21" s="40">
        <v>29.2</v>
      </c>
      <c r="J21" s="40">
        <v>28.2</v>
      </c>
      <c r="K21" s="40">
        <v>27.6</v>
      </c>
      <c r="L21" s="40">
        <v>26.8</v>
      </c>
      <c r="M21" s="40">
        <v>26.6</v>
      </c>
      <c r="N21" s="40">
        <v>25.6</v>
      </c>
      <c r="O21" s="41">
        <f t="shared" si="0"/>
        <v>29.2</v>
      </c>
      <c r="P21" s="42">
        <f t="shared" si="1"/>
        <v>23.8</v>
      </c>
      <c r="Q21" s="45">
        <f t="shared" si="6"/>
        <v>27.015384615384619</v>
      </c>
      <c r="T21" s="44">
        <v>7</v>
      </c>
      <c r="U21" s="40">
        <v>22.9</v>
      </c>
      <c r="V21" s="40">
        <v>22.9</v>
      </c>
      <c r="W21" s="40">
        <v>23.2</v>
      </c>
      <c r="X21" s="40">
        <v>23.5</v>
      </c>
      <c r="Y21" s="40">
        <v>23.9</v>
      </c>
      <c r="Z21" s="40">
        <v>24</v>
      </c>
      <c r="AA21" s="40">
        <v>23.7</v>
      </c>
      <c r="AB21" s="40">
        <v>22.6</v>
      </c>
      <c r="AC21" s="40">
        <v>22.6</v>
      </c>
      <c r="AD21" s="40">
        <v>22.6</v>
      </c>
      <c r="AE21" s="40">
        <v>22.6</v>
      </c>
      <c r="AF21" s="40">
        <v>22.6</v>
      </c>
      <c r="AG21" s="40">
        <v>22.6</v>
      </c>
      <c r="AH21" s="41">
        <f t="shared" si="2"/>
        <v>24</v>
      </c>
      <c r="AI21" s="42">
        <f t="shared" si="3"/>
        <v>22.6</v>
      </c>
      <c r="AJ21" s="45">
        <f t="shared" si="7"/>
        <v>23.053846153846152</v>
      </c>
      <c r="AM21" s="44">
        <v>7</v>
      </c>
      <c r="AN21" s="40">
        <v>22.371820186814507</v>
      </c>
      <c r="AO21" s="40">
        <v>21.786062131813019</v>
      </c>
      <c r="AP21" s="40">
        <v>21.906492813989672</v>
      </c>
      <c r="AQ21" s="40">
        <v>21.883779269336006</v>
      </c>
      <c r="AR21" s="40">
        <v>21.679482501130487</v>
      </c>
      <c r="AS21" s="40">
        <v>21.642015979127848</v>
      </c>
      <c r="AT21" s="40">
        <v>21.150257577625691</v>
      </c>
      <c r="AU21" s="40">
        <v>19.048904303384408</v>
      </c>
      <c r="AV21" s="40">
        <v>19.614827236180819</v>
      </c>
      <c r="AW21" s="40">
        <v>19.946209760988268</v>
      </c>
      <c r="AX21" s="40">
        <v>20.379000568330778</v>
      </c>
      <c r="AY21" s="40">
        <v>20.485635396168096</v>
      </c>
      <c r="AZ21" s="40">
        <v>21.009810444400333</v>
      </c>
      <c r="BA21" s="41">
        <f t="shared" si="4"/>
        <v>22.371820186814507</v>
      </c>
      <c r="BB21" s="42">
        <f t="shared" si="5"/>
        <v>19.048904303384408</v>
      </c>
      <c r="BC21" s="45">
        <f t="shared" si="8"/>
        <v>20.992638320714612</v>
      </c>
    </row>
    <row r="22" spans="1:55" s="2" customFormat="1" ht="14.25" customHeight="1" x14ac:dyDescent="0.25">
      <c r="A22" s="44">
        <v>8</v>
      </c>
      <c r="B22" s="40">
        <v>23.7</v>
      </c>
      <c r="C22" s="40">
        <v>25.4</v>
      </c>
      <c r="D22" s="40">
        <v>26.1</v>
      </c>
      <c r="E22" s="40">
        <v>27.8</v>
      </c>
      <c r="F22" s="40">
        <v>28.2</v>
      </c>
      <c r="G22" s="40">
        <v>28.8</v>
      </c>
      <c r="H22" s="40">
        <v>29</v>
      </c>
      <c r="I22" s="40">
        <v>28.6</v>
      </c>
      <c r="J22" s="40">
        <v>28.6</v>
      </c>
      <c r="K22" s="40">
        <v>28.4</v>
      </c>
      <c r="L22" s="40">
        <v>27</v>
      </c>
      <c r="M22" s="40">
        <v>26.4</v>
      </c>
      <c r="N22" s="40">
        <v>25.6</v>
      </c>
      <c r="O22" s="41">
        <f t="shared" si="0"/>
        <v>29</v>
      </c>
      <c r="P22" s="42">
        <f t="shared" si="1"/>
        <v>23.7</v>
      </c>
      <c r="Q22" s="45">
        <f t="shared" si="6"/>
        <v>27.199999999999996</v>
      </c>
      <c r="T22" s="44">
        <v>8</v>
      </c>
      <c r="U22" s="40">
        <v>22.6</v>
      </c>
      <c r="V22" s="40">
        <v>23.1</v>
      </c>
      <c r="W22" s="40">
        <v>23.1</v>
      </c>
      <c r="X22" s="40">
        <v>22.6</v>
      </c>
      <c r="Y22" s="40">
        <v>23.1</v>
      </c>
      <c r="Z22" s="40">
        <v>23.2</v>
      </c>
      <c r="AA22" s="40">
        <v>23.2</v>
      </c>
      <c r="AB22" s="40">
        <v>23.6</v>
      </c>
      <c r="AC22" s="40">
        <v>23.6</v>
      </c>
      <c r="AD22" s="40">
        <v>23.4</v>
      </c>
      <c r="AE22" s="40">
        <v>23</v>
      </c>
      <c r="AF22" s="40">
        <v>22.6</v>
      </c>
      <c r="AG22" s="40">
        <v>22.6</v>
      </c>
      <c r="AH22" s="41">
        <f t="shared" si="2"/>
        <v>23.6</v>
      </c>
      <c r="AI22" s="42">
        <f t="shared" si="3"/>
        <v>22.6</v>
      </c>
      <c r="AJ22" s="45">
        <f t="shared" si="7"/>
        <v>23.053846153846152</v>
      </c>
      <c r="AM22" s="44">
        <v>8</v>
      </c>
      <c r="AN22" s="40">
        <v>21.966882248347165</v>
      </c>
      <c r="AO22" s="40">
        <v>21.898761722620449</v>
      </c>
      <c r="AP22" s="40">
        <v>21.550542476961567</v>
      </c>
      <c r="AQ22" s="40">
        <v>19.836409339172299</v>
      </c>
      <c r="AR22" s="40">
        <v>20.465127717964371</v>
      </c>
      <c r="AS22" s="40">
        <v>20.313173065025666</v>
      </c>
      <c r="AT22" s="40">
        <v>20.205534064662203</v>
      </c>
      <c r="AU22" s="40">
        <v>21.087859813423901</v>
      </c>
      <c r="AV22" s="40">
        <v>21.087859813423901</v>
      </c>
      <c r="AW22" s="40">
        <v>20.860317420053146</v>
      </c>
      <c r="AX22" s="40">
        <v>20.930526521356214</v>
      </c>
      <c r="AY22" s="40">
        <v>20.591660485396403</v>
      </c>
      <c r="AZ22" s="40">
        <v>21.009810444400333</v>
      </c>
      <c r="BA22" s="41">
        <f t="shared" si="4"/>
        <v>21.966882248347165</v>
      </c>
      <c r="BB22" s="42">
        <f t="shared" si="5"/>
        <v>19.836409339172299</v>
      </c>
      <c r="BC22" s="45">
        <f t="shared" si="8"/>
        <v>20.908035779446742</v>
      </c>
    </row>
    <row r="23" spans="1:55" s="2" customFormat="1" ht="14.25" customHeight="1" x14ac:dyDescent="0.25">
      <c r="A23" s="44">
        <v>9</v>
      </c>
      <c r="B23" s="40">
        <v>23.6</v>
      </c>
      <c r="C23" s="40">
        <v>25.2</v>
      </c>
      <c r="D23" s="40">
        <v>27.6</v>
      </c>
      <c r="E23" s="40">
        <v>28.6</v>
      </c>
      <c r="F23" s="40">
        <v>29.2</v>
      </c>
      <c r="G23" s="40">
        <v>31.2</v>
      </c>
      <c r="H23" s="40">
        <v>30</v>
      </c>
      <c r="I23" s="40">
        <v>29.2</v>
      </c>
      <c r="J23" s="40">
        <v>29.6</v>
      </c>
      <c r="K23" s="40">
        <v>29.5</v>
      </c>
      <c r="L23" s="40">
        <v>28.3</v>
      </c>
      <c r="M23" s="40">
        <v>27</v>
      </c>
      <c r="N23" s="40">
        <v>26.3</v>
      </c>
      <c r="O23" s="41">
        <f t="shared" si="0"/>
        <v>31.2</v>
      </c>
      <c r="P23" s="42">
        <f t="shared" si="1"/>
        <v>23.6</v>
      </c>
      <c r="Q23" s="45">
        <f t="shared" si="6"/>
        <v>28.099999999999998</v>
      </c>
      <c r="T23" s="44">
        <v>9</v>
      </c>
      <c r="U23" s="40">
        <v>22.6</v>
      </c>
      <c r="V23" s="40">
        <v>23</v>
      </c>
      <c r="W23" s="40">
        <v>23</v>
      </c>
      <c r="X23" s="40">
        <v>23.5</v>
      </c>
      <c r="Y23" s="40">
        <v>23.8</v>
      </c>
      <c r="Z23" s="40">
        <v>24.2</v>
      </c>
      <c r="AA23" s="40">
        <v>24.3</v>
      </c>
      <c r="AB23" s="40">
        <v>24.2</v>
      </c>
      <c r="AC23" s="40">
        <v>24.4</v>
      </c>
      <c r="AD23" s="40">
        <v>23.7</v>
      </c>
      <c r="AE23" s="40">
        <v>23.8</v>
      </c>
      <c r="AF23" s="40">
        <v>22.8</v>
      </c>
      <c r="AG23" s="40">
        <v>23</v>
      </c>
      <c r="AH23" s="41">
        <f t="shared" si="2"/>
        <v>24.4</v>
      </c>
      <c r="AI23" s="42">
        <f t="shared" si="3"/>
        <v>22.6</v>
      </c>
      <c r="AJ23" s="45">
        <f t="shared" si="7"/>
        <v>23.561538461538461</v>
      </c>
      <c r="AM23" s="44">
        <v>9</v>
      </c>
      <c r="AN23" s="40">
        <v>22.015924267595679</v>
      </c>
      <c r="AO23" s="40">
        <v>21.842217111651138</v>
      </c>
      <c r="AP23" s="40">
        <v>20.616444191134942</v>
      </c>
      <c r="AQ23" s="40">
        <v>20.922276905433524</v>
      </c>
      <c r="AR23" s="40">
        <v>21.110504772755601</v>
      </c>
      <c r="AS23" s="40">
        <v>20.748212570885197</v>
      </c>
      <c r="AT23" s="40">
        <v>21.532732680700015</v>
      </c>
      <c r="AU23" s="40">
        <v>21.768231046044811</v>
      </c>
      <c r="AV23" s="40">
        <v>21.895953551222608</v>
      </c>
      <c r="AW23" s="40">
        <v>20.787644729983263</v>
      </c>
      <c r="AX23" s="40">
        <v>21.567557856199684</v>
      </c>
      <c r="AY23" s="40">
        <v>20.602873681847623</v>
      </c>
      <c r="AZ23" s="40">
        <v>21.290380325378276</v>
      </c>
      <c r="BA23" s="41">
        <f t="shared" si="4"/>
        <v>22.015924267595679</v>
      </c>
      <c r="BB23" s="42">
        <f t="shared" si="5"/>
        <v>20.602873681847623</v>
      </c>
      <c r="BC23" s="45">
        <f t="shared" si="8"/>
        <v>21.284688745448644</v>
      </c>
    </row>
    <row r="24" spans="1:55" s="2" customFormat="1" ht="14.25" customHeight="1" x14ac:dyDescent="0.25">
      <c r="A24" s="44">
        <v>10</v>
      </c>
      <c r="B24" s="40">
        <v>23.8</v>
      </c>
      <c r="C24" s="40">
        <v>25</v>
      </c>
      <c r="D24" s="40">
        <v>25.8</v>
      </c>
      <c r="E24" s="40">
        <v>27</v>
      </c>
      <c r="F24" s="40">
        <v>28.6</v>
      </c>
      <c r="G24" s="40">
        <v>29.8</v>
      </c>
      <c r="H24" s="40">
        <v>30.2</v>
      </c>
      <c r="I24" s="40">
        <v>29.6</v>
      </c>
      <c r="J24" s="40">
        <v>29.6</v>
      </c>
      <c r="K24" s="40">
        <v>28.4</v>
      </c>
      <c r="L24" s="40">
        <v>28.4</v>
      </c>
      <c r="M24" s="40">
        <v>26.8</v>
      </c>
      <c r="N24" s="40">
        <v>25.6</v>
      </c>
      <c r="O24" s="41">
        <f t="shared" si="0"/>
        <v>30.2</v>
      </c>
      <c r="P24" s="42">
        <f t="shared" si="1"/>
        <v>23.8</v>
      </c>
      <c r="Q24" s="45">
        <f t="shared" si="6"/>
        <v>27.584615384615383</v>
      </c>
      <c r="T24" s="44">
        <v>10</v>
      </c>
      <c r="U24" s="40">
        <v>22.6</v>
      </c>
      <c r="V24" s="40">
        <v>23.1</v>
      </c>
      <c r="W24" s="40">
        <v>23.4</v>
      </c>
      <c r="X24" s="40">
        <v>23.9</v>
      </c>
      <c r="Y24" s="40">
        <v>24.4</v>
      </c>
      <c r="Z24" s="40">
        <v>24</v>
      </c>
      <c r="AA24" s="40">
        <v>24.9</v>
      </c>
      <c r="AB24" s="40">
        <v>25.1</v>
      </c>
      <c r="AC24" s="40">
        <v>25.2</v>
      </c>
      <c r="AD24" s="40">
        <v>24.2</v>
      </c>
      <c r="AE24" s="40">
        <v>24</v>
      </c>
      <c r="AF24" s="40">
        <v>23.8</v>
      </c>
      <c r="AG24" s="40">
        <v>23.4</v>
      </c>
      <c r="AH24" s="41">
        <f t="shared" si="2"/>
        <v>25.2</v>
      </c>
      <c r="AI24" s="42">
        <f t="shared" si="3"/>
        <v>22.6</v>
      </c>
      <c r="AJ24" s="45">
        <f t="shared" si="7"/>
        <v>23.999999999999996</v>
      </c>
      <c r="AM24" s="44">
        <v>10</v>
      </c>
      <c r="AN24" s="40">
        <v>21.91771173877353</v>
      </c>
      <c r="AO24" s="40">
        <v>22.094878555418994</v>
      </c>
      <c r="AP24" s="40">
        <v>22.168141216801725</v>
      </c>
      <c r="AQ24" s="40">
        <v>22.364967773946255</v>
      </c>
      <c r="AR24" s="40">
        <v>22.382571693636379</v>
      </c>
      <c r="AS24" s="40">
        <v>21.135526160314516</v>
      </c>
      <c r="AT24" s="40">
        <v>22.4145725316748</v>
      </c>
      <c r="AU24" s="40">
        <v>23.016448789361732</v>
      </c>
      <c r="AV24" s="40">
        <v>23.173497959213115</v>
      </c>
      <c r="AW24" s="40">
        <v>22.161158941710486</v>
      </c>
      <c r="AX24" s="40">
        <v>21.840832967532137</v>
      </c>
      <c r="AY24" s="40">
        <v>22.305359709723426</v>
      </c>
      <c r="AZ24" s="40">
        <v>22.265061411393539</v>
      </c>
      <c r="BA24" s="41">
        <f t="shared" si="4"/>
        <v>23.173497959213115</v>
      </c>
      <c r="BB24" s="42">
        <f t="shared" si="5"/>
        <v>21.135526160314516</v>
      </c>
      <c r="BC24" s="45">
        <f t="shared" si="8"/>
        <v>22.249286880730818</v>
      </c>
    </row>
    <row r="25" spans="1:55" s="2" customFormat="1" ht="14.25" customHeight="1" x14ac:dyDescent="0.25">
      <c r="A25" s="44">
        <v>11</v>
      </c>
      <c r="B25" s="40">
        <v>24.2</v>
      </c>
      <c r="C25" s="40">
        <v>26.2</v>
      </c>
      <c r="D25" s="40">
        <v>28</v>
      </c>
      <c r="E25" s="40">
        <v>28.6</v>
      </c>
      <c r="F25" s="40">
        <v>29.1</v>
      </c>
      <c r="G25" s="40">
        <v>28.4</v>
      </c>
      <c r="H25" s="40">
        <v>27</v>
      </c>
      <c r="I25" s="40">
        <v>27.4</v>
      </c>
      <c r="J25" s="40">
        <v>28.9</v>
      </c>
      <c r="K25" s="40">
        <v>28.2</v>
      </c>
      <c r="L25" s="40">
        <v>26.6</v>
      </c>
      <c r="M25" s="40">
        <v>26</v>
      </c>
      <c r="N25" s="40">
        <v>25.8</v>
      </c>
      <c r="O25" s="41">
        <f t="shared" si="0"/>
        <v>29.1</v>
      </c>
      <c r="P25" s="42">
        <f t="shared" si="1"/>
        <v>24.2</v>
      </c>
      <c r="Q25" s="45">
        <f t="shared" si="6"/>
        <v>27.261538461538464</v>
      </c>
      <c r="T25" s="44">
        <v>11</v>
      </c>
      <c r="U25" s="40">
        <v>23.2</v>
      </c>
      <c r="V25" s="40">
        <v>24.2</v>
      </c>
      <c r="W25" s="40">
        <v>24.6</v>
      </c>
      <c r="X25" s="40">
        <v>25.2</v>
      </c>
      <c r="Y25" s="40">
        <v>24.7</v>
      </c>
      <c r="Z25" s="40">
        <v>25.2</v>
      </c>
      <c r="AA25" s="40">
        <v>25.3</v>
      </c>
      <c r="AB25" s="40">
        <v>25.3</v>
      </c>
      <c r="AC25" s="40">
        <v>26</v>
      </c>
      <c r="AD25" s="40">
        <v>25.1</v>
      </c>
      <c r="AE25" s="40">
        <v>24.7</v>
      </c>
      <c r="AF25" s="40">
        <v>24.1</v>
      </c>
      <c r="AG25" s="40">
        <v>24</v>
      </c>
      <c r="AH25" s="41">
        <f t="shared" si="2"/>
        <v>26</v>
      </c>
      <c r="AI25" s="42">
        <f t="shared" si="3"/>
        <v>23.2</v>
      </c>
      <c r="AJ25" s="45">
        <f t="shared" si="7"/>
        <v>24.738461538461539</v>
      </c>
      <c r="AM25" s="44">
        <v>11</v>
      </c>
      <c r="AN25" s="40">
        <v>22.631329178936141</v>
      </c>
      <c r="AO25" s="40">
        <v>23.201256751926248</v>
      </c>
      <c r="AP25" s="40">
        <v>22.979754663101517</v>
      </c>
      <c r="AQ25" s="40">
        <v>23.628701010435609</v>
      </c>
      <c r="AR25" s="40">
        <v>22.619517945782292</v>
      </c>
      <c r="AS25" s="40">
        <v>23.718447763009451</v>
      </c>
      <c r="AT25" s="40">
        <v>24.482243850575539</v>
      </c>
      <c r="AU25" s="40">
        <v>24.309414993591773</v>
      </c>
      <c r="AV25" s="40">
        <v>24.704850630483968</v>
      </c>
      <c r="AW25" s="40">
        <v>23.65589932781274</v>
      </c>
      <c r="AX25" s="40">
        <v>23.769810379525076</v>
      </c>
      <c r="AY25" s="40">
        <v>23.142593489831476</v>
      </c>
      <c r="AZ25" s="40">
        <v>23.084297681296647</v>
      </c>
      <c r="BA25" s="41">
        <f t="shared" si="4"/>
        <v>24.704850630483968</v>
      </c>
      <c r="BB25" s="42">
        <f t="shared" si="5"/>
        <v>22.619517945782292</v>
      </c>
      <c r="BC25" s="45">
        <f t="shared" si="8"/>
        <v>23.532932128177574</v>
      </c>
    </row>
    <row r="26" spans="1:55" s="2" customFormat="1" ht="14.25" customHeight="1" x14ac:dyDescent="0.25">
      <c r="A26" s="44">
        <v>12</v>
      </c>
      <c r="B26" s="40">
        <v>25.2</v>
      </c>
      <c r="C26" s="40">
        <v>26</v>
      </c>
      <c r="D26" s="40">
        <v>26.8</v>
      </c>
      <c r="E26" s="40">
        <v>28.5</v>
      </c>
      <c r="F26" s="40">
        <v>29.6</v>
      </c>
      <c r="G26" s="40">
        <v>30.2</v>
      </c>
      <c r="H26" s="40">
        <v>30.8</v>
      </c>
      <c r="I26" s="40">
        <v>29.6</v>
      </c>
      <c r="J26" s="40">
        <v>30.4</v>
      </c>
      <c r="K26" s="40">
        <v>27.8</v>
      </c>
      <c r="L26" s="40">
        <v>24.8</v>
      </c>
      <c r="M26" s="40">
        <v>24.9</v>
      </c>
      <c r="N26" s="40">
        <v>25.1</v>
      </c>
      <c r="O26" s="41">
        <f t="shared" si="0"/>
        <v>30.8</v>
      </c>
      <c r="P26" s="42">
        <f t="shared" si="1"/>
        <v>24.8</v>
      </c>
      <c r="Q26" s="45">
        <f t="shared" si="6"/>
        <v>27.669230769230769</v>
      </c>
      <c r="T26" s="44">
        <v>12</v>
      </c>
      <c r="U26" s="40">
        <v>23.8</v>
      </c>
      <c r="V26" s="40">
        <v>24</v>
      </c>
      <c r="W26" s="40">
        <v>24.3</v>
      </c>
      <c r="X26" s="40">
        <v>24.8</v>
      </c>
      <c r="Y26" s="40">
        <v>24.8</v>
      </c>
      <c r="Z26" s="40">
        <v>24.8</v>
      </c>
      <c r="AA26" s="40">
        <v>25.6</v>
      </c>
      <c r="AB26" s="40">
        <v>26</v>
      </c>
      <c r="AC26" s="40">
        <v>26.2</v>
      </c>
      <c r="AD26" s="40">
        <v>23.7</v>
      </c>
      <c r="AE26" s="40">
        <v>23.8</v>
      </c>
      <c r="AF26" s="40">
        <v>23.8</v>
      </c>
      <c r="AG26" s="40">
        <v>24.4</v>
      </c>
      <c r="AH26" s="41">
        <f t="shared" si="2"/>
        <v>26.2</v>
      </c>
      <c r="AI26" s="42">
        <f t="shared" si="3"/>
        <v>23.7</v>
      </c>
      <c r="AJ26" s="45">
        <f t="shared" si="7"/>
        <v>24.61538461538461</v>
      </c>
      <c r="AM26" s="44">
        <v>12</v>
      </c>
      <c r="AN26" s="40">
        <v>23.061719670002304</v>
      </c>
      <c r="AO26" s="40">
        <v>22.991501967304046</v>
      </c>
      <c r="AP26" s="40">
        <v>23.07596292099992</v>
      </c>
      <c r="AQ26" s="40">
        <v>23.057735740899332</v>
      </c>
      <c r="AR26" s="40">
        <v>22.540866348822316</v>
      </c>
      <c r="AS26" s="40">
        <v>22.252853752447525</v>
      </c>
      <c r="AT26" s="40">
        <v>23.251853221643302</v>
      </c>
      <c r="AU26" s="40">
        <v>24.404887683239696</v>
      </c>
      <c r="AV26" s="40">
        <v>24.362986930908228</v>
      </c>
      <c r="AW26" s="40">
        <v>21.656344429686591</v>
      </c>
      <c r="AX26" s="40">
        <v>23.246174595512937</v>
      </c>
      <c r="AY26" s="40">
        <v>23.200228895990229</v>
      </c>
      <c r="AZ26" s="40">
        <v>23.993318566443666</v>
      </c>
      <c r="BA26" s="41">
        <f t="shared" si="4"/>
        <v>24.404887683239696</v>
      </c>
      <c r="BB26" s="42">
        <f t="shared" si="5"/>
        <v>21.656344429686591</v>
      </c>
      <c r="BC26" s="45">
        <f t="shared" si="8"/>
        <v>23.161264209530778</v>
      </c>
    </row>
    <row r="27" spans="1:55" s="2" customFormat="1" ht="14.25" customHeight="1" x14ac:dyDescent="0.25">
      <c r="A27" s="44">
        <v>13</v>
      </c>
      <c r="B27" s="40">
        <v>23.8</v>
      </c>
      <c r="C27" s="40">
        <v>25.7</v>
      </c>
      <c r="D27" s="40">
        <v>27.2</v>
      </c>
      <c r="E27" s="40">
        <v>28</v>
      </c>
      <c r="F27" s="40">
        <v>28.6</v>
      </c>
      <c r="G27" s="40">
        <v>29.8</v>
      </c>
      <c r="H27" s="40">
        <v>30.4</v>
      </c>
      <c r="I27" s="40">
        <v>29.7</v>
      </c>
      <c r="J27" s="40">
        <v>26</v>
      </c>
      <c r="K27" s="40">
        <v>26.5</v>
      </c>
      <c r="L27" s="40">
        <v>25.5</v>
      </c>
      <c r="M27" s="40">
        <v>24.9</v>
      </c>
      <c r="N27" s="40">
        <v>24.3</v>
      </c>
      <c r="O27" s="41">
        <f t="shared" si="0"/>
        <v>30.4</v>
      </c>
      <c r="P27" s="42">
        <f t="shared" si="1"/>
        <v>23.8</v>
      </c>
      <c r="Q27" s="45">
        <f t="shared" si="6"/>
        <v>26.953846153846158</v>
      </c>
      <c r="T27" s="44">
        <v>13</v>
      </c>
      <c r="U27" s="40">
        <v>23</v>
      </c>
      <c r="V27" s="40">
        <v>23.6</v>
      </c>
      <c r="W27" s="40">
        <v>24.4</v>
      </c>
      <c r="X27" s="40">
        <v>24.8</v>
      </c>
      <c r="Y27" s="40">
        <v>25</v>
      </c>
      <c r="Z27" s="40">
        <v>25.8</v>
      </c>
      <c r="AA27" s="40">
        <v>25.6</v>
      </c>
      <c r="AB27" s="40">
        <v>25.2</v>
      </c>
      <c r="AC27" s="40">
        <v>23.2</v>
      </c>
      <c r="AD27" s="40">
        <v>24.2</v>
      </c>
      <c r="AE27" s="40">
        <v>23</v>
      </c>
      <c r="AF27" s="40">
        <v>22.9</v>
      </c>
      <c r="AG27" s="40">
        <v>23</v>
      </c>
      <c r="AH27" s="41">
        <f t="shared" si="2"/>
        <v>25.8</v>
      </c>
      <c r="AI27" s="42">
        <f t="shared" si="3"/>
        <v>22.9</v>
      </c>
      <c r="AJ27" s="45">
        <f t="shared" si="7"/>
        <v>24.130769230769225</v>
      </c>
      <c r="AM27" s="44">
        <v>13</v>
      </c>
      <c r="AN27" s="40">
        <v>22.521858915865991</v>
      </c>
      <c r="AO27" s="40">
        <v>22.52400204516346</v>
      </c>
      <c r="AP27" s="40">
        <v>23.043390041601409</v>
      </c>
      <c r="AQ27" s="40">
        <v>23.28808865472617</v>
      </c>
      <c r="AR27" s="40">
        <v>23.321392650725961</v>
      </c>
      <c r="AS27" s="40">
        <v>24.013096932917858</v>
      </c>
      <c r="AT27" s="40">
        <v>23.434498887866557</v>
      </c>
      <c r="AU27" s="40">
        <v>23.127371239013709</v>
      </c>
      <c r="AV27" s="40">
        <v>21.758108440057615</v>
      </c>
      <c r="AW27" s="40">
        <v>23.062751389564443</v>
      </c>
      <c r="AX27" s="40">
        <v>21.693322799263363</v>
      </c>
      <c r="AY27" s="40">
        <v>21.835579482305842</v>
      </c>
      <c r="AZ27" s="40">
        <v>22.281939548814325</v>
      </c>
      <c r="BA27" s="41">
        <f t="shared" si="4"/>
        <v>24.013096932917858</v>
      </c>
      <c r="BB27" s="42">
        <f t="shared" si="5"/>
        <v>21.693322799263363</v>
      </c>
      <c r="BC27" s="45">
        <f t="shared" si="8"/>
        <v>22.761953925222052</v>
      </c>
    </row>
    <row r="28" spans="1:55" s="2" customFormat="1" ht="14.25" customHeight="1" x14ac:dyDescent="0.25">
      <c r="A28" s="44">
        <v>14</v>
      </c>
      <c r="B28" s="40">
        <v>23.8</v>
      </c>
      <c r="C28" s="40">
        <v>25.8</v>
      </c>
      <c r="D28" s="40">
        <v>27.1</v>
      </c>
      <c r="E28" s="40">
        <v>28.7</v>
      </c>
      <c r="F28" s="40">
        <v>29.4</v>
      </c>
      <c r="G28" s="40">
        <v>29.3</v>
      </c>
      <c r="H28" s="40">
        <v>29.2</v>
      </c>
      <c r="I28" s="40">
        <v>26.2</v>
      </c>
      <c r="J28" s="40">
        <v>26.2</v>
      </c>
      <c r="K28" s="40">
        <v>26.4</v>
      </c>
      <c r="L28" s="40">
        <v>26.4</v>
      </c>
      <c r="M28" s="40">
        <v>26.4</v>
      </c>
      <c r="N28" s="40">
        <v>24.6</v>
      </c>
      <c r="O28" s="41">
        <f t="shared" si="0"/>
        <v>29.4</v>
      </c>
      <c r="P28" s="42">
        <f t="shared" si="1"/>
        <v>23.8</v>
      </c>
      <c r="Q28" s="45">
        <f t="shared" si="6"/>
        <v>26.88461538461538</v>
      </c>
      <c r="T28" s="44">
        <v>14</v>
      </c>
      <c r="U28" s="40">
        <v>22.8</v>
      </c>
      <c r="V28" s="40">
        <v>23.7</v>
      </c>
      <c r="W28" s="40">
        <v>23.9</v>
      </c>
      <c r="X28" s="40">
        <v>24.6</v>
      </c>
      <c r="Y28" s="40">
        <v>25</v>
      </c>
      <c r="Z28" s="40">
        <v>25.5</v>
      </c>
      <c r="AA28" s="40">
        <v>25.6</v>
      </c>
      <c r="AB28" s="40">
        <v>24.8</v>
      </c>
      <c r="AC28" s="40">
        <v>24.8</v>
      </c>
      <c r="AD28" s="40">
        <v>24.8</v>
      </c>
      <c r="AE28" s="40">
        <v>24.8</v>
      </c>
      <c r="AF28" s="40">
        <v>24.8</v>
      </c>
      <c r="AG28" s="40">
        <v>23</v>
      </c>
      <c r="AH28" s="41">
        <f t="shared" si="2"/>
        <v>25.6</v>
      </c>
      <c r="AI28" s="42">
        <f t="shared" si="3"/>
        <v>22.8</v>
      </c>
      <c r="AJ28" s="45">
        <f t="shared" si="7"/>
        <v>24.469230769230769</v>
      </c>
      <c r="AM28" s="44">
        <v>14</v>
      </c>
      <c r="AN28" s="40">
        <v>22.221122917405996</v>
      </c>
      <c r="AO28" s="40">
        <v>22.629284816087463</v>
      </c>
      <c r="AP28" s="40">
        <v>22.316825185415933</v>
      </c>
      <c r="AQ28" s="40">
        <v>22.651117625427016</v>
      </c>
      <c r="AR28" s="40">
        <v>22.952122264170168</v>
      </c>
      <c r="AS28" s="40">
        <v>23.774753479633578</v>
      </c>
      <c r="AT28" s="40">
        <v>23.972138646793855</v>
      </c>
      <c r="AU28" s="40">
        <v>24.09497496904363</v>
      </c>
      <c r="AV28" s="40">
        <v>24.09497496904363</v>
      </c>
      <c r="AW28" s="40">
        <v>24.00699031261323</v>
      </c>
      <c r="AX28" s="40">
        <v>24.00699031261323</v>
      </c>
      <c r="AY28" s="40">
        <v>24.00699031261323</v>
      </c>
      <c r="AZ28" s="40">
        <v>22.13650602405399</v>
      </c>
      <c r="BA28" s="41">
        <f t="shared" si="4"/>
        <v>24.09497496904363</v>
      </c>
      <c r="BB28" s="42">
        <f t="shared" si="5"/>
        <v>22.13650602405399</v>
      </c>
      <c r="BC28" s="45">
        <f t="shared" si="8"/>
        <v>23.297291679608843</v>
      </c>
    </row>
    <row r="29" spans="1:55" s="2" customFormat="1" ht="14.25" customHeight="1" x14ac:dyDescent="0.25">
      <c r="A29" s="44">
        <v>15</v>
      </c>
      <c r="B29" s="40">
        <v>25</v>
      </c>
      <c r="C29" s="40">
        <v>26.5</v>
      </c>
      <c r="D29" s="40">
        <v>27.2</v>
      </c>
      <c r="E29" s="40">
        <v>29.2</v>
      </c>
      <c r="F29" s="40">
        <v>30.3</v>
      </c>
      <c r="G29" s="40">
        <v>31.2</v>
      </c>
      <c r="H29" s="40">
        <v>32.200000000000003</v>
      </c>
      <c r="I29" s="40">
        <v>30.6</v>
      </c>
      <c r="J29" s="40">
        <v>28.4</v>
      </c>
      <c r="K29" s="40">
        <v>26.2</v>
      </c>
      <c r="L29" s="40">
        <v>25.2</v>
      </c>
      <c r="M29" s="40">
        <v>24.6</v>
      </c>
      <c r="N29" s="40">
        <v>25.2</v>
      </c>
      <c r="O29" s="41">
        <f t="shared" si="0"/>
        <v>32.200000000000003</v>
      </c>
      <c r="P29" s="42">
        <f t="shared" si="1"/>
        <v>24.6</v>
      </c>
      <c r="Q29" s="45">
        <f t="shared" si="6"/>
        <v>27.830769230769231</v>
      </c>
      <c r="T29" s="44">
        <v>15</v>
      </c>
      <c r="U29" s="40">
        <v>23.3</v>
      </c>
      <c r="V29" s="40">
        <v>24.2</v>
      </c>
      <c r="W29" s="40">
        <v>24</v>
      </c>
      <c r="X29" s="40">
        <v>24.8</v>
      </c>
      <c r="Y29" s="40">
        <v>25</v>
      </c>
      <c r="Z29" s="40">
        <v>25.2</v>
      </c>
      <c r="AA29" s="40">
        <v>25.2</v>
      </c>
      <c r="AB29" s="40">
        <v>25.8</v>
      </c>
      <c r="AC29" s="40">
        <v>24.9</v>
      </c>
      <c r="AD29" s="40">
        <v>24.8</v>
      </c>
      <c r="AE29" s="40">
        <v>24.2</v>
      </c>
      <c r="AF29" s="40">
        <v>23.8</v>
      </c>
      <c r="AG29" s="40">
        <v>24.6</v>
      </c>
      <c r="AH29" s="41">
        <f t="shared" si="2"/>
        <v>25.8</v>
      </c>
      <c r="AI29" s="42">
        <f t="shared" si="3"/>
        <v>23.3</v>
      </c>
      <c r="AJ29" s="45">
        <f t="shared" si="7"/>
        <v>24.600000000000005</v>
      </c>
      <c r="AM29" s="44">
        <v>15</v>
      </c>
      <c r="AN29" s="40">
        <v>22.400885909362238</v>
      </c>
      <c r="AO29" s="40">
        <v>23.062751389564443</v>
      </c>
      <c r="AP29" s="40">
        <v>22.424951840849836</v>
      </c>
      <c r="AQ29" s="40">
        <v>22.730458944972405</v>
      </c>
      <c r="AR29" s="40">
        <v>22.527890548735694</v>
      </c>
      <c r="AS29" s="40">
        <v>22.421621048731168</v>
      </c>
      <c r="AT29" s="40">
        <v>21.936000801209175</v>
      </c>
      <c r="AU29" s="40">
        <v>23.657131550071426</v>
      </c>
      <c r="AV29" s="40">
        <v>23.258658976964448</v>
      </c>
      <c r="AW29" s="40">
        <v>24.09497496904363</v>
      </c>
      <c r="AX29" s="40">
        <v>23.655772475405435</v>
      </c>
      <c r="AY29" s="40">
        <v>23.337733422817518</v>
      </c>
      <c r="AZ29" s="40">
        <v>24.240171052708501</v>
      </c>
      <c r="BA29" s="41">
        <f t="shared" si="4"/>
        <v>24.240171052708501</v>
      </c>
      <c r="BB29" s="42">
        <f t="shared" si="5"/>
        <v>21.936000801209175</v>
      </c>
      <c r="BC29" s="45">
        <f t="shared" si="8"/>
        <v>23.05761561003353</v>
      </c>
    </row>
    <row r="30" spans="1:55" s="2" customFormat="1" ht="14.25" customHeight="1" x14ac:dyDescent="0.25">
      <c r="A30" s="44">
        <v>16</v>
      </c>
      <c r="B30" s="40">
        <v>25.1</v>
      </c>
      <c r="C30" s="40">
        <v>27</v>
      </c>
      <c r="D30" s="40">
        <v>27.6</v>
      </c>
      <c r="E30" s="40">
        <v>28.7</v>
      </c>
      <c r="F30" s="40">
        <v>29.6</v>
      </c>
      <c r="G30" s="40">
        <v>29.9</v>
      </c>
      <c r="H30" s="40">
        <v>29.8</v>
      </c>
      <c r="I30" s="40">
        <v>29.4</v>
      </c>
      <c r="J30" s="40">
        <v>27.8</v>
      </c>
      <c r="K30" s="40">
        <v>28</v>
      </c>
      <c r="L30" s="40">
        <v>27.6</v>
      </c>
      <c r="M30" s="40">
        <v>27</v>
      </c>
      <c r="N30" s="40">
        <v>26.4</v>
      </c>
      <c r="O30" s="41">
        <f t="shared" si="0"/>
        <v>29.9</v>
      </c>
      <c r="P30" s="42">
        <f t="shared" si="1"/>
        <v>25.1</v>
      </c>
      <c r="Q30" s="45">
        <f t="shared" si="6"/>
        <v>27.992307692307694</v>
      </c>
      <c r="T30" s="44">
        <v>16</v>
      </c>
      <c r="U30" s="40">
        <v>24.1</v>
      </c>
      <c r="V30" s="40">
        <v>24.8</v>
      </c>
      <c r="W30" s="40">
        <v>24.8</v>
      </c>
      <c r="X30" s="40">
        <v>24.9</v>
      </c>
      <c r="Y30" s="40">
        <v>25.7</v>
      </c>
      <c r="Z30" s="40">
        <v>25.4</v>
      </c>
      <c r="AA30" s="40">
        <v>26.2</v>
      </c>
      <c r="AB30" s="40">
        <v>26</v>
      </c>
      <c r="AC30" s="40">
        <v>25.4</v>
      </c>
      <c r="AD30" s="40">
        <v>25.4</v>
      </c>
      <c r="AE30" s="40">
        <v>24.8</v>
      </c>
      <c r="AF30" s="40">
        <v>24.2</v>
      </c>
      <c r="AG30" s="40">
        <v>24.2</v>
      </c>
      <c r="AH30" s="41">
        <f t="shared" si="2"/>
        <v>26.2</v>
      </c>
      <c r="AI30" s="42">
        <f t="shared" si="3"/>
        <v>24.1</v>
      </c>
      <c r="AJ30" s="45">
        <f t="shared" si="7"/>
        <v>25.069230769230767</v>
      </c>
      <c r="AM30" s="44">
        <v>16</v>
      </c>
      <c r="AN30" s="40">
        <v>23.553394953907592</v>
      </c>
      <c r="AO30" s="40">
        <v>23.740574438114979</v>
      </c>
      <c r="AP30" s="40">
        <v>23.470377859669266</v>
      </c>
      <c r="AQ30" s="40">
        <v>23.120567567523828</v>
      </c>
      <c r="AR30" s="40">
        <v>23.948166363152563</v>
      </c>
      <c r="AS30" s="40">
        <v>23.348998535378588</v>
      </c>
      <c r="AT30" s="40">
        <v>24.62094772066326</v>
      </c>
      <c r="AU30" s="40">
        <v>24.491071560371971</v>
      </c>
      <c r="AV30" s="40">
        <v>24.284221531671822</v>
      </c>
      <c r="AW30" s="40">
        <v>24.197102507728658</v>
      </c>
      <c r="AX30" s="40">
        <v>23.470377859669266</v>
      </c>
      <c r="AY30" s="40">
        <v>22.829633194937365</v>
      </c>
      <c r="AZ30" s="40">
        <v>23.109032442757304</v>
      </c>
      <c r="BA30" s="41">
        <f t="shared" si="4"/>
        <v>24.62094772066326</v>
      </c>
      <c r="BB30" s="42">
        <f t="shared" si="5"/>
        <v>22.829633194937365</v>
      </c>
      <c r="BC30" s="45">
        <f t="shared" si="8"/>
        <v>23.706497425811264</v>
      </c>
    </row>
    <row r="31" spans="1:55" s="2" customFormat="1" ht="14.25" customHeight="1" x14ac:dyDescent="0.25">
      <c r="A31" s="44">
        <v>17</v>
      </c>
      <c r="B31" s="40">
        <v>24.4</v>
      </c>
      <c r="C31" s="40">
        <v>25.4</v>
      </c>
      <c r="D31" s="40">
        <v>27.2</v>
      </c>
      <c r="E31" s="40">
        <v>28.1</v>
      </c>
      <c r="F31" s="40">
        <v>29.1</v>
      </c>
      <c r="G31" s="40">
        <v>30</v>
      </c>
      <c r="H31" s="40">
        <v>29.8</v>
      </c>
      <c r="I31" s="40">
        <v>30.1</v>
      </c>
      <c r="J31" s="40">
        <v>30.2</v>
      </c>
      <c r="K31" s="40">
        <v>30.1</v>
      </c>
      <c r="L31" s="40">
        <v>28</v>
      </c>
      <c r="M31" s="40">
        <v>26.7</v>
      </c>
      <c r="N31" s="40">
        <v>25.6</v>
      </c>
      <c r="O31" s="41">
        <f t="shared" si="0"/>
        <v>30.2</v>
      </c>
      <c r="P31" s="42">
        <f t="shared" si="1"/>
        <v>24.4</v>
      </c>
      <c r="Q31" s="45">
        <f t="shared" si="6"/>
        <v>28.053846153846152</v>
      </c>
      <c r="T31" s="44">
        <v>17</v>
      </c>
      <c r="U31" s="40">
        <v>23.2</v>
      </c>
      <c r="V31" s="40">
        <v>23.6</v>
      </c>
      <c r="W31" s="40">
        <v>23.4</v>
      </c>
      <c r="X31" s="40">
        <v>24.2</v>
      </c>
      <c r="Y31" s="40">
        <v>23.9</v>
      </c>
      <c r="Z31" s="40">
        <v>23.8</v>
      </c>
      <c r="AA31" s="40">
        <v>24.2</v>
      </c>
      <c r="AB31" s="40">
        <v>24.4</v>
      </c>
      <c r="AC31" s="40">
        <v>24.4</v>
      </c>
      <c r="AD31" s="40">
        <v>24.2</v>
      </c>
      <c r="AE31" s="40">
        <v>23.7</v>
      </c>
      <c r="AF31" s="40">
        <v>23.2</v>
      </c>
      <c r="AG31" s="40">
        <v>22.6</v>
      </c>
      <c r="AH31" s="41">
        <f t="shared" si="2"/>
        <v>24.4</v>
      </c>
      <c r="AI31" s="42">
        <f t="shared" si="3"/>
        <v>22.6</v>
      </c>
      <c r="AJ31" s="45">
        <f t="shared" si="7"/>
        <v>23.753846153846155</v>
      </c>
      <c r="AM31" s="44">
        <v>17</v>
      </c>
      <c r="AN31" s="40">
        <v>22.536281516172753</v>
      </c>
      <c r="AO31" s="40">
        <v>22.666490581585112</v>
      </c>
      <c r="AP31" s="40">
        <v>21.47531350306749</v>
      </c>
      <c r="AQ31" s="40">
        <v>22.30641362716435</v>
      </c>
      <c r="AR31" s="40">
        <v>21.32710289332438</v>
      </c>
      <c r="AS31" s="40">
        <v>20.694608390520273</v>
      </c>
      <c r="AT31" s="40">
        <v>21.468033312860303</v>
      </c>
      <c r="AU31" s="40">
        <v>21.647830495696322</v>
      </c>
      <c r="AV31" s="40">
        <v>21.597809010828609</v>
      </c>
      <c r="AW31" s="40">
        <v>21.316107762241245</v>
      </c>
      <c r="AX31" s="40">
        <v>21.556217396268224</v>
      </c>
      <c r="AY31" s="40">
        <v>21.407236096293737</v>
      </c>
      <c r="AZ31" s="40">
        <v>21.009810444400333</v>
      </c>
      <c r="BA31" s="41">
        <f t="shared" si="4"/>
        <v>22.666490581585112</v>
      </c>
      <c r="BB31" s="42">
        <f t="shared" si="5"/>
        <v>20.694608390520273</v>
      </c>
      <c r="BC31" s="45">
        <f t="shared" si="8"/>
        <v>21.616096540801777</v>
      </c>
    </row>
    <row r="32" spans="1:55" s="2" customFormat="1" ht="14.25" customHeight="1" x14ac:dyDescent="0.25">
      <c r="A32" s="44">
        <v>18</v>
      </c>
      <c r="B32" s="40">
        <v>23.4</v>
      </c>
      <c r="C32" s="40">
        <v>25.2</v>
      </c>
      <c r="D32" s="40">
        <v>27.1</v>
      </c>
      <c r="E32" s="40">
        <v>28.1</v>
      </c>
      <c r="F32" s="40">
        <v>28.6</v>
      </c>
      <c r="G32" s="40">
        <v>29.6</v>
      </c>
      <c r="H32" s="40">
        <v>29.7</v>
      </c>
      <c r="I32" s="40">
        <v>29.6</v>
      </c>
      <c r="J32" s="40">
        <v>29.1</v>
      </c>
      <c r="K32" s="40">
        <v>28.2</v>
      </c>
      <c r="L32" s="40">
        <v>27.1</v>
      </c>
      <c r="M32" s="40">
        <v>26.2</v>
      </c>
      <c r="N32" s="40">
        <v>25.8</v>
      </c>
      <c r="O32" s="41">
        <f t="shared" si="0"/>
        <v>29.7</v>
      </c>
      <c r="P32" s="42">
        <f t="shared" si="1"/>
        <v>23.4</v>
      </c>
      <c r="Q32" s="45">
        <f t="shared" si="6"/>
        <v>27.515384615384615</v>
      </c>
      <c r="T32" s="44">
        <v>18</v>
      </c>
      <c r="U32" s="40">
        <v>22.4</v>
      </c>
      <c r="V32" s="40">
        <v>22.6</v>
      </c>
      <c r="W32" s="40">
        <v>22.9</v>
      </c>
      <c r="X32" s="40">
        <v>22.9</v>
      </c>
      <c r="Y32" s="40">
        <v>23.2</v>
      </c>
      <c r="Z32" s="40">
        <v>23.9</v>
      </c>
      <c r="AA32" s="40">
        <v>24.2</v>
      </c>
      <c r="AB32" s="40">
        <v>23.8</v>
      </c>
      <c r="AC32" s="40">
        <v>24</v>
      </c>
      <c r="AD32" s="40">
        <v>23.6</v>
      </c>
      <c r="AE32" s="40">
        <v>23.4</v>
      </c>
      <c r="AF32" s="40">
        <v>22.8</v>
      </c>
      <c r="AG32" s="40">
        <v>22.6</v>
      </c>
      <c r="AH32" s="41">
        <f t="shared" si="2"/>
        <v>24.2</v>
      </c>
      <c r="AI32" s="42">
        <f t="shared" si="3"/>
        <v>22.4</v>
      </c>
      <c r="AJ32" s="45">
        <f t="shared" si="7"/>
        <v>23.253846153846155</v>
      </c>
      <c r="AM32" s="44">
        <v>18</v>
      </c>
      <c r="AN32" s="40">
        <v>21.810660692606927</v>
      </c>
      <c r="AO32" s="40">
        <v>21.215414323906355</v>
      </c>
      <c r="AP32" s="40">
        <v>20.714687698917423</v>
      </c>
      <c r="AQ32" s="40">
        <v>20.181979815632932</v>
      </c>
      <c r="AR32" s="40">
        <v>20.420189969101443</v>
      </c>
      <c r="AS32" s="40">
        <v>21.071269404202681</v>
      </c>
      <c r="AT32" s="40">
        <v>21.518401932247901</v>
      </c>
      <c r="AU32" s="40">
        <v>20.90371855993515</v>
      </c>
      <c r="AV32" s="40">
        <v>21.491505292306083</v>
      </c>
      <c r="AW32" s="40">
        <v>21.292621589976143</v>
      </c>
      <c r="AX32" s="40">
        <v>21.525660088028079</v>
      </c>
      <c r="AY32" s="40">
        <v>21.020779142687349</v>
      </c>
      <c r="AZ32" s="40">
        <v>20.906151155607944</v>
      </c>
      <c r="BA32" s="41">
        <f t="shared" si="4"/>
        <v>21.810660692606927</v>
      </c>
      <c r="BB32" s="42">
        <f t="shared" si="5"/>
        <v>20.181979815632932</v>
      </c>
      <c r="BC32" s="45">
        <f t="shared" si="8"/>
        <v>21.082541512704342</v>
      </c>
    </row>
    <row r="33" spans="1:55" s="2" customFormat="1" ht="14.25" customHeight="1" x14ac:dyDescent="0.25">
      <c r="A33" s="44">
        <v>19</v>
      </c>
      <c r="B33" s="40">
        <v>23.1</v>
      </c>
      <c r="C33" s="40">
        <v>25</v>
      </c>
      <c r="D33" s="40">
        <v>27</v>
      </c>
      <c r="E33" s="40">
        <v>28.3</v>
      </c>
      <c r="F33" s="40">
        <v>29.4</v>
      </c>
      <c r="G33" s="40">
        <v>29.2</v>
      </c>
      <c r="H33" s="40">
        <v>29</v>
      </c>
      <c r="I33" s="40">
        <v>28.6</v>
      </c>
      <c r="J33" s="40">
        <v>29</v>
      </c>
      <c r="K33" s="40">
        <v>27.7</v>
      </c>
      <c r="L33" s="40">
        <v>26.8</v>
      </c>
      <c r="M33" s="40">
        <v>26.3</v>
      </c>
      <c r="N33" s="40">
        <v>25.6</v>
      </c>
      <c r="O33" s="41">
        <f t="shared" si="0"/>
        <v>29.4</v>
      </c>
      <c r="P33" s="42">
        <f t="shared" si="1"/>
        <v>23.1</v>
      </c>
      <c r="Q33" s="45">
        <f t="shared" si="6"/>
        <v>27.307692307692307</v>
      </c>
      <c r="T33" s="44">
        <v>19</v>
      </c>
      <c r="U33" s="40">
        <v>21.9</v>
      </c>
      <c r="V33" s="40">
        <v>23</v>
      </c>
      <c r="W33" s="40">
        <v>23.2</v>
      </c>
      <c r="X33" s="40">
        <v>23.9</v>
      </c>
      <c r="Y33" s="40">
        <v>23.9</v>
      </c>
      <c r="Z33" s="40">
        <v>23.9</v>
      </c>
      <c r="AA33" s="40">
        <v>24.3</v>
      </c>
      <c r="AB33" s="40">
        <v>24</v>
      </c>
      <c r="AC33" s="40">
        <v>24</v>
      </c>
      <c r="AD33" s="40">
        <v>23.6</v>
      </c>
      <c r="AE33" s="40">
        <v>23.3</v>
      </c>
      <c r="AF33" s="40">
        <v>23</v>
      </c>
      <c r="AG33" s="40">
        <v>22.9</v>
      </c>
      <c r="AH33" s="41">
        <f t="shared" si="2"/>
        <v>24.3</v>
      </c>
      <c r="AI33" s="42">
        <f t="shared" si="3"/>
        <v>21.9</v>
      </c>
      <c r="AJ33" s="45">
        <f t="shared" si="7"/>
        <v>23.45384615384615</v>
      </c>
      <c r="AM33" s="44">
        <v>19</v>
      </c>
      <c r="AN33" s="40">
        <v>21.195147077726848</v>
      </c>
      <c r="AO33" s="40">
        <v>21.940827013458751</v>
      </c>
      <c r="AP33" s="40">
        <v>21.254822411557498</v>
      </c>
      <c r="AQ33" s="40">
        <v>21.729285010984476</v>
      </c>
      <c r="AR33" s="40">
        <v>21.174024297729151</v>
      </c>
      <c r="AS33" s="40">
        <v>21.276216091787042</v>
      </c>
      <c r="AT33" s="40">
        <v>22.02873246371059</v>
      </c>
      <c r="AU33" s="40">
        <v>21.741688210998174</v>
      </c>
      <c r="AV33" s="40">
        <v>21.541810194989623</v>
      </c>
      <c r="AW33" s="40">
        <v>21.545455353633475</v>
      </c>
      <c r="AX33" s="40">
        <v>21.516623527620698</v>
      </c>
      <c r="AY33" s="40">
        <v>21.290380325378276</v>
      </c>
      <c r="AZ33" s="40">
        <v>21.486176608450648</v>
      </c>
      <c r="BA33" s="41">
        <f t="shared" si="4"/>
        <v>22.02873246371059</v>
      </c>
      <c r="BB33" s="42">
        <f t="shared" si="5"/>
        <v>21.174024297729151</v>
      </c>
      <c r="BC33" s="45">
        <f t="shared" si="8"/>
        <v>21.517014506771172</v>
      </c>
    </row>
    <row r="34" spans="1:55" s="2" customFormat="1" ht="14.25" customHeight="1" x14ac:dyDescent="0.25">
      <c r="A34" s="44">
        <v>20</v>
      </c>
      <c r="B34" s="40">
        <v>23</v>
      </c>
      <c r="C34" s="40">
        <v>24.3</v>
      </c>
      <c r="D34" s="40">
        <v>26</v>
      </c>
      <c r="E34" s="40">
        <v>27.8</v>
      </c>
      <c r="F34" s="40">
        <v>29.2</v>
      </c>
      <c r="G34" s="40">
        <v>29.6</v>
      </c>
      <c r="H34" s="40">
        <v>30.5</v>
      </c>
      <c r="I34" s="40">
        <v>30.4</v>
      </c>
      <c r="J34" s="40">
        <v>29</v>
      </c>
      <c r="K34" s="40">
        <v>28</v>
      </c>
      <c r="L34" s="40">
        <v>27.4</v>
      </c>
      <c r="M34" s="40">
        <v>26.4</v>
      </c>
      <c r="N34" s="40">
        <v>25.8</v>
      </c>
      <c r="O34" s="41">
        <f t="shared" si="0"/>
        <v>30.5</v>
      </c>
      <c r="P34" s="42">
        <f t="shared" si="1"/>
        <v>23</v>
      </c>
      <c r="Q34" s="45">
        <f t="shared" si="6"/>
        <v>27.492307692307687</v>
      </c>
      <c r="T34" s="44">
        <v>20</v>
      </c>
      <c r="U34" s="40">
        <v>21.3</v>
      </c>
      <c r="V34" s="40">
        <v>21.8</v>
      </c>
      <c r="W34" s="40">
        <v>22</v>
      </c>
      <c r="X34" s="40">
        <v>22.6</v>
      </c>
      <c r="Y34" s="40">
        <v>22.8</v>
      </c>
      <c r="Z34" s="40">
        <v>23.4</v>
      </c>
      <c r="AA34" s="40">
        <v>23.8</v>
      </c>
      <c r="AB34" s="40">
        <v>24.8</v>
      </c>
      <c r="AC34" s="40">
        <v>24</v>
      </c>
      <c r="AD34" s="40">
        <v>23.6</v>
      </c>
      <c r="AE34" s="40">
        <v>22.6</v>
      </c>
      <c r="AF34" s="40">
        <v>22.6</v>
      </c>
      <c r="AG34" s="40">
        <v>22.4</v>
      </c>
      <c r="AH34" s="41">
        <f t="shared" si="2"/>
        <v>24.8</v>
      </c>
      <c r="AI34" s="42">
        <f t="shared" si="3"/>
        <v>21.3</v>
      </c>
      <c r="AJ34" s="45">
        <f t="shared" si="7"/>
        <v>22.9</v>
      </c>
      <c r="AM34" s="44">
        <v>20</v>
      </c>
      <c r="AN34" s="40">
        <v>20.30856805924488</v>
      </c>
      <c r="AO34" s="40">
        <v>20.41058687426267</v>
      </c>
      <c r="AP34" s="40">
        <v>19.815947215930528</v>
      </c>
      <c r="AQ34" s="40">
        <v>19.836409339172299</v>
      </c>
      <c r="AR34" s="40">
        <v>19.402498249843418</v>
      </c>
      <c r="AS34" s="40">
        <v>20.224288506437016</v>
      </c>
      <c r="AT34" s="40">
        <v>20.429865668764805</v>
      </c>
      <c r="AU34" s="40">
        <v>22.155861844971266</v>
      </c>
      <c r="AV34" s="40">
        <v>21.541810194989623</v>
      </c>
      <c r="AW34" s="40">
        <v>21.394166031907911</v>
      </c>
      <c r="AX34" s="40">
        <v>20.055360970993739</v>
      </c>
      <c r="AY34" s="40">
        <v>20.591660485396403</v>
      </c>
      <c r="AZ34" s="40">
        <v>20.582787736949729</v>
      </c>
      <c r="BA34" s="41">
        <f t="shared" si="4"/>
        <v>22.155861844971266</v>
      </c>
      <c r="BB34" s="42">
        <f t="shared" si="5"/>
        <v>19.402498249843418</v>
      </c>
      <c r="BC34" s="45">
        <f t="shared" si="8"/>
        <v>20.519216244528021</v>
      </c>
    </row>
    <row r="35" spans="1:55" s="2" customFormat="1" ht="14.25" customHeight="1" x14ac:dyDescent="0.25">
      <c r="A35" s="44">
        <v>21</v>
      </c>
      <c r="B35" s="40">
        <v>24</v>
      </c>
      <c r="C35" s="40">
        <v>24.5</v>
      </c>
      <c r="D35" s="40">
        <v>25.2</v>
      </c>
      <c r="E35" s="40">
        <v>26.2</v>
      </c>
      <c r="F35" s="40">
        <v>27.2</v>
      </c>
      <c r="G35" s="40">
        <v>28.1</v>
      </c>
      <c r="H35" s="40">
        <v>28.6</v>
      </c>
      <c r="I35" s="40">
        <v>29</v>
      </c>
      <c r="J35" s="40">
        <v>29</v>
      </c>
      <c r="K35" s="40">
        <v>28</v>
      </c>
      <c r="L35" s="40">
        <v>27.4</v>
      </c>
      <c r="M35" s="40">
        <v>26.4</v>
      </c>
      <c r="N35" s="40">
        <v>25.6</v>
      </c>
      <c r="O35" s="41">
        <f t="shared" si="0"/>
        <v>29</v>
      </c>
      <c r="P35" s="42">
        <f t="shared" si="1"/>
        <v>24</v>
      </c>
      <c r="Q35" s="45">
        <f t="shared" si="6"/>
        <v>26.861538461538462</v>
      </c>
      <c r="T35" s="44">
        <v>21</v>
      </c>
      <c r="U35" s="40">
        <v>22.1</v>
      </c>
      <c r="V35" s="40">
        <v>22.4</v>
      </c>
      <c r="W35" s="40">
        <v>22.6</v>
      </c>
      <c r="X35" s="40">
        <v>23</v>
      </c>
      <c r="Y35" s="40">
        <v>23.4</v>
      </c>
      <c r="Z35" s="40">
        <v>23.9</v>
      </c>
      <c r="AA35" s="40">
        <v>24</v>
      </c>
      <c r="AB35" s="40">
        <v>24.2</v>
      </c>
      <c r="AC35" s="40">
        <v>24.2</v>
      </c>
      <c r="AD35" s="40">
        <v>24</v>
      </c>
      <c r="AE35" s="40">
        <v>23.6</v>
      </c>
      <c r="AF35" s="40">
        <v>23.4</v>
      </c>
      <c r="AG35" s="40">
        <v>23</v>
      </c>
      <c r="AH35" s="41">
        <f t="shared" si="2"/>
        <v>24.2</v>
      </c>
      <c r="AI35" s="42">
        <f t="shared" si="3"/>
        <v>22.1</v>
      </c>
      <c r="AJ35" s="45">
        <f t="shared" si="7"/>
        <v>23.369230769230764</v>
      </c>
      <c r="AM35" s="44">
        <v>21</v>
      </c>
      <c r="AN35" s="40">
        <v>21.044023775352823</v>
      </c>
      <c r="AO35" s="40">
        <v>21.257898531220473</v>
      </c>
      <c r="AP35" s="40">
        <v>21.215414323906355</v>
      </c>
      <c r="AQ35" s="40">
        <v>21.341225833058971</v>
      </c>
      <c r="AR35" s="40">
        <v>21.47531350306749</v>
      </c>
      <c r="AS35" s="40">
        <v>21.828494619013277</v>
      </c>
      <c r="AT35" s="40">
        <v>21.741688210998174</v>
      </c>
      <c r="AU35" s="40">
        <v>21.867237103039482</v>
      </c>
      <c r="AV35" s="40">
        <v>21.867237103039482</v>
      </c>
      <c r="AW35" s="40">
        <v>22.037563837182521</v>
      </c>
      <c r="AX35" s="40">
        <v>21.695530782643495</v>
      </c>
      <c r="AY35" s="40">
        <v>21.874344326048448</v>
      </c>
      <c r="AZ35" s="40">
        <v>21.643427181375159</v>
      </c>
      <c r="BA35" s="41">
        <f t="shared" si="4"/>
        <v>22.037563837182521</v>
      </c>
      <c r="BB35" s="42">
        <f t="shared" si="5"/>
        <v>21.044023775352823</v>
      </c>
      <c r="BC35" s="45">
        <f t="shared" si="8"/>
        <v>21.606876856149704</v>
      </c>
    </row>
    <row r="36" spans="1:55" s="2" customFormat="1" ht="14.25" customHeight="1" x14ac:dyDescent="0.25">
      <c r="A36" s="44">
        <v>22</v>
      </c>
      <c r="B36" s="40">
        <v>22.4</v>
      </c>
      <c r="C36" s="40">
        <v>23.9</v>
      </c>
      <c r="D36" s="40">
        <v>25.8</v>
      </c>
      <c r="E36" s="40">
        <v>28.2</v>
      </c>
      <c r="F36" s="40">
        <v>29.2</v>
      </c>
      <c r="G36" s="40">
        <v>28.9</v>
      </c>
      <c r="H36" s="40">
        <v>29.7</v>
      </c>
      <c r="I36" s="40">
        <v>30.4</v>
      </c>
      <c r="J36" s="40">
        <v>30.4</v>
      </c>
      <c r="K36" s="40">
        <v>29.6</v>
      </c>
      <c r="L36" s="40">
        <v>28.4</v>
      </c>
      <c r="M36" s="40">
        <v>27</v>
      </c>
      <c r="N36" s="40">
        <v>26.4</v>
      </c>
      <c r="O36" s="41">
        <f t="shared" si="0"/>
        <v>30.4</v>
      </c>
      <c r="P36" s="42">
        <f t="shared" si="1"/>
        <v>22.4</v>
      </c>
      <c r="Q36" s="45">
        <f t="shared" si="6"/>
        <v>27.715384615384611</v>
      </c>
      <c r="T36" s="44">
        <v>22</v>
      </c>
      <c r="U36" s="40">
        <v>21.2</v>
      </c>
      <c r="V36" s="40">
        <v>21.8</v>
      </c>
      <c r="W36" s="40">
        <v>22.6</v>
      </c>
      <c r="X36" s="40">
        <v>23.1</v>
      </c>
      <c r="Y36" s="40">
        <v>23.4</v>
      </c>
      <c r="Z36" s="40">
        <v>23.4</v>
      </c>
      <c r="AA36" s="40">
        <v>23.3</v>
      </c>
      <c r="AB36" s="40">
        <v>23.6</v>
      </c>
      <c r="AC36" s="40">
        <v>23.8</v>
      </c>
      <c r="AD36" s="40">
        <v>23.6</v>
      </c>
      <c r="AE36" s="40">
        <v>23</v>
      </c>
      <c r="AF36" s="40">
        <v>22.6</v>
      </c>
      <c r="AG36" s="40">
        <v>22.4</v>
      </c>
      <c r="AH36" s="41">
        <f t="shared" si="2"/>
        <v>23.8</v>
      </c>
      <c r="AI36" s="42">
        <f t="shared" si="3"/>
        <v>21.2</v>
      </c>
      <c r="AJ36" s="45">
        <f t="shared" si="7"/>
        <v>22.907692307692308</v>
      </c>
      <c r="AM36" s="44">
        <v>22</v>
      </c>
      <c r="AN36" s="40">
        <v>20.471564402374561</v>
      </c>
      <c r="AO36" s="40">
        <v>20.622877290177257</v>
      </c>
      <c r="AP36" s="40">
        <v>20.906151155607944</v>
      </c>
      <c r="AQ36" s="40">
        <v>20.465127717964371</v>
      </c>
      <c r="AR36" s="40">
        <v>20.438730826606953</v>
      </c>
      <c r="AS36" s="40">
        <v>20.597949792374902</v>
      </c>
      <c r="AT36" s="40">
        <v>19.997535035495464</v>
      </c>
      <c r="AU36" s="40">
        <v>20.137464342295072</v>
      </c>
      <c r="AV36" s="40">
        <v>20.483117326690671</v>
      </c>
      <c r="AW36" s="40">
        <v>20.565881195477441</v>
      </c>
      <c r="AX36" s="40">
        <v>20.189223465573374</v>
      </c>
      <c r="AY36" s="40">
        <v>20.271748407068376</v>
      </c>
      <c r="AZ36" s="40">
        <v>20.26272482616919</v>
      </c>
      <c r="BA36" s="41">
        <f t="shared" si="4"/>
        <v>20.906151155607944</v>
      </c>
      <c r="BB36" s="42">
        <f t="shared" si="5"/>
        <v>19.997535035495464</v>
      </c>
      <c r="BC36" s="45">
        <f t="shared" si="8"/>
        <v>20.416161214144271</v>
      </c>
    </row>
    <row r="37" spans="1:55" s="2" customFormat="1" ht="14.25" customHeight="1" x14ac:dyDescent="0.25">
      <c r="A37" s="44">
        <v>23</v>
      </c>
      <c r="B37" s="40">
        <v>22.5</v>
      </c>
      <c r="C37" s="40">
        <v>24.4</v>
      </c>
      <c r="D37" s="40">
        <v>26.6</v>
      </c>
      <c r="E37" s="40">
        <v>27.7</v>
      </c>
      <c r="F37" s="40">
        <v>28.8</v>
      </c>
      <c r="G37" s="40">
        <v>29.4</v>
      </c>
      <c r="H37" s="40">
        <v>30</v>
      </c>
      <c r="I37" s="40">
        <v>30.6</v>
      </c>
      <c r="J37" s="40">
        <v>29.6</v>
      </c>
      <c r="K37" s="40">
        <v>29.2</v>
      </c>
      <c r="L37" s="40">
        <v>28.4</v>
      </c>
      <c r="M37" s="40">
        <v>26.6</v>
      </c>
      <c r="N37" s="40">
        <v>25.6</v>
      </c>
      <c r="O37" s="41">
        <f t="shared" si="0"/>
        <v>30.6</v>
      </c>
      <c r="P37" s="42">
        <f t="shared" si="1"/>
        <v>22.5</v>
      </c>
      <c r="Q37" s="45">
        <f t="shared" si="6"/>
        <v>27.646153846153847</v>
      </c>
      <c r="T37" s="44">
        <v>23</v>
      </c>
      <c r="U37" s="40">
        <v>21.2</v>
      </c>
      <c r="V37" s="40">
        <v>22.2</v>
      </c>
      <c r="W37" s="40">
        <v>23</v>
      </c>
      <c r="X37" s="40">
        <v>23.4</v>
      </c>
      <c r="Y37" s="40">
        <v>23.5</v>
      </c>
      <c r="Z37" s="40">
        <v>23.4</v>
      </c>
      <c r="AA37" s="40">
        <v>23.9</v>
      </c>
      <c r="AB37" s="40">
        <v>23.7</v>
      </c>
      <c r="AC37" s="40">
        <v>24.1</v>
      </c>
      <c r="AD37" s="40">
        <v>24.1</v>
      </c>
      <c r="AE37" s="40">
        <v>23.5</v>
      </c>
      <c r="AF37" s="40">
        <v>23</v>
      </c>
      <c r="AG37" s="40">
        <v>22.7</v>
      </c>
      <c r="AH37" s="41">
        <f t="shared" si="2"/>
        <v>24.1</v>
      </c>
      <c r="AI37" s="42">
        <f t="shared" si="3"/>
        <v>21.2</v>
      </c>
      <c r="AJ37" s="45">
        <f t="shared" si="7"/>
        <v>23.207692307692305</v>
      </c>
      <c r="AM37" s="44">
        <v>23</v>
      </c>
      <c r="AN37" s="40">
        <v>20.418287434821892</v>
      </c>
      <c r="AO37" s="40">
        <v>20.994721334857278</v>
      </c>
      <c r="AP37" s="40">
        <v>21.137007191369257</v>
      </c>
      <c r="AQ37" s="40">
        <v>21.221525162280933</v>
      </c>
      <c r="AR37" s="40">
        <v>20.818121940520413</v>
      </c>
      <c r="AS37" s="40">
        <v>20.331820045516949</v>
      </c>
      <c r="AT37" s="40">
        <v>20.864043316086946</v>
      </c>
      <c r="AU37" s="40">
        <v>20.203127693567129</v>
      </c>
      <c r="AV37" s="40">
        <v>21.403712824054175</v>
      </c>
      <c r="AW37" s="40">
        <v>21.605064958105199</v>
      </c>
      <c r="AX37" s="40">
        <v>21.025852170374819</v>
      </c>
      <c r="AY37" s="40">
        <v>21.137007191369257</v>
      </c>
      <c r="AZ37" s="40">
        <v>21.169380824731029</v>
      </c>
      <c r="BA37" s="41">
        <f t="shared" si="4"/>
        <v>21.605064958105199</v>
      </c>
      <c r="BB37" s="42">
        <f t="shared" si="5"/>
        <v>20.203127693567129</v>
      </c>
      <c r="BC37" s="45">
        <f t="shared" si="8"/>
        <v>20.948436314435021</v>
      </c>
    </row>
    <row r="38" spans="1:55" s="2" customFormat="1" ht="14.25" customHeight="1" x14ac:dyDescent="0.25">
      <c r="A38" s="44">
        <v>24</v>
      </c>
      <c r="B38" s="40">
        <v>22.8</v>
      </c>
      <c r="C38" s="40">
        <v>24.2</v>
      </c>
      <c r="D38" s="40">
        <v>25.3</v>
      </c>
      <c r="E38" s="40">
        <v>27.2</v>
      </c>
      <c r="F38" s="40">
        <v>28.6</v>
      </c>
      <c r="G38" s="40">
        <v>29.1</v>
      </c>
      <c r="H38" s="40">
        <v>30</v>
      </c>
      <c r="I38" s="40">
        <v>29.6</v>
      </c>
      <c r="J38" s="40">
        <v>29.7</v>
      </c>
      <c r="K38" s="40">
        <v>28.8</v>
      </c>
      <c r="L38" s="40">
        <v>27.8</v>
      </c>
      <c r="M38" s="40">
        <v>26.2</v>
      </c>
      <c r="N38" s="40">
        <v>25.5</v>
      </c>
      <c r="O38" s="41">
        <f t="shared" si="0"/>
        <v>30</v>
      </c>
      <c r="P38" s="42">
        <f t="shared" si="1"/>
        <v>22.8</v>
      </c>
      <c r="Q38" s="45">
        <f t="shared" si="6"/>
        <v>27.292307692307688</v>
      </c>
      <c r="T38" s="44">
        <v>24</v>
      </c>
      <c r="U38" s="40">
        <v>21.3</v>
      </c>
      <c r="V38" s="40">
        <v>21.8</v>
      </c>
      <c r="W38" s="40">
        <v>22.2</v>
      </c>
      <c r="X38" s="40">
        <v>23.2</v>
      </c>
      <c r="Y38" s="40">
        <v>23.8</v>
      </c>
      <c r="Z38" s="40">
        <v>23.8</v>
      </c>
      <c r="AA38" s="40">
        <v>24.3</v>
      </c>
      <c r="AB38" s="40">
        <v>24.1</v>
      </c>
      <c r="AC38" s="40">
        <v>24.1</v>
      </c>
      <c r="AD38" s="40">
        <v>23.4</v>
      </c>
      <c r="AE38" s="40">
        <v>23.2</v>
      </c>
      <c r="AF38" s="40">
        <v>22.7</v>
      </c>
      <c r="AG38" s="40">
        <v>22.2</v>
      </c>
      <c r="AH38" s="41">
        <f t="shared" si="2"/>
        <v>24.3</v>
      </c>
      <c r="AI38" s="42">
        <f t="shared" si="3"/>
        <v>21.3</v>
      </c>
      <c r="AJ38" s="45">
        <f t="shared" si="7"/>
        <v>23.084615384615383</v>
      </c>
      <c r="AM38" s="44">
        <v>24</v>
      </c>
      <c r="AN38" s="40">
        <v>20.415599971605438</v>
      </c>
      <c r="AO38" s="40">
        <v>20.463887755674129</v>
      </c>
      <c r="AP38" s="40">
        <v>20.523258132748641</v>
      </c>
      <c r="AQ38" s="40">
        <v>21.152517335305355</v>
      </c>
      <c r="AR38" s="40">
        <v>21.416446175167959</v>
      </c>
      <c r="AS38" s="40">
        <v>21.161844682373939</v>
      </c>
      <c r="AT38" s="40">
        <v>21.532732680700015</v>
      </c>
      <c r="AU38" s="40">
        <v>21.403712824054175</v>
      </c>
      <c r="AV38" s="40">
        <v>21.353034031232745</v>
      </c>
      <c r="AW38" s="40">
        <v>20.650720608247561</v>
      </c>
      <c r="AX38" s="40">
        <v>20.842188166907764</v>
      </c>
      <c r="AY38" s="40">
        <v>20.85934413776371</v>
      </c>
      <c r="AZ38" s="40">
        <v>20.416842573446026</v>
      </c>
      <c r="BA38" s="41">
        <f t="shared" si="4"/>
        <v>21.532732680700015</v>
      </c>
      <c r="BB38" s="42">
        <f t="shared" si="5"/>
        <v>20.415599971605438</v>
      </c>
      <c r="BC38" s="45">
        <f t="shared" si="8"/>
        <v>20.937856082709803</v>
      </c>
    </row>
    <row r="39" spans="1:55" s="2" customFormat="1" ht="14.25" customHeight="1" x14ac:dyDescent="0.25">
      <c r="A39" s="44">
        <v>25</v>
      </c>
      <c r="B39" s="40">
        <v>23.7</v>
      </c>
      <c r="C39" s="40">
        <v>24.8</v>
      </c>
      <c r="D39" s="40">
        <v>27</v>
      </c>
      <c r="E39" s="40">
        <v>28</v>
      </c>
      <c r="F39" s="40">
        <v>28.8</v>
      </c>
      <c r="G39" s="40">
        <v>29.8</v>
      </c>
      <c r="H39" s="40">
        <v>30.4</v>
      </c>
      <c r="I39" s="40">
        <v>30</v>
      </c>
      <c r="J39" s="40">
        <v>30</v>
      </c>
      <c r="K39" s="40">
        <v>28.6</v>
      </c>
      <c r="L39" s="40">
        <v>27.4</v>
      </c>
      <c r="M39" s="40">
        <v>27</v>
      </c>
      <c r="N39" s="40">
        <v>25.6</v>
      </c>
      <c r="O39" s="41">
        <f t="shared" si="0"/>
        <v>30.4</v>
      </c>
      <c r="P39" s="42">
        <f t="shared" si="1"/>
        <v>23.7</v>
      </c>
      <c r="Q39" s="45">
        <f t="shared" si="6"/>
        <v>27.776923076923079</v>
      </c>
      <c r="T39" s="44">
        <v>25</v>
      </c>
      <c r="U39" s="40">
        <v>21.9</v>
      </c>
      <c r="V39" s="40">
        <v>21.6</v>
      </c>
      <c r="W39" s="40">
        <v>22.6</v>
      </c>
      <c r="X39" s="40">
        <v>22.2</v>
      </c>
      <c r="Y39" s="40">
        <v>24</v>
      </c>
      <c r="Z39" s="40">
        <v>22.4</v>
      </c>
      <c r="AA39" s="40">
        <v>22.5</v>
      </c>
      <c r="AB39" s="40">
        <v>23.8</v>
      </c>
      <c r="AC39" s="40">
        <v>23.8</v>
      </c>
      <c r="AD39" s="40">
        <v>23.6</v>
      </c>
      <c r="AE39" s="40">
        <v>23.6</v>
      </c>
      <c r="AF39" s="40">
        <v>23.6</v>
      </c>
      <c r="AG39" s="40">
        <v>23</v>
      </c>
      <c r="AH39" s="41">
        <f t="shared" si="2"/>
        <v>24</v>
      </c>
      <c r="AI39" s="42">
        <f t="shared" si="3"/>
        <v>21.6</v>
      </c>
      <c r="AJ39" s="45">
        <f t="shared" si="7"/>
        <v>22.969230769230769</v>
      </c>
      <c r="AM39" s="44">
        <v>25</v>
      </c>
      <c r="AN39" s="40">
        <v>20.885557260706708</v>
      </c>
      <c r="AO39" s="40">
        <v>19.814240453128839</v>
      </c>
      <c r="AP39" s="40">
        <v>20.271748407068376</v>
      </c>
      <c r="AQ39" s="40">
        <v>19.032170933417646</v>
      </c>
      <c r="AR39" s="40">
        <v>21.642015979127848</v>
      </c>
      <c r="AS39" s="40">
        <v>18.33587880574952</v>
      </c>
      <c r="AT39" s="40">
        <v>18.160425123531677</v>
      </c>
      <c r="AU39" s="40">
        <v>20.694608390520273</v>
      </c>
      <c r="AV39" s="40">
        <v>20.694608390520273</v>
      </c>
      <c r="AW39" s="40">
        <v>21.087859813423901</v>
      </c>
      <c r="AX39" s="40">
        <v>21.695530782643495</v>
      </c>
      <c r="AY39" s="40">
        <v>21.893778896731295</v>
      </c>
      <c r="AZ39" s="40">
        <v>21.643427181375159</v>
      </c>
      <c r="BA39" s="41">
        <f t="shared" si="4"/>
        <v>21.893778896731295</v>
      </c>
      <c r="BB39" s="42">
        <f t="shared" si="5"/>
        <v>18.160425123531677</v>
      </c>
      <c r="BC39" s="45">
        <f t="shared" si="8"/>
        <v>20.450142339841925</v>
      </c>
    </row>
    <row r="40" spans="1:55" s="2" customFormat="1" ht="14.25" customHeight="1" x14ac:dyDescent="0.25">
      <c r="A40" s="44">
        <v>26</v>
      </c>
      <c r="B40" s="40">
        <v>23.6</v>
      </c>
      <c r="C40" s="40">
        <v>25</v>
      </c>
      <c r="D40" s="40">
        <v>26.5</v>
      </c>
      <c r="E40" s="40">
        <v>27.4</v>
      </c>
      <c r="F40" s="40">
        <v>28</v>
      </c>
      <c r="G40" s="40">
        <v>28.5</v>
      </c>
      <c r="H40" s="40">
        <v>29.2</v>
      </c>
      <c r="I40" s="40">
        <v>29</v>
      </c>
      <c r="J40" s="40">
        <v>29</v>
      </c>
      <c r="K40" s="40">
        <v>28.8</v>
      </c>
      <c r="L40" s="40">
        <v>27.6</v>
      </c>
      <c r="M40" s="40">
        <v>26.4</v>
      </c>
      <c r="N40" s="40">
        <v>26</v>
      </c>
      <c r="O40" s="41">
        <f t="shared" si="0"/>
        <v>29.2</v>
      </c>
      <c r="P40" s="42">
        <f t="shared" si="1"/>
        <v>23.6</v>
      </c>
      <c r="Q40" s="45">
        <f t="shared" si="6"/>
        <v>27.307692307692307</v>
      </c>
      <c r="T40" s="44">
        <v>26</v>
      </c>
      <c r="U40" s="40">
        <v>21.6</v>
      </c>
      <c r="V40" s="40">
        <v>22.4</v>
      </c>
      <c r="W40" s="40">
        <v>23.2</v>
      </c>
      <c r="X40" s="40">
        <v>23.5</v>
      </c>
      <c r="Y40" s="40">
        <v>24</v>
      </c>
      <c r="Z40" s="40">
        <v>24.2</v>
      </c>
      <c r="AA40" s="40">
        <v>24.6</v>
      </c>
      <c r="AB40" s="40">
        <v>24.6</v>
      </c>
      <c r="AC40" s="40">
        <v>24.4</v>
      </c>
      <c r="AD40" s="40">
        <v>24.4</v>
      </c>
      <c r="AE40" s="40">
        <v>23</v>
      </c>
      <c r="AF40" s="40">
        <v>23</v>
      </c>
      <c r="AG40" s="40">
        <v>23</v>
      </c>
      <c r="AH40" s="41">
        <f t="shared" si="2"/>
        <v>24.6</v>
      </c>
      <c r="AI40" s="42">
        <f t="shared" si="3"/>
        <v>21.6</v>
      </c>
      <c r="AJ40" s="45">
        <f t="shared" si="7"/>
        <v>23.530769230769231</v>
      </c>
      <c r="AM40" s="44">
        <v>26</v>
      </c>
      <c r="AN40" s="40">
        <v>20.464195929896654</v>
      </c>
      <c r="AO40" s="40">
        <v>21.001130285531133</v>
      </c>
      <c r="AP40" s="40">
        <v>21.508158710605972</v>
      </c>
      <c r="AQ40" s="40">
        <v>21.535270132419075</v>
      </c>
      <c r="AR40" s="40">
        <v>22.037563837182521</v>
      </c>
      <c r="AS40" s="40">
        <v>22.112490289433367</v>
      </c>
      <c r="AT40" s="40">
        <v>22.412824160138996</v>
      </c>
      <c r="AU40" s="40">
        <v>22.508503251918363</v>
      </c>
      <c r="AV40" s="40">
        <v>22.189433415263238</v>
      </c>
      <c r="AW40" s="40">
        <v>22.286250338619315</v>
      </c>
      <c r="AX40" s="40">
        <v>20.616444191134942</v>
      </c>
      <c r="AY40" s="40">
        <v>21.239395929760107</v>
      </c>
      <c r="AZ40" s="40">
        <v>21.442503423907144</v>
      </c>
      <c r="BA40" s="41">
        <f t="shared" si="4"/>
        <v>22.508503251918363</v>
      </c>
      <c r="BB40" s="42">
        <f t="shared" si="5"/>
        <v>20.464195929896654</v>
      </c>
      <c r="BC40" s="45">
        <f t="shared" si="8"/>
        <v>21.642627991985453</v>
      </c>
    </row>
    <row r="41" spans="1:55" s="2" customFormat="1" ht="14.25" customHeight="1" x14ac:dyDescent="0.25">
      <c r="A41" s="44">
        <v>27</v>
      </c>
      <c r="B41" s="40">
        <v>23.4</v>
      </c>
      <c r="C41" s="40">
        <v>25</v>
      </c>
      <c r="D41" s="40">
        <v>26.6</v>
      </c>
      <c r="E41" s="40">
        <v>27.8</v>
      </c>
      <c r="F41" s="40">
        <v>28.6</v>
      </c>
      <c r="G41" s="40">
        <v>29</v>
      </c>
      <c r="H41" s="40">
        <v>29.3</v>
      </c>
      <c r="I41" s="40">
        <v>29.8</v>
      </c>
      <c r="J41" s="40">
        <v>28.7</v>
      </c>
      <c r="K41" s="40">
        <v>28</v>
      </c>
      <c r="L41" s="40">
        <v>27.2</v>
      </c>
      <c r="M41" s="40">
        <v>26.2</v>
      </c>
      <c r="N41" s="40">
        <v>25.1</v>
      </c>
      <c r="O41" s="41">
        <f t="shared" si="0"/>
        <v>29.8</v>
      </c>
      <c r="P41" s="42">
        <f t="shared" si="1"/>
        <v>23.4</v>
      </c>
      <c r="Q41" s="45">
        <f t="shared" si="6"/>
        <v>27.284615384615389</v>
      </c>
      <c r="T41" s="44">
        <v>27</v>
      </c>
      <c r="U41" s="40">
        <v>21.8</v>
      </c>
      <c r="V41" s="40">
        <v>22.5</v>
      </c>
      <c r="W41" s="40">
        <v>22.8</v>
      </c>
      <c r="X41" s="40">
        <v>23.5</v>
      </c>
      <c r="Y41" s="40">
        <v>23.5</v>
      </c>
      <c r="Z41" s="40">
        <v>23.4</v>
      </c>
      <c r="AA41" s="40">
        <v>23.5</v>
      </c>
      <c r="AB41" s="40">
        <v>23.8</v>
      </c>
      <c r="AC41" s="40">
        <v>23.8</v>
      </c>
      <c r="AD41" s="40">
        <v>23.4</v>
      </c>
      <c r="AE41" s="40">
        <v>23.1</v>
      </c>
      <c r="AF41" s="40">
        <v>22.4</v>
      </c>
      <c r="AG41" s="40">
        <v>22</v>
      </c>
      <c r="AH41" s="41">
        <f t="shared" si="2"/>
        <v>23.8</v>
      </c>
      <c r="AI41" s="42">
        <f t="shared" si="3"/>
        <v>21.8</v>
      </c>
      <c r="AJ41" s="45">
        <f t="shared" si="7"/>
        <v>23.03846153846154</v>
      </c>
      <c r="AM41" s="44">
        <v>27</v>
      </c>
      <c r="AN41" s="40">
        <v>20.884871470982386</v>
      </c>
      <c r="AO41" s="40">
        <v>21.159637760218189</v>
      </c>
      <c r="AP41" s="40">
        <v>20.813000573675488</v>
      </c>
      <c r="AQ41" s="40">
        <v>21.333168129325806</v>
      </c>
      <c r="AR41" s="40">
        <v>20.922276905433524</v>
      </c>
      <c r="AS41" s="40">
        <v>20.545028509059279</v>
      </c>
      <c r="AT41" s="40">
        <v>20.555151902502885</v>
      </c>
      <c r="AU41" s="40">
        <v>20.799457478882747</v>
      </c>
      <c r="AV41" s="40">
        <v>21.365802886600079</v>
      </c>
      <c r="AW41" s="40">
        <v>21.067578640273933</v>
      </c>
      <c r="AX41" s="40">
        <v>20.989888583669757</v>
      </c>
      <c r="AY41" s="40">
        <v>20.370027896666748</v>
      </c>
      <c r="AZ41" s="40">
        <v>20.305508459000126</v>
      </c>
      <c r="BA41" s="41">
        <f t="shared" si="4"/>
        <v>21.365802886600079</v>
      </c>
      <c r="BB41" s="42">
        <f t="shared" si="5"/>
        <v>20.305508459000126</v>
      </c>
      <c r="BC41" s="45">
        <f t="shared" si="8"/>
        <v>20.854723015099303</v>
      </c>
    </row>
    <row r="42" spans="1:55" s="2" customFormat="1" ht="14.25" customHeight="1" x14ac:dyDescent="0.25">
      <c r="A42" s="44">
        <v>28</v>
      </c>
      <c r="B42" s="40">
        <v>23.1</v>
      </c>
      <c r="C42" s="40">
        <v>23.4</v>
      </c>
      <c r="D42" s="40">
        <v>24.3</v>
      </c>
      <c r="E42" s="40">
        <v>25.6</v>
      </c>
      <c r="F42" s="40">
        <v>27</v>
      </c>
      <c r="G42" s="40">
        <v>27.8</v>
      </c>
      <c r="H42" s="40">
        <v>28.4</v>
      </c>
      <c r="I42" s="40">
        <v>28.2</v>
      </c>
      <c r="J42" s="40">
        <v>28.6</v>
      </c>
      <c r="K42" s="40">
        <v>28.1</v>
      </c>
      <c r="L42" s="40">
        <v>26.8</v>
      </c>
      <c r="M42" s="40">
        <v>25.1</v>
      </c>
      <c r="N42" s="40">
        <v>24.2</v>
      </c>
      <c r="O42" s="41">
        <f t="shared" si="0"/>
        <v>28.6</v>
      </c>
      <c r="P42" s="42">
        <f t="shared" si="1"/>
        <v>23.1</v>
      </c>
      <c r="Q42" s="45">
        <f t="shared" si="6"/>
        <v>26.200000000000003</v>
      </c>
      <c r="T42" s="44">
        <v>28</v>
      </c>
      <c r="U42" s="40">
        <v>22.2</v>
      </c>
      <c r="V42" s="40">
        <v>22.5</v>
      </c>
      <c r="W42" s="40">
        <v>22</v>
      </c>
      <c r="X42" s="40">
        <v>20.7</v>
      </c>
      <c r="Y42" s="40">
        <v>21.8</v>
      </c>
      <c r="Z42" s="40">
        <v>22</v>
      </c>
      <c r="AA42" s="40">
        <v>22</v>
      </c>
      <c r="AB42" s="40">
        <v>21.8</v>
      </c>
      <c r="AC42" s="40">
        <v>22</v>
      </c>
      <c r="AD42" s="40">
        <v>21.1</v>
      </c>
      <c r="AE42" s="40">
        <v>20.6</v>
      </c>
      <c r="AF42" s="40">
        <v>21.8</v>
      </c>
      <c r="AG42" s="40">
        <v>21.7</v>
      </c>
      <c r="AH42" s="41">
        <f t="shared" si="2"/>
        <v>22.5</v>
      </c>
      <c r="AI42" s="42">
        <f t="shared" si="3"/>
        <v>20.6</v>
      </c>
      <c r="AJ42" s="45">
        <f t="shared" si="7"/>
        <v>21.707692307692305</v>
      </c>
      <c r="AM42" s="44">
        <v>28</v>
      </c>
      <c r="AN42" s="40">
        <v>21.655325946240438</v>
      </c>
      <c r="AO42" s="40">
        <v>21.962482408382048</v>
      </c>
      <c r="AP42" s="40">
        <v>20.730064101132605</v>
      </c>
      <c r="AQ42" s="40">
        <v>17.80928390118526</v>
      </c>
      <c r="AR42" s="40">
        <v>18.910005539594152</v>
      </c>
      <c r="AS42" s="40">
        <v>18.79595782592548</v>
      </c>
      <c r="AT42" s="40">
        <v>18.442939004500012</v>
      </c>
      <c r="AU42" s="40">
        <v>18.201536572759682</v>
      </c>
      <c r="AV42" s="40">
        <v>18.323731685920357</v>
      </c>
      <c r="AW42" s="40">
        <v>16.969041284954088</v>
      </c>
      <c r="AX42" s="40">
        <v>16.869534564520734</v>
      </c>
      <c r="AY42" s="40">
        <v>19.978562929739009</v>
      </c>
      <c r="AZ42" s="40">
        <v>20.303393219711257</v>
      </c>
      <c r="BA42" s="41">
        <f t="shared" si="4"/>
        <v>21.962482408382048</v>
      </c>
      <c r="BB42" s="42">
        <f t="shared" si="5"/>
        <v>16.869534564520734</v>
      </c>
      <c r="BC42" s="45">
        <f t="shared" si="8"/>
        <v>19.150142998812704</v>
      </c>
    </row>
    <row r="43" spans="1:55" s="2" customFormat="1" ht="14.25" customHeight="1" x14ac:dyDescent="0.25">
      <c r="A43" s="44">
        <v>29</v>
      </c>
      <c r="B43" s="40">
        <v>22.4</v>
      </c>
      <c r="C43" s="40">
        <v>23.3</v>
      </c>
      <c r="D43" s="40">
        <v>24.4</v>
      </c>
      <c r="E43" s="40">
        <v>25.6</v>
      </c>
      <c r="F43" s="40">
        <v>26</v>
      </c>
      <c r="G43" s="40">
        <v>26.6</v>
      </c>
      <c r="H43" s="40">
        <v>27.2</v>
      </c>
      <c r="I43" s="40">
        <v>26.9</v>
      </c>
      <c r="J43" s="40">
        <v>26.2</v>
      </c>
      <c r="K43" s="40">
        <v>25.8</v>
      </c>
      <c r="L43" s="40">
        <v>25.6</v>
      </c>
      <c r="M43" s="40">
        <v>24.5</v>
      </c>
      <c r="N43" s="40">
        <v>23.5</v>
      </c>
      <c r="O43" s="41">
        <f t="shared" si="0"/>
        <v>27.2</v>
      </c>
      <c r="P43" s="42">
        <f t="shared" si="1"/>
        <v>22.4</v>
      </c>
      <c r="Q43" s="45">
        <f t="shared" si="6"/>
        <v>25.23076923076923</v>
      </c>
      <c r="T43" s="44">
        <v>29</v>
      </c>
      <c r="U43" s="40">
        <v>21.2</v>
      </c>
      <c r="V43" s="40">
        <v>21.6</v>
      </c>
      <c r="W43" s="40">
        <v>22</v>
      </c>
      <c r="X43" s="40">
        <v>22.2</v>
      </c>
      <c r="Y43" s="40">
        <v>22.4</v>
      </c>
      <c r="Z43" s="40">
        <v>22.8</v>
      </c>
      <c r="AA43" s="40">
        <v>23.2</v>
      </c>
      <c r="AB43" s="40">
        <v>23.2</v>
      </c>
      <c r="AC43" s="40">
        <v>22.8</v>
      </c>
      <c r="AD43" s="40">
        <v>22.9</v>
      </c>
      <c r="AE43" s="40">
        <v>22.2</v>
      </c>
      <c r="AF43" s="40">
        <v>21.8</v>
      </c>
      <c r="AG43" s="40">
        <v>21.7</v>
      </c>
      <c r="AH43" s="41">
        <f t="shared" si="2"/>
        <v>23.2</v>
      </c>
      <c r="AI43" s="42">
        <f t="shared" si="3"/>
        <v>21.2</v>
      </c>
      <c r="AJ43" s="45">
        <f t="shared" si="7"/>
        <v>22.307692307692307</v>
      </c>
      <c r="AM43" s="44">
        <v>29</v>
      </c>
      <c r="AN43" s="40">
        <v>20.471564402374561</v>
      </c>
      <c r="AO43" s="40">
        <v>20.623181030937609</v>
      </c>
      <c r="AP43" s="40">
        <v>20.67752286740204</v>
      </c>
      <c r="AQ43" s="40">
        <v>20.363404791773689</v>
      </c>
      <c r="AR43" s="40">
        <v>20.476712998006196</v>
      </c>
      <c r="AS43" s="40">
        <v>20.813000573675488</v>
      </c>
      <c r="AT43" s="40">
        <v>21.152517335305355</v>
      </c>
      <c r="AU43" s="40">
        <v>21.305765346969388</v>
      </c>
      <c r="AV43" s="40">
        <v>21.020779142687349</v>
      </c>
      <c r="AW43" s="40">
        <v>21.385136729325438</v>
      </c>
      <c r="AX43" s="40">
        <v>20.363404791773689</v>
      </c>
      <c r="AY43" s="40">
        <v>20.303522879371506</v>
      </c>
      <c r="AZ43" s="40">
        <v>20.675443356030055</v>
      </c>
      <c r="BA43" s="41">
        <f t="shared" si="4"/>
        <v>21.385136729325438</v>
      </c>
      <c r="BB43" s="42">
        <f t="shared" si="5"/>
        <v>20.303522879371506</v>
      </c>
      <c r="BC43" s="45">
        <f t="shared" si="8"/>
        <v>20.740919711202494</v>
      </c>
    </row>
    <row r="44" spans="1:55" s="2" customFormat="1" ht="14.25" customHeight="1" x14ac:dyDescent="0.25">
      <c r="A44" s="44">
        <v>30</v>
      </c>
      <c r="B44" s="40">
        <v>23.6</v>
      </c>
      <c r="C44" s="40">
        <v>24.4</v>
      </c>
      <c r="D44" s="40">
        <v>25.4</v>
      </c>
      <c r="E44" s="40">
        <v>25.9</v>
      </c>
      <c r="F44" s="40">
        <v>26.9</v>
      </c>
      <c r="G44" s="40">
        <v>27.4</v>
      </c>
      <c r="H44" s="40">
        <v>27.4</v>
      </c>
      <c r="I44" s="40">
        <v>27.8</v>
      </c>
      <c r="J44" s="40">
        <v>28</v>
      </c>
      <c r="K44" s="40">
        <v>26.9</v>
      </c>
      <c r="L44" s="40">
        <v>26.2</v>
      </c>
      <c r="M44" s="40">
        <v>25.4</v>
      </c>
      <c r="N44" s="40">
        <v>24.7</v>
      </c>
      <c r="O44" s="41">
        <f t="shared" si="0"/>
        <v>28</v>
      </c>
      <c r="P44" s="42">
        <f t="shared" si="1"/>
        <v>23.6</v>
      </c>
      <c r="Q44" s="45">
        <f t="shared" si="6"/>
        <v>26.153846153846153</v>
      </c>
      <c r="T44" s="44">
        <v>30</v>
      </c>
      <c r="U44" s="40">
        <v>22.3</v>
      </c>
      <c r="V44" s="40">
        <v>22.6</v>
      </c>
      <c r="W44" s="40">
        <v>22.7</v>
      </c>
      <c r="X44" s="40">
        <v>23</v>
      </c>
      <c r="Y44" s="40">
        <v>23.5</v>
      </c>
      <c r="Z44" s="40">
        <v>24.2</v>
      </c>
      <c r="AA44" s="40">
        <v>24.1</v>
      </c>
      <c r="AB44" s="40">
        <v>23.4</v>
      </c>
      <c r="AC44" s="40">
        <v>24.2</v>
      </c>
      <c r="AD44" s="40">
        <v>24</v>
      </c>
      <c r="AE44" s="40">
        <v>23.6</v>
      </c>
      <c r="AF44" s="40">
        <v>22.9</v>
      </c>
      <c r="AG44" s="40">
        <v>22.7</v>
      </c>
      <c r="AH44" s="41">
        <f t="shared" si="2"/>
        <v>24.2</v>
      </c>
      <c r="AI44" s="42">
        <f t="shared" si="3"/>
        <v>22.3</v>
      </c>
      <c r="AJ44" s="45">
        <f t="shared" si="7"/>
        <v>23.323076923076922</v>
      </c>
      <c r="AM44" s="44">
        <v>30</v>
      </c>
      <c r="AN44" s="40">
        <v>21.558041122964145</v>
      </c>
      <c r="AO44" s="40">
        <v>21.619949242231353</v>
      </c>
      <c r="AP44" s="40">
        <v>21.271590666976493</v>
      </c>
      <c r="AQ44" s="40">
        <v>21.492937108681502</v>
      </c>
      <c r="AR44" s="40">
        <v>21.784865067663304</v>
      </c>
      <c r="AS44" s="40">
        <v>22.64104632271264</v>
      </c>
      <c r="AT44" s="40">
        <v>22.485310322584116</v>
      </c>
      <c r="AU44" s="40">
        <v>21.170350761795515</v>
      </c>
      <c r="AV44" s="40">
        <v>22.354583733692817</v>
      </c>
      <c r="AW44" s="40">
        <v>22.568191620481912</v>
      </c>
      <c r="AX44" s="40">
        <v>22.284100970206715</v>
      </c>
      <c r="AY44" s="40">
        <v>21.58667332344848</v>
      </c>
      <c r="AZ44" s="40">
        <v>21.624982963360331</v>
      </c>
      <c r="BA44" s="41">
        <f t="shared" si="4"/>
        <v>22.64104632271264</v>
      </c>
      <c r="BB44" s="42">
        <f t="shared" si="5"/>
        <v>21.170350761795515</v>
      </c>
      <c r="BC44" s="45">
        <f t="shared" si="8"/>
        <v>21.880201786676871</v>
      </c>
    </row>
    <row r="45" spans="1:55" s="2" customFormat="1" ht="14.25" customHeight="1" thickBot="1" x14ac:dyDescent="0.3">
      <c r="A45" s="44">
        <v>31</v>
      </c>
      <c r="B45" s="40">
        <v>24.2</v>
      </c>
      <c r="C45" s="40">
        <v>24.4</v>
      </c>
      <c r="D45" s="40">
        <v>24.6</v>
      </c>
      <c r="E45" s="40">
        <v>26.2</v>
      </c>
      <c r="F45" s="40">
        <v>27.5</v>
      </c>
      <c r="G45" s="40">
        <v>28.4</v>
      </c>
      <c r="H45" s="40">
        <v>28.4</v>
      </c>
      <c r="I45" s="40">
        <v>29.2</v>
      </c>
      <c r="J45" s="40">
        <v>28.6</v>
      </c>
      <c r="K45" s="40">
        <v>24</v>
      </c>
      <c r="L45" s="40">
        <v>24.6</v>
      </c>
      <c r="M45" s="40">
        <v>24.2</v>
      </c>
      <c r="N45" s="40">
        <v>24</v>
      </c>
      <c r="O45" s="46">
        <f t="shared" si="0"/>
        <v>29.2</v>
      </c>
      <c r="P45" s="47">
        <f t="shared" si="1"/>
        <v>24</v>
      </c>
      <c r="Q45" s="48">
        <f t="shared" si="6"/>
        <v>26.023076923076925</v>
      </c>
      <c r="T45" s="44">
        <v>31</v>
      </c>
      <c r="U45" s="40">
        <v>23.6</v>
      </c>
      <c r="V45" s="40">
        <v>23.5</v>
      </c>
      <c r="W45" s="40">
        <v>23.8</v>
      </c>
      <c r="X45" s="40">
        <v>24.4</v>
      </c>
      <c r="Y45" s="40">
        <v>24.6</v>
      </c>
      <c r="Z45" s="40">
        <v>24.4</v>
      </c>
      <c r="AA45" s="40">
        <v>24.8</v>
      </c>
      <c r="AB45" s="40">
        <v>25.4</v>
      </c>
      <c r="AC45" s="40">
        <v>25</v>
      </c>
      <c r="AD45" s="40">
        <v>22.8</v>
      </c>
      <c r="AE45" s="40">
        <v>23.2</v>
      </c>
      <c r="AF45" s="40">
        <v>23.2</v>
      </c>
      <c r="AG45" s="40">
        <v>23.2</v>
      </c>
      <c r="AH45" s="41">
        <f t="shared" si="2"/>
        <v>25.4</v>
      </c>
      <c r="AI45" s="57">
        <f t="shared" si="3"/>
        <v>22.8</v>
      </c>
      <c r="AJ45" s="48">
        <f t="shared" si="7"/>
        <v>23.992307692307694</v>
      </c>
      <c r="AM45" s="44">
        <v>31</v>
      </c>
      <c r="AN45" s="40">
        <v>23.225937351919136</v>
      </c>
      <c r="AO45" s="40">
        <v>22.985402843133787</v>
      </c>
      <c r="AP45" s="40">
        <v>23.337733422817518</v>
      </c>
      <c r="AQ45" s="40">
        <v>23.501662544126386</v>
      </c>
      <c r="AR45" s="40">
        <v>23.211048735376828</v>
      </c>
      <c r="AS45" s="40">
        <v>22.478402908283279</v>
      </c>
      <c r="AT45" s="40">
        <v>23.104030876414406</v>
      </c>
      <c r="AU45" s="40">
        <v>23.665869730219789</v>
      </c>
      <c r="AV45" s="40">
        <v>23.321392650725961</v>
      </c>
      <c r="AW45" s="40">
        <v>22.123979043069006</v>
      </c>
      <c r="AX45" s="40">
        <v>22.440752283690482</v>
      </c>
      <c r="AY45" s="40">
        <v>22.631329178936141</v>
      </c>
      <c r="AZ45" s="40">
        <v>22.725900467116261</v>
      </c>
      <c r="BA45" s="46">
        <f t="shared" si="4"/>
        <v>23.665869730219789</v>
      </c>
      <c r="BB45" s="47">
        <f t="shared" si="5"/>
        <v>22.123979043069006</v>
      </c>
      <c r="BC45" s="48">
        <f t="shared" si="8"/>
        <v>22.981034002756076</v>
      </c>
    </row>
    <row r="46" spans="1:55" s="2" customFormat="1" ht="14.25" customHeight="1" thickTop="1" x14ac:dyDescent="0.25">
      <c r="A46" s="49" t="s">
        <v>25</v>
      </c>
      <c r="B46" s="50">
        <f t="shared" ref="B46:Q46" si="9">MAX(B15:B45)</f>
        <v>25.2</v>
      </c>
      <c r="C46" s="50">
        <f t="shared" si="9"/>
        <v>27</v>
      </c>
      <c r="D46" s="50">
        <f t="shared" si="9"/>
        <v>28</v>
      </c>
      <c r="E46" s="50">
        <f t="shared" si="9"/>
        <v>29.2</v>
      </c>
      <c r="F46" s="50">
        <f t="shared" si="9"/>
        <v>30.3</v>
      </c>
      <c r="G46" s="50">
        <f t="shared" si="9"/>
        <v>31.2</v>
      </c>
      <c r="H46" s="50">
        <f t="shared" si="9"/>
        <v>32.200000000000003</v>
      </c>
      <c r="I46" s="50">
        <f t="shared" si="9"/>
        <v>31.4</v>
      </c>
      <c r="J46" s="50">
        <f t="shared" si="9"/>
        <v>30.6</v>
      </c>
      <c r="K46" s="50">
        <f t="shared" si="9"/>
        <v>30.1</v>
      </c>
      <c r="L46" s="50">
        <f t="shared" si="9"/>
        <v>28.8</v>
      </c>
      <c r="M46" s="50">
        <f t="shared" si="9"/>
        <v>27</v>
      </c>
      <c r="N46" s="50">
        <f t="shared" si="9"/>
        <v>26.4</v>
      </c>
      <c r="O46" s="41">
        <f t="shared" si="9"/>
        <v>32.200000000000003</v>
      </c>
      <c r="P46" s="51">
        <f t="shared" si="9"/>
        <v>25.1</v>
      </c>
      <c r="Q46" s="52">
        <f t="shared" si="9"/>
        <v>28.099999999999998</v>
      </c>
      <c r="T46" s="49" t="s">
        <v>25</v>
      </c>
      <c r="U46" s="50">
        <f t="shared" ref="U46:AJ46" si="10">MAX(U15:U45)</f>
        <v>24.1</v>
      </c>
      <c r="V46" s="50">
        <f t="shared" si="10"/>
        <v>24.8</v>
      </c>
      <c r="W46" s="50">
        <f t="shared" si="10"/>
        <v>24.8</v>
      </c>
      <c r="X46" s="50">
        <f t="shared" si="10"/>
        <v>25.2</v>
      </c>
      <c r="Y46" s="50">
        <f t="shared" si="10"/>
        <v>25.7</v>
      </c>
      <c r="Z46" s="50">
        <f t="shared" si="10"/>
        <v>25.8</v>
      </c>
      <c r="AA46" s="50">
        <f t="shared" si="10"/>
        <v>26.2</v>
      </c>
      <c r="AB46" s="50">
        <f t="shared" si="10"/>
        <v>26</v>
      </c>
      <c r="AC46" s="50">
        <f t="shared" si="10"/>
        <v>26.2</v>
      </c>
      <c r="AD46" s="50">
        <f t="shared" si="10"/>
        <v>26.6</v>
      </c>
      <c r="AE46" s="50">
        <f t="shared" si="10"/>
        <v>25</v>
      </c>
      <c r="AF46" s="50">
        <f t="shared" si="10"/>
        <v>25.9</v>
      </c>
      <c r="AG46" s="50">
        <f t="shared" si="10"/>
        <v>24.6</v>
      </c>
      <c r="AH46" s="58">
        <f t="shared" si="10"/>
        <v>26.6</v>
      </c>
      <c r="AI46" s="51">
        <f t="shared" si="10"/>
        <v>24.1</v>
      </c>
      <c r="AJ46" s="52">
        <f t="shared" si="10"/>
        <v>25.069230769230767</v>
      </c>
      <c r="AM46" s="49" t="s">
        <v>25</v>
      </c>
      <c r="AN46" s="50">
        <f t="shared" ref="AN46:BC46" si="11">MAX(AN15:AN45)</f>
        <v>23.553394953907592</v>
      </c>
      <c r="AO46" s="50">
        <f t="shared" si="11"/>
        <v>23.740574438114979</v>
      </c>
      <c r="AP46" s="50">
        <f t="shared" si="11"/>
        <v>23.470377859669266</v>
      </c>
      <c r="AQ46" s="50">
        <f t="shared" si="11"/>
        <v>23.628701010435609</v>
      </c>
      <c r="AR46" s="50">
        <f t="shared" si="11"/>
        <v>23.948166363152563</v>
      </c>
      <c r="AS46" s="50">
        <f t="shared" si="11"/>
        <v>24.013096932917858</v>
      </c>
      <c r="AT46" s="50">
        <f t="shared" si="11"/>
        <v>24.62094772066326</v>
      </c>
      <c r="AU46" s="50">
        <f t="shared" si="11"/>
        <v>24.491071560371971</v>
      </c>
      <c r="AV46" s="50">
        <f t="shared" si="11"/>
        <v>24.704850630483968</v>
      </c>
      <c r="AW46" s="50">
        <f t="shared" si="11"/>
        <v>25.135790377940566</v>
      </c>
      <c r="AX46" s="50">
        <f t="shared" si="11"/>
        <v>24.00699031261323</v>
      </c>
      <c r="AY46" s="50">
        <f t="shared" si="11"/>
        <v>25.638637508189511</v>
      </c>
      <c r="AZ46" s="50">
        <f t="shared" si="11"/>
        <v>24.240171052708501</v>
      </c>
      <c r="BA46" s="41">
        <f t="shared" si="11"/>
        <v>25.638637508189511</v>
      </c>
      <c r="BB46" s="51">
        <f t="shared" si="11"/>
        <v>22.829633194937365</v>
      </c>
      <c r="BC46" s="52">
        <f t="shared" si="11"/>
        <v>23.706497425811264</v>
      </c>
    </row>
    <row r="47" spans="1:55" s="2" customFormat="1" ht="14.25" customHeight="1" x14ac:dyDescent="0.25">
      <c r="A47" s="44" t="s">
        <v>26</v>
      </c>
      <c r="B47" s="53">
        <f t="shared" ref="B47:Q47" si="12">MIN(B15:B45)</f>
        <v>22</v>
      </c>
      <c r="C47" s="53">
        <f t="shared" si="12"/>
        <v>23.3</v>
      </c>
      <c r="D47" s="53">
        <f t="shared" si="12"/>
        <v>24.3</v>
      </c>
      <c r="E47" s="53">
        <f t="shared" si="12"/>
        <v>25.6</v>
      </c>
      <c r="F47" s="53">
        <f t="shared" si="12"/>
        <v>26</v>
      </c>
      <c r="G47" s="53">
        <f t="shared" si="12"/>
        <v>26.6</v>
      </c>
      <c r="H47" s="53">
        <f t="shared" si="12"/>
        <v>27</v>
      </c>
      <c r="I47" s="53">
        <f t="shared" si="12"/>
        <v>26.2</v>
      </c>
      <c r="J47" s="53">
        <f t="shared" si="12"/>
        <v>26</v>
      </c>
      <c r="K47" s="53">
        <f t="shared" si="12"/>
        <v>24</v>
      </c>
      <c r="L47" s="53">
        <f t="shared" si="12"/>
        <v>24.6</v>
      </c>
      <c r="M47" s="53">
        <f t="shared" si="12"/>
        <v>24.2</v>
      </c>
      <c r="N47" s="53">
        <f t="shared" si="12"/>
        <v>23.5</v>
      </c>
      <c r="O47" s="54">
        <f t="shared" si="12"/>
        <v>27.2</v>
      </c>
      <c r="P47" s="53">
        <f t="shared" si="12"/>
        <v>22</v>
      </c>
      <c r="Q47" s="55">
        <f t="shared" si="12"/>
        <v>25.23076923076923</v>
      </c>
      <c r="T47" s="44" t="s">
        <v>26</v>
      </c>
      <c r="U47" s="53">
        <f t="shared" ref="U47:AJ47" si="13">MIN(U15:U45)</f>
        <v>20.3</v>
      </c>
      <c r="V47" s="53">
        <f t="shared" si="13"/>
        <v>21.6</v>
      </c>
      <c r="W47" s="53">
        <f t="shared" si="13"/>
        <v>22</v>
      </c>
      <c r="X47" s="53">
        <f t="shared" si="13"/>
        <v>20.7</v>
      </c>
      <c r="Y47" s="53">
        <f t="shared" si="13"/>
        <v>21.8</v>
      </c>
      <c r="Z47" s="53">
        <f t="shared" si="13"/>
        <v>22</v>
      </c>
      <c r="AA47" s="53">
        <f t="shared" si="13"/>
        <v>22</v>
      </c>
      <c r="AB47" s="53">
        <f t="shared" si="13"/>
        <v>21.8</v>
      </c>
      <c r="AC47" s="53">
        <f t="shared" si="13"/>
        <v>22</v>
      </c>
      <c r="AD47" s="53">
        <f t="shared" si="13"/>
        <v>21.1</v>
      </c>
      <c r="AE47" s="53">
        <f t="shared" si="13"/>
        <v>20.6</v>
      </c>
      <c r="AF47" s="53">
        <f t="shared" si="13"/>
        <v>21.8</v>
      </c>
      <c r="AG47" s="53">
        <f t="shared" si="13"/>
        <v>21.7</v>
      </c>
      <c r="AH47" s="54">
        <f t="shared" si="13"/>
        <v>22.5</v>
      </c>
      <c r="AI47" s="53">
        <f t="shared" si="13"/>
        <v>20.3</v>
      </c>
      <c r="AJ47" s="55">
        <f t="shared" si="13"/>
        <v>21.707692307692305</v>
      </c>
      <c r="AM47" s="44" t="s">
        <v>26</v>
      </c>
      <c r="AN47" s="53">
        <f t="shared" ref="AN47:BC47" si="14">MIN(AN15:AN45)</f>
        <v>19.257754012680614</v>
      </c>
      <c r="AO47" s="53">
        <f t="shared" si="14"/>
        <v>19.814240453128839</v>
      </c>
      <c r="AP47" s="53">
        <f t="shared" si="14"/>
        <v>19.369596532411727</v>
      </c>
      <c r="AQ47" s="53">
        <f t="shared" si="14"/>
        <v>17.80928390118526</v>
      </c>
      <c r="AR47" s="53">
        <f t="shared" si="14"/>
        <v>18.910005539594152</v>
      </c>
      <c r="AS47" s="53">
        <f t="shared" si="14"/>
        <v>18.33587880574952</v>
      </c>
      <c r="AT47" s="53">
        <f t="shared" si="14"/>
        <v>18.160425123531677</v>
      </c>
      <c r="AU47" s="53">
        <f t="shared" si="14"/>
        <v>18.201536572759682</v>
      </c>
      <c r="AV47" s="53">
        <f t="shared" si="14"/>
        <v>18.323731685920357</v>
      </c>
      <c r="AW47" s="53">
        <f t="shared" si="14"/>
        <v>16.969041284954088</v>
      </c>
      <c r="AX47" s="53">
        <f t="shared" si="14"/>
        <v>16.869534564520734</v>
      </c>
      <c r="AY47" s="53">
        <f t="shared" si="14"/>
        <v>19.978562929739009</v>
      </c>
      <c r="AZ47" s="53">
        <f t="shared" si="14"/>
        <v>20.26272482616919</v>
      </c>
      <c r="BA47" s="54">
        <f t="shared" si="14"/>
        <v>20.906151155607944</v>
      </c>
      <c r="BB47" s="53">
        <f t="shared" si="14"/>
        <v>16.869534564520734</v>
      </c>
      <c r="BC47" s="55">
        <f t="shared" si="14"/>
        <v>19.150142998812704</v>
      </c>
    </row>
    <row r="48" spans="1:55" s="2" customFormat="1" ht="14.25" customHeight="1" thickBot="1" x14ac:dyDescent="0.3">
      <c r="A48" s="56" t="s">
        <v>27</v>
      </c>
      <c r="B48" s="47">
        <f t="shared" ref="B48:Q48" si="15">AVERAGE(B15:B45)</f>
        <v>23.477419354838712</v>
      </c>
      <c r="C48" s="47">
        <f t="shared" si="15"/>
        <v>24.987096774193542</v>
      </c>
      <c r="D48" s="47">
        <f t="shared" si="15"/>
        <v>26.345161290322579</v>
      </c>
      <c r="E48" s="47">
        <f t="shared" si="15"/>
        <v>27.674193548387102</v>
      </c>
      <c r="F48" s="47">
        <f t="shared" si="15"/>
        <v>28.645161290322584</v>
      </c>
      <c r="G48" s="47">
        <f t="shared" si="15"/>
        <v>29.274193548387093</v>
      </c>
      <c r="H48" s="47">
        <f t="shared" si="15"/>
        <v>29.587096774193551</v>
      </c>
      <c r="I48" s="47">
        <f t="shared" si="15"/>
        <v>29.387096774193548</v>
      </c>
      <c r="J48" s="47">
        <f t="shared" si="15"/>
        <v>28.929032258064517</v>
      </c>
      <c r="K48" s="47">
        <f t="shared" si="15"/>
        <v>28.064516129032253</v>
      </c>
      <c r="L48" s="47">
        <f t="shared" si="15"/>
        <v>27.038709677419355</v>
      </c>
      <c r="M48" s="47">
        <f t="shared" si="15"/>
        <v>26.070967741935487</v>
      </c>
      <c r="N48" s="47">
        <f t="shared" si="15"/>
        <v>25.364516129032264</v>
      </c>
      <c r="O48" s="46">
        <f t="shared" si="15"/>
        <v>29.912903225806453</v>
      </c>
      <c r="P48" s="47">
        <f t="shared" si="15"/>
        <v>23.445161290322584</v>
      </c>
      <c r="Q48" s="48">
        <f t="shared" si="15"/>
        <v>27.29578163771712</v>
      </c>
      <c r="T48" s="56" t="s">
        <v>27</v>
      </c>
      <c r="U48" s="47">
        <f t="shared" ref="U48:AJ48" si="16">AVERAGE(U15:U45)</f>
        <v>22.219354838709677</v>
      </c>
      <c r="V48" s="47">
        <f t="shared" si="16"/>
        <v>22.806451612903224</v>
      </c>
      <c r="W48" s="47">
        <f t="shared" si="16"/>
        <v>23.141935483870967</v>
      </c>
      <c r="X48" s="47">
        <f t="shared" si="16"/>
        <v>23.529032258064518</v>
      </c>
      <c r="Y48" s="47">
        <f t="shared" si="16"/>
        <v>23.877419354838704</v>
      </c>
      <c r="Z48" s="47">
        <f t="shared" si="16"/>
        <v>24.058064516129026</v>
      </c>
      <c r="AA48" s="47">
        <f t="shared" si="16"/>
        <v>24.274193548387093</v>
      </c>
      <c r="AB48" s="47">
        <f t="shared" si="16"/>
        <v>24.341935483870969</v>
      </c>
      <c r="AC48" s="47">
        <f t="shared" si="16"/>
        <v>24.222580645161283</v>
      </c>
      <c r="AD48" s="47">
        <f t="shared" si="16"/>
        <v>23.977419354838709</v>
      </c>
      <c r="AE48" s="47">
        <f t="shared" si="16"/>
        <v>23.474193548387106</v>
      </c>
      <c r="AF48" s="47">
        <f t="shared" si="16"/>
        <v>23.293548387096774</v>
      </c>
      <c r="AG48" s="47">
        <f t="shared" si="16"/>
        <v>23.003225806451621</v>
      </c>
      <c r="AH48" s="46">
        <f t="shared" si="16"/>
        <v>24.735483870967741</v>
      </c>
      <c r="AI48" s="47">
        <f t="shared" si="16"/>
        <v>22.096774193548388</v>
      </c>
      <c r="AJ48" s="48">
        <f t="shared" si="16"/>
        <v>23.555334987593053</v>
      </c>
      <c r="AM48" s="56" t="s">
        <v>27</v>
      </c>
      <c r="AN48" s="47">
        <f t="shared" ref="AN48:BC48" si="17">AVERAGE(AN15:AN45)</f>
        <v>21.490192429925948</v>
      </c>
      <c r="AO48" s="47">
        <f t="shared" si="17"/>
        <v>21.639730187252123</v>
      </c>
      <c r="AP48" s="47">
        <f t="shared" si="17"/>
        <v>21.483261159485544</v>
      </c>
      <c r="AQ48" s="47">
        <f t="shared" si="17"/>
        <v>21.422752135249951</v>
      </c>
      <c r="AR48" s="47">
        <f t="shared" si="17"/>
        <v>21.504572833808833</v>
      </c>
      <c r="AS48" s="47">
        <f t="shared" si="17"/>
        <v>21.476029307953823</v>
      </c>
      <c r="AT48" s="47">
        <f t="shared" si="17"/>
        <v>21.664754961752273</v>
      </c>
      <c r="AU48" s="47">
        <f t="shared" si="17"/>
        <v>21.87012075444439</v>
      </c>
      <c r="AV48" s="47">
        <f t="shared" si="17"/>
        <v>21.905293476415547</v>
      </c>
      <c r="AW48" s="47">
        <f t="shared" si="17"/>
        <v>21.936037455339193</v>
      </c>
      <c r="AX48" s="47">
        <f t="shared" si="17"/>
        <v>21.634409144155921</v>
      </c>
      <c r="AY48" s="47">
        <f t="shared" si="17"/>
        <v>21.844437051425331</v>
      </c>
      <c r="AZ48" s="47">
        <f t="shared" si="17"/>
        <v>21.749542067961638</v>
      </c>
      <c r="BA48" s="46">
        <f t="shared" si="17"/>
        <v>22.862390762481756</v>
      </c>
      <c r="BB48" s="47">
        <f t="shared" si="17"/>
        <v>20.539597295612399</v>
      </c>
      <c r="BC48" s="48">
        <f t="shared" si="17"/>
        <v>21.663164074243888</v>
      </c>
    </row>
    <row r="49" spans="1:52" s="2" customFormat="1" ht="13.8" thickTop="1" x14ac:dyDescent="0.25">
      <c r="A49" s="1"/>
      <c r="T49" s="1"/>
      <c r="AM49" s="1"/>
    </row>
    <row r="50" spans="1:52" s="2" customFormat="1" ht="13.2" x14ac:dyDescent="0.25">
      <c r="A50" s="1"/>
      <c r="C50" s="1" t="str">
        <f>[7]QFF!C42</f>
        <v>Mengetahui,</v>
      </c>
      <c r="T50" s="1"/>
      <c r="V50" s="1" t="str">
        <f>C50</f>
        <v>Mengetahui,</v>
      </c>
      <c r="AM50" s="1"/>
      <c r="AO50" s="1" t="str">
        <f>V50</f>
        <v>Mengetahui,</v>
      </c>
    </row>
    <row r="51" spans="1:52" s="2" customFormat="1" ht="13.2" x14ac:dyDescent="0.25">
      <c r="A51" s="1"/>
      <c r="C51" s="1" t="str">
        <f>[7]QFF!C43</f>
        <v>Kepala Stasiun Klimatologi Kelas IV</v>
      </c>
      <c r="N51" s="1" t="str">
        <f>[7]QFF!N43</f>
        <v>Pengolah</v>
      </c>
      <c r="T51" s="1"/>
      <c r="V51" s="1" t="str">
        <f>C51</f>
        <v>Kepala Stasiun Klimatologi Kelas IV</v>
      </c>
      <c r="AG51" s="1" t="str">
        <f>N51</f>
        <v>Pengolah</v>
      </c>
      <c r="AM51" s="1"/>
      <c r="AO51" s="1" t="str">
        <f>V51</f>
        <v>Kepala Stasiun Klimatologi Kelas IV</v>
      </c>
      <c r="AZ51" s="1" t="str">
        <f>AG51</f>
        <v>Pengolah</v>
      </c>
    </row>
    <row r="52" spans="1:52" s="2" customFormat="1" ht="13.2" x14ac:dyDescent="0.25">
      <c r="A52" s="1"/>
      <c r="C52" s="1" t="str">
        <f>[7]QFF!C44</f>
        <v>Sleman Yogyakarta</v>
      </c>
      <c r="N52" s="1"/>
      <c r="T52" s="1"/>
      <c r="V52" s="1" t="str">
        <f>C52</f>
        <v>Sleman Yogyakarta</v>
      </c>
      <c r="AG52" s="1"/>
      <c r="AM52" s="1"/>
      <c r="AO52" s="1" t="str">
        <f>V52</f>
        <v>Sleman Yogyakarta</v>
      </c>
      <c r="AZ52" s="1"/>
    </row>
    <row r="53" spans="1:52" s="2" customFormat="1" ht="13.2" x14ac:dyDescent="0.25">
      <c r="A53" s="1"/>
      <c r="C53" s="1"/>
      <c r="N53" s="1"/>
      <c r="T53" s="1"/>
      <c r="V53" s="1"/>
      <c r="AG53" s="1"/>
      <c r="AM53" s="1"/>
      <c r="AO53" s="1"/>
      <c r="AZ53" s="1"/>
    </row>
    <row r="54" spans="1:52" s="2" customFormat="1" ht="13.2" x14ac:dyDescent="0.25">
      <c r="A54" s="1"/>
      <c r="C54" s="1"/>
      <c r="N54" s="1"/>
      <c r="T54" s="1"/>
      <c r="V54" s="1"/>
      <c r="AG54" s="1"/>
      <c r="AM54" s="1"/>
      <c r="AO54" s="1"/>
      <c r="AZ54" s="1"/>
    </row>
    <row r="55" spans="1:52" s="2" customFormat="1" ht="13.2" x14ac:dyDescent="0.25">
      <c r="A55" s="1"/>
      <c r="C55" s="1"/>
      <c r="N55" s="1"/>
      <c r="T55" s="1"/>
      <c r="V55" s="1"/>
      <c r="AG55" s="1"/>
      <c r="AM55" s="1"/>
      <c r="AO55" s="1"/>
      <c r="AZ55" s="1"/>
    </row>
    <row r="56" spans="1:52" s="2" customFormat="1" ht="13.2" x14ac:dyDescent="0.25">
      <c r="A56" s="1"/>
      <c r="C56" s="1"/>
      <c r="N56" s="1"/>
      <c r="T56" s="1"/>
      <c r="V56" s="1"/>
      <c r="AG56" s="1"/>
      <c r="AM56" s="1"/>
      <c r="AO56" s="1"/>
      <c r="AZ56" s="1"/>
    </row>
    <row r="57" spans="1:52" s="2" customFormat="1" ht="13.2" x14ac:dyDescent="0.25">
      <c r="A57" s="1"/>
      <c r="C57" s="30" t="str">
        <f>[7]QFF!C49</f>
        <v>RENI KRANINGTYAS, SP, M.Si</v>
      </c>
      <c r="N57" s="30" t="str">
        <f>[7]QFF!N49</f>
        <v xml:space="preserve">TIM PEMBUAT LAPORAN </v>
      </c>
      <c r="T57" s="1"/>
      <c r="V57" s="30" t="str">
        <f>C57</f>
        <v>RENI KRANINGTYAS, SP, M.Si</v>
      </c>
      <c r="AG57" s="30" t="str">
        <f>N57</f>
        <v xml:space="preserve">TIM PEMBUAT LAPORAN </v>
      </c>
      <c r="AM57" s="1"/>
      <c r="AO57" s="30" t="str">
        <f>V57</f>
        <v>RENI KRANINGTYAS, SP, M.Si</v>
      </c>
      <c r="AZ57" s="30" t="str">
        <f>AG57</f>
        <v xml:space="preserve">TIM PEMBUAT LAPORAN </v>
      </c>
    </row>
    <row r="58" spans="1:52" s="2" customFormat="1" ht="13.2" x14ac:dyDescent="0.25">
      <c r="A58" s="1"/>
      <c r="C58" s="1" t="str">
        <f>[7]QFF!C50</f>
        <v>NIP.  19740203 199703 2 001</v>
      </c>
      <c r="N58" s="1" t="str">
        <f>[7]QFF!N50</f>
        <v xml:space="preserve">PETUGAS OPERASIONAL </v>
      </c>
      <c r="T58" s="1"/>
      <c r="V58" s="1" t="str">
        <f>C58</f>
        <v>NIP.  19740203 199703 2 001</v>
      </c>
      <c r="AG58" s="1" t="str">
        <f>N58</f>
        <v xml:space="preserve">PETUGAS OPERASIONAL </v>
      </c>
      <c r="AM58" s="1"/>
      <c r="AO58" s="1" t="str">
        <f>V58</f>
        <v>NIP.  19740203 199703 2 001</v>
      </c>
      <c r="AZ58" s="1" t="str">
        <f>AG58</f>
        <v xml:space="preserve">PETUGAS OPERASIONAL </v>
      </c>
    </row>
    <row r="59" spans="1:52" s="2" customFormat="1" ht="13.2" x14ac:dyDescent="0.25">
      <c r="A59" s="1"/>
      <c r="T59" s="1"/>
      <c r="AM59" s="1"/>
    </row>
  </sheetData>
  <mergeCells count="69">
    <mergeCell ref="BA13:BA14"/>
    <mergeCell ref="BB13:BB14"/>
    <mergeCell ref="BC13:BC14"/>
    <mergeCell ref="AU13:AU14"/>
    <mergeCell ref="AV13:AV14"/>
    <mergeCell ref="AW13:AW14"/>
    <mergeCell ref="AX13:AX14"/>
    <mergeCell ref="AY13:AY14"/>
    <mergeCell ref="AZ13:AZ14"/>
    <mergeCell ref="AT13:AT14"/>
    <mergeCell ref="AG13:AG14"/>
    <mergeCell ref="AH13:AH14"/>
    <mergeCell ref="AI13:AI14"/>
    <mergeCell ref="AJ13:AJ14"/>
    <mergeCell ref="AM13:AM14"/>
    <mergeCell ref="AN13:AN14"/>
    <mergeCell ref="AO13:AO14"/>
    <mergeCell ref="AP13:AP14"/>
    <mergeCell ref="AQ13:AQ14"/>
    <mergeCell ref="AR13:AR14"/>
    <mergeCell ref="AS13:AS14"/>
    <mergeCell ref="O13:O14"/>
    <mergeCell ref="P13:P14"/>
    <mergeCell ref="Q13:Q14"/>
    <mergeCell ref="AF13:AF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J13:J14"/>
    <mergeCell ref="K13:K14"/>
    <mergeCell ref="L13:L14"/>
    <mergeCell ref="M13:M14"/>
    <mergeCell ref="N13:N14"/>
    <mergeCell ref="F13:F14"/>
    <mergeCell ref="A6:Q6"/>
    <mergeCell ref="T6:AJ6"/>
    <mergeCell ref="AM6:BC6"/>
    <mergeCell ref="A7:Q7"/>
    <mergeCell ref="T7:AJ7"/>
    <mergeCell ref="AM7:BC7"/>
    <mergeCell ref="A13:A14"/>
    <mergeCell ref="B13:B14"/>
    <mergeCell ref="C13:C14"/>
    <mergeCell ref="D13:D14"/>
    <mergeCell ref="E13:E14"/>
    <mergeCell ref="T13:T14"/>
    <mergeCell ref="G13:G14"/>
    <mergeCell ref="H13:H14"/>
    <mergeCell ref="I13:I14"/>
    <mergeCell ref="A3:Q3"/>
    <mergeCell ref="T3:AJ3"/>
    <mergeCell ref="AM3:BC3"/>
    <mergeCell ref="A4:Q4"/>
    <mergeCell ref="T4:AJ4"/>
    <mergeCell ref="AM4:BC4"/>
    <mergeCell ref="A1:Q1"/>
    <mergeCell ref="T1:AJ1"/>
    <mergeCell ref="AM1:BC1"/>
    <mergeCell ref="A2:Q2"/>
    <mergeCell ref="T2:AJ2"/>
    <mergeCell ref="AM2:BC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BE58"/>
  <sheetViews>
    <sheetView topLeftCell="AC12" workbookViewId="0">
      <selection activeCell="AM34" sqref="AM34"/>
    </sheetView>
  </sheetViews>
  <sheetFormatPr defaultRowHeight="14.4" x14ac:dyDescent="0.3"/>
  <sheetData>
    <row r="1" spans="1:57" x14ac:dyDescent="0.3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T1" s="104" t="s">
        <v>33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M1" s="104" t="s">
        <v>33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</row>
    <row r="2" spans="1:57" x14ac:dyDescent="0.3">
      <c r="A2" s="104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T2" s="104" t="s">
        <v>34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M2" s="104" t="s">
        <v>34</v>
      </c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</row>
    <row r="3" spans="1:57" x14ac:dyDescent="0.3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T3" s="105" t="s">
        <v>35</v>
      </c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M3" s="105" t="s">
        <v>35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</row>
    <row r="4" spans="1:57" ht="15" thickBot="1" x14ac:dyDescent="0.35">
      <c r="A4" s="106" t="s">
        <v>36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T4" s="106" t="s">
        <v>36</v>
      </c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M4" s="106" t="s">
        <v>36</v>
      </c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</row>
    <row r="5" spans="1:57" ht="6.75" customHeight="1" x14ac:dyDescent="0.3">
      <c r="A5" s="34"/>
      <c r="B5" s="34"/>
      <c r="C5" s="34"/>
      <c r="D5" s="34"/>
      <c r="E5" s="34"/>
      <c r="F5" s="34"/>
      <c r="T5" s="34"/>
      <c r="U5" s="34"/>
      <c r="V5" s="34"/>
      <c r="W5" s="34"/>
      <c r="X5" s="34"/>
      <c r="Y5" s="34"/>
      <c r="AM5" s="34"/>
      <c r="AN5" s="34"/>
      <c r="AO5" s="34"/>
      <c r="AP5" s="34"/>
      <c r="AQ5" s="34"/>
      <c r="AR5" s="34"/>
    </row>
    <row r="6" spans="1:57" x14ac:dyDescent="0.3">
      <c r="A6" s="107" t="s">
        <v>45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T6" s="107" t="s">
        <v>47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M6" s="107" t="s">
        <v>48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</row>
    <row r="7" spans="1:57" ht="14.25" customHeight="1" x14ac:dyDescent="0.3">
      <c r="A7" s="103" t="s">
        <v>50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T7" s="103" t="str">
        <f>A7</f>
        <v>BULAN  : SEPTEMBER 2022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M7" s="103" t="str">
        <f>T7</f>
        <v>BULAN  : SEPTEMBER 2022</v>
      </c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7" ht="7.5" customHeight="1" x14ac:dyDescent="0.3"/>
    <row r="9" spans="1:57" x14ac:dyDescent="0.3">
      <c r="A9" s="35" t="s">
        <v>37</v>
      </c>
      <c r="B9" s="35"/>
      <c r="C9" s="36" t="s">
        <v>38</v>
      </c>
      <c r="T9" s="35" t="s">
        <v>37</v>
      </c>
      <c r="U9" s="35"/>
      <c r="V9" s="36" t="s">
        <v>38</v>
      </c>
      <c r="AM9" s="35" t="s">
        <v>37</v>
      </c>
      <c r="AN9" s="35"/>
      <c r="AO9" s="36" t="s">
        <v>38</v>
      </c>
    </row>
    <row r="10" spans="1:57" x14ac:dyDescent="0.3">
      <c r="A10" t="s">
        <v>39</v>
      </c>
      <c r="B10" s="35"/>
      <c r="C10" t="s">
        <v>40</v>
      </c>
      <c r="T10" t="s">
        <v>39</v>
      </c>
      <c r="U10" s="35"/>
      <c r="V10" t="s">
        <v>40</v>
      </c>
      <c r="AM10" t="s">
        <v>39</v>
      </c>
      <c r="AN10" s="35"/>
      <c r="AO10" t="s">
        <v>40</v>
      </c>
    </row>
    <row r="11" spans="1:57" x14ac:dyDescent="0.3">
      <c r="A11" t="s">
        <v>41</v>
      </c>
      <c r="C11" t="s">
        <v>42</v>
      </c>
      <c r="P11" s="37" t="s">
        <v>43</v>
      </c>
      <c r="Q11" s="38" t="s">
        <v>44</v>
      </c>
      <c r="T11" t="s">
        <v>41</v>
      </c>
      <c r="V11" t="s">
        <v>42</v>
      </c>
      <c r="AI11" s="37" t="s">
        <v>43</v>
      </c>
      <c r="AJ11" s="38" t="s">
        <v>44</v>
      </c>
      <c r="AM11" t="s">
        <v>41</v>
      </c>
      <c r="AO11" t="s">
        <v>42</v>
      </c>
      <c r="BB11" s="37" t="s">
        <v>43</v>
      </c>
      <c r="BC11" s="38" t="s">
        <v>44</v>
      </c>
    </row>
    <row r="12" spans="1:57" s="2" customFormat="1" ht="9" customHeight="1" thickBot="1" x14ac:dyDescent="0.3">
      <c r="A12" s="1"/>
      <c r="F12" s="3"/>
      <c r="G12" s="3"/>
      <c r="H12" s="3"/>
      <c r="I12" s="3"/>
      <c r="J12" s="3"/>
      <c r="K12" s="3"/>
      <c r="L12" s="3"/>
      <c r="T12" s="1"/>
      <c r="Y12" s="3"/>
      <c r="Z12" s="3"/>
      <c r="AA12" s="3"/>
      <c r="AB12" s="3"/>
      <c r="AC12" s="3"/>
      <c r="AD12" s="3"/>
      <c r="AE12" s="3"/>
      <c r="AM12" s="1"/>
      <c r="AR12" s="3"/>
      <c r="AS12" s="3"/>
      <c r="AT12" s="3"/>
      <c r="AU12" s="3"/>
      <c r="AV12" s="3"/>
      <c r="AW12" s="3"/>
      <c r="AX12" s="3"/>
    </row>
    <row r="13" spans="1:57" s="2" customFormat="1" ht="14.25" customHeight="1" thickTop="1" x14ac:dyDescent="0.25">
      <c r="A13" s="99" t="s">
        <v>8</v>
      </c>
      <c r="B13" s="101" t="s">
        <v>9</v>
      </c>
      <c r="C13" s="101" t="s">
        <v>10</v>
      </c>
      <c r="D13" s="101" t="s">
        <v>11</v>
      </c>
      <c r="E13" s="101" t="s">
        <v>12</v>
      </c>
      <c r="F13" s="101" t="s">
        <v>13</v>
      </c>
      <c r="G13" s="101" t="s">
        <v>14</v>
      </c>
      <c r="H13" s="101" t="s">
        <v>15</v>
      </c>
      <c r="I13" s="101" t="s">
        <v>16</v>
      </c>
      <c r="J13" s="101" t="s">
        <v>17</v>
      </c>
      <c r="K13" s="101" t="s">
        <v>18</v>
      </c>
      <c r="L13" s="101" t="s">
        <v>19</v>
      </c>
      <c r="M13" s="101" t="s">
        <v>20</v>
      </c>
      <c r="N13" s="101" t="s">
        <v>21</v>
      </c>
      <c r="O13" s="97" t="s">
        <v>22</v>
      </c>
      <c r="P13" s="97" t="s">
        <v>23</v>
      </c>
      <c r="Q13" s="101" t="s">
        <v>24</v>
      </c>
      <c r="T13" s="99" t="s">
        <v>8</v>
      </c>
      <c r="U13" s="101" t="s">
        <v>9</v>
      </c>
      <c r="V13" s="101" t="s">
        <v>10</v>
      </c>
      <c r="W13" s="101" t="s">
        <v>11</v>
      </c>
      <c r="X13" s="101" t="s">
        <v>12</v>
      </c>
      <c r="Y13" s="101" t="s">
        <v>13</v>
      </c>
      <c r="Z13" s="101" t="s">
        <v>14</v>
      </c>
      <c r="AA13" s="101" t="s">
        <v>15</v>
      </c>
      <c r="AB13" s="101" t="s">
        <v>16</v>
      </c>
      <c r="AC13" s="101" t="s">
        <v>17</v>
      </c>
      <c r="AD13" s="101" t="s">
        <v>18</v>
      </c>
      <c r="AE13" s="101" t="s">
        <v>19</v>
      </c>
      <c r="AF13" s="101" t="s">
        <v>20</v>
      </c>
      <c r="AG13" s="101" t="s">
        <v>21</v>
      </c>
      <c r="AH13" s="97" t="s">
        <v>22</v>
      </c>
      <c r="AI13" s="97" t="s">
        <v>23</v>
      </c>
      <c r="AJ13" s="101" t="s">
        <v>24</v>
      </c>
      <c r="AM13" s="99" t="s">
        <v>8</v>
      </c>
      <c r="AN13" s="101" t="s">
        <v>9</v>
      </c>
      <c r="AO13" s="101" t="s">
        <v>10</v>
      </c>
      <c r="AP13" s="101" t="s">
        <v>11</v>
      </c>
      <c r="AQ13" s="101" t="s">
        <v>12</v>
      </c>
      <c r="AR13" s="101" t="s">
        <v>13</v>
      </c>
      <c r="AS13" s="101" t="s">
        <v>14</v>
      </c>
      <c r="AT13" s="101" t="s">
        <v>15</v>
      </c>
      <c r="AU13" s="101" t="s">
        <v>16</v>
      </c>
      <c r="AV13" s="101" t="s">
        <v>17</v>
      </c>
      <c r="AW13" s="101" t="s">
        <v>18</v>
      </c>
      <c r="AX13" s="101" t="s">
        <v>19</v>
      </c>
      <c r="AY13" s="101" t="s">
        <v>20</v>
      </c>
      <c r="AZ13" s="101" t="s">
        <v>21</v>
      </c>
      <c r="BA13" s="97" t="s">
        <v>22</v>
      </c>
      <c r="BB13" s="97" t="s">
        <v>23</v>
      </c>
      <c r="BC13" s="101" t="s">
        <v>24</v>
      </c>
    </row>
    <row r="14" spans="1:57" s="2" customFormat="1" ht="14.25" customHeight="1" thickBot="1" x14ac:dyDescent="0.3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98"/>
      <c r="P14" s="98"/>
      <c r="Q14" s="102"/>
      <c r="R14" s="8"/>
      <c r="S14" s="8"/>
      <c r="T14" s="100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98"/>
      <c r="AI14" s="98"/>
      <c r="AJ14" s="102"/>
      <c r="AK14" s="8"/>
      <c r="AL14" s="8"/>
      <c r="AM14" s="100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98"/>
      <c r="BB14" s="98"/>
      <c r="BC14" s="102"/>
      <c r="BD14" s="8"/>
      <c r="BE14" s="8"/>
    </row>
    <row r="15" spans="1:57" s="2" customFormat="1" ht="14.25" customHeight="1" thickTop="1" x14ac:dyDescent="0.25">
      <c r="A15" s="39">
        <v>1</v>
      </c>
      <c r="B15" s="40">
        <v>23.6</v>
      </c>
      <c r="C15" s="40">
        <v>25.4</v>
      </c>
      <c r="D15" s="40">
        <v>27.2</v>
      </c>
      <c r="E15" s="40">
        <v>29</v>
      </c>
      <c r="F15" s="40">
        <v>29.5</v>
      </c>
      <c r="G15" s="40">
        <v>29.8</v>
      </c>
      <c r="H15" s="40">
        <v>31.2</v>
      </c>
      <c r="I15" s="40">
        <v>30.4</v>
      </c>
      <c r="J15" s="40">
        <v>30.4</v>
      </c>
      <c r="K15" s="40">
        <v>30.4</v>
      </c>
      <c r="L15" s="40">
        <v>28</v>
      </c>
      <c r="M15" s="40">
        <v>27</v>
      </c>
      <c r="N15" s="40">
        <v>26.4</v>
      </c>
      <c r="O15" s="41">
        <v>31.2</v>
      </c>
      <c r="P15" s="42">
        <v>23.6</v>
      </c>
      <c r="Q15" s="43">
        <v>28.330769230769228</v>
      </c>
      <c r="T15" s="39">
        <v>1</v>
      </c>
      <c r="U15" s="40">
        <v>22.8</v>
      </c>
      <c r="V15" s="40">
        <v>23.4</v>
      </c>
      <c r="W15" s="40">
        <v>24.4</v>
      </c>
      <c r="X15" s="40">
        <v>24.8</v>
      </c>
      <c r="Y15" s="40">
        <v>24.6</v>
      </c>
      <c r="Z15" s="40">
        <v>24.4</v>
      </c>
      <c r="AA15" s="40">
        <v>24.8</v>
      </c>
      <c r="AB15" s="40">
        <v>25.6</v>
      </c>
      <c r="AC15" s="40">
        <v>25.2</v>
      </c>
      <c r="AD15" s="40">
        <v>25</v>
      </c>
      <c r="AE15" s="40">
        <v>24.6</v>
      </c>
      <c r="AF15" s="40">
        <v>24.6</v>
      </c>
      <c r="AG15" s="40">
        <v>24.4</v>
      </c>
      <c r="AH15" s="41">
        <v>25.6</v>
      </c>
      <c r="AI15" s="42">
        <v>22.8</v>
      </c>
      <c r="AJ15" s="43">
        <v>24.507692307692309</v>
      </c>
      <c r="AM15" s="39">
        <v>1</v>
      </c>
      <c r="AN15" s="40">
        <v>22.317767571519479</v>
      </c>
      <c r="AO15" s="40">
        <v>22.361484869154971</v>
      </c>
      <c r="AP15" s="40">
        <v>23.043390041601409</v>
      </c>
      <c r="AQ15" s="40">
        <v>22.824546080853771</v>
      </c>
      <c r="AR15" s="40">
        <v>22.268387984669609</v>
      </c>
      <c r="AS15" s="40">
        <v>21.797098187157214</v>
      </c>
      <c r="AT15" s="40">
        <v>21.762806904664341</v>
      </c>
      <c r="AU15" s="40">
        <v>23.434498887866557</v>
      </c>
      <c r="AV15" s="40">
        <v>22.801298714331175</v>
      </c>
      <c r="AW15" s="40">
        <v>22.480159668280084</v>
      </c>
      <c r="AX15" s="40">
        <v>22.979754663101517</v>
      </c>
      <c r="AY15" s="40">
        <v>23.439555090650348</v>
      </c>
      <c r="AZ15" s="40">
        <v>23.41088917767016</v>
      </c>
      <c r="BA15" s="41">
        <v>23.439555090650348</v>
      </c>
      <c r="BB15" s="42">
        <v>21.762806904664341</v>
      </c>
      <c r="BC15" s="43">
        <v>22.68627983396313</v>
      </c>
    </row>
    <row r="16" spans="1:57" s="2" customFormat="1" ht="14.25" customHeight="1" x14ac:dyDescent="0.25">
      <c r="A16" s="44">
        <v>2</v>
      </c>
      <c r="B16" s="40">
        <v>24.4</v>
      </c>
      <c r="C16" s="40">
        <v>26</v>
      </c>
      <c r="D16" s="40">
        <v>28</v>
      </c>
      <c r="E16" s="40">
        <v>29.6</v>
      </c>
      <c r="F16" s="40">
        <v>31</v>
      </c>
      <c r="G16" s="40">
        <v>31</v>
      </c>
      <c r="H16" s="40">
        <v>31.3</v>
      </c>
      <c r="I16" s="40">
        <v>31.7</v>
      </c>
      <c r="J16" s="40">
        <v>30.6</v>
      </c>
      <c r="K16" s="40">
        <v>29.9</v>
      </c>
      <c r="L16" s="40">
        <v>28.2</v>
      </c>
      <c r="M16" s="40">
        <v>26.4</v>
      </c>
      <c r="N16" s="40">
        <v>25.1</v>
      </c>
      <c r="O16" s="41">
        <v>31.7</v>
      </c>
      <c r="P16" s="42">
        <v>24.4</v>
      </c>
      <c r="Q16" s="45">
        <v>28.707692307692305</v>
      </c>
      <c r="T16" s="44">
        <v>2</v>
      </c>
      <c r="U16" s="40">
        <v>23.2</v>
      </c>
      <c r="V16" s="40">
        <v>23.8</v>
      </c>
      <c r="W16" s="40">
        <v>24.4</v>
      </c>
      <c r="X16" s="40">
        <v>25</v>
      </c>
      <c r="Y16" s="40">
        <v>25</v>
      </c>
      <c r="Z16" s="40">
        <v>25.4</v>
      </c>
      <c r="AA16" s="40">
        <v>26</v>
      </c>
      <c r="AB16" s="40">
        <v>26.4</v>
      </c>
      <c r="AC16" s="40">
        <v>25.4</v>
      </c>
      <c r="AD16" s="40">
        <v>25</v>
      </c>
      <c r="AE16" s="40">
        <v>24.3</v>
      </c>
      <c r="AF16" s="40">
        <v>24</v>
      </c>
      <c r="AG16" s="40">
        <v>23.8</v>
      </c>
      <c r="AH16" s="41">
        <v>26.4</v>
      </c>
      <c r="AI16" s="42">
        <v>23.2</v>
      </c>
      <c r="AJ16" s="45">
        <v>24.746153846153849</v>
      </c>
      <c r="AM16" s="44">
        <v>2</v>
      </c>
      <c r="AN16" s="40">
        <v>22.536281516172753</v>
      </c>
      <c r="AO16" s="40">
        <v>22.687327425827569</v>
      </c>
      <c r="AP16" s="40">
        <v>22.668616177039841</v>
      </c>
      <c r="AQ16" s="40">
        <v>22.858668311959782</v>
      </c>
      <c r="AR16" s="40">
        <v>22.191206158280181</v>
      </c>
      <c r="AS16" s="40">
        <v>22.840111988888175</v>
      </c>
      <c r="AT16" s="40">
        <v>23.656193828305195</v>
      </c>
      <c r="AU16" s="40">
        <v>24.105134264080455</v>
      </c>
      <c r="AV16" s="40">
        <v>23.026747545268133</v>
      </c>
      <c r="AW16" s="40">
        <v>22.717615360250939</v>
      </c>
      <c r="AX16" s="40">
        <v>22.416307835567977</v>
      </c>
      <c r="AY16" s="40">
        <v>22.804533908537021</v>
      </c>
      <c r="AZ16" s="40">
        <v>23.108002021084449</v>
      </c>
      <c r="BA16" s="41">
        <v>24.105134264080455</v>
      </c>
      <c r="BB16" s="42">
        <v>22.191206158280181</v>
      </c>
      <c r="BC16" s="45">
        <v>22.893595872404806</v>
      </c>
    </row>
    <row r="17" spans="1:55" s="2" customFormat="1" ht="14.25" customHeight="1" x14ac:dyDescent="0.25">
      <c r="A17" s="44">
        <v>3</v>
      </c>
      <c r="B17" s="40">
        <v>24</v>
      </c>
      <c r="C17" s="40">
        <v>25.1</v>
      </c>
      <c r="D17" s="40">
        <v>26.4</v>
      </c>
      <c r="E17" s="40">
        <v>28</v>
      </c>
      <c r="F17" s="40">
        <v>28.8</v>
      </c>
      <c r="G17" s="40">
        <v>29.3</v>
      </c>
      <c r="H17" s="40">
        <v>29.3</v>
      </c>
      <c r="I17" s="40">
        <v>29.3</v>
      </c>
      <c r="J17" s="40">
        <v>30</v>
      </c>
      <c r="K17" s="40">
        <v>29</v>
      </c>
      <c r="L17" s="40">
        <v>27.2</v>
      </c>
      <c r="M17" s="40">
        <v>25.6</v>
      </c>
      <c r="N17" s="40">
        <v>24.9</v>
      </c>
      <c r="O17" s="41">
        <v>30</v>
      </c>
      <c r="P17" s="42">
        <v>24</v>
      </c>
      <c r="Q17" s="45">
        <v>27.453846153846158</v>
      </c>
      <c r="T17" s="44">
        <v>3</v>
      </c>
      <c r="U17" s="40">
        <v>23.5</v>
      </c>
      <c r="V17" s="40">
        <v>23.7</v>
      </c>
      <c r="W17" s="40">
        <v>24</v>
      </c>
      <c r="X17" s="40">
        <v>24.3</v>
      </c>
      <c r="Y17" s="40">
        <v>24.2</v>
      </c>
      <c r="Z17" s="40">
        <v>24.6</v>
      </c>
      <c r="AA17" s="40">
        <v>24.3</v>
      </c>
      <c r="AB17" s="40">
        <v>24.5</v>
      </c>
      <c r="AC17" s="40">
        <v>24.6</v>
      </c>
      <c r="AD17" s="40">
        <v>24.2</v>
      </c>
      <c r="AE17" s="40">
        <v>23.7</v>
      </c>
      <c r="AF17" s="40">
        <v>23.2</v>
      </c>
      <c r="AG17" s="40">
        <v>23.1</v>
      </c>
      <c r="AH17" s="41">
        <v>24.6</v>
      </c>
      <c r="AI17" s="42">
        <v>23.1</v>
      </c>
      <c r="AJ17" s="45">
        <v>23.992307692307694</v>
      </c>
      <c r="AM17" s="44">
        <v>3</v>
      </c>
      <c r="AN17" s="40">
        <v>23.170595097320081</v>
      </c>
      <c r="AO17" s="40">
        <v>22.958279350460575</v>
      </c>
      <c r="AP17" s="40">
        <v>22.804533908537021</v>
      </c>
      <c r="AQ17" s="40">
        <v>22.511967446185952</v>
      </c>
      <c r="AR17" s="40">
        <v>21.965723227091431</v>
      </c>
      <c r="AS17" s="40">
        <v>22.364801778753755</v>
      </c>
      <c r="AT17" s="40">
        <v>21.881305633243002</v>
      </c>
      <c r="AU17" s="40">
        <v>22.204427790343093</v>
      </c>
      <c r="AV17" s="40">
        <v>22.025168782248613</v>
      </c>
      <c r="AW17" s="40">
        <v>21.867237103039482</v>
      </c>
      <c r="AX17" s="40">
        <v>21.953553690922497</v>
      </c>
      <c r="AY17" s="40">
        <v>21.955694513131515</v>
      </c>
      <c r="AZ17" s="40">
        <v>22.14358942127188</v>
      </c>
      <c r="BA17" s="41">
        <v>23.170595097320081</v>
      </c>
      <c r="BB17" s="42">
        <v>21.867237103039482</v>
      </c>
      <c r="BC17" s="45">
        <v>22.29283674942684</v>
      </c>
    </row>
    <row r="18" spans="1:55" s="2" customFormat="1" ht="14.25" customHeight="1" x14ac:dyDescent="0.25">
      <c r="A18" s="44">
        <v>4</v>
      </c>
      <c r="B18" s="40">
        <v>22.3</v>
      </c>
      <c r="C18" s="40">
        <v>24.1</v>
      </c>
      <c r="D18" s="40">
        <v>25.8</v>
      </c>
      <c r="E18" s="40">
        <v>27.4</v>
      </c>
      <c r="F18" s="40">
        <v>28</v>
      </c>
      <c r="G18" s="40">
        <v>29.1</v>
      </c>
      <c r="H18" s="40">
        <v>29.9</v>
      </c>
      <c r="I18" s="40">
        <v>29.6</v>
      </c>
      <c r="J18" s="40">
        <v>29.6</v>
      </c>
      <c r="K18" s="40">
        <v>29</v>
      </c>
      <c r="L18" s="40">
        <v>26.6</v>
      </c>
      <c r="M18" s="40">
        <v>26.2</v>
      </c>
      <c r="N18" s="40">
        <v>25</v>
      </c>
      <c r="O18" s="41">
        <v>29.9</v>
      </c>
      <c r="P18" s="42">
        <v>22.3</v>
      </c>
      <c r="Q18" s="45">
        <v>27.123076923076919</v>
      </c>
      <c r="T18" s="44">
        <v>4</v>
      </c>
      <c r="U18" s="40">
        <v>21.3</v>
      </c>
      <c r="V18" s="40">
        <v>22.1</v>
      </c>
      <c r="W18" s="40">
        <v>23.9</v>
      </c>
      <c r="X18" s="40">
        <v>23.4</v>
      </c>
      <c r="Y18" s="40">
        <v>22.9</v>
      </c>
      <c r="Z18" s="40">
        <v>23.4</v>
      </c>
      <c r="AA18" s="40">
        <v>23.6</v>
      </c>
      <c r="AB18" s="40">
        <v>24.4</v>
      </c>
      <c r="AC18" s="40">
        <v>24.4</v>
      </c>
      <c r="AD18" s="40">
        <v>23.8</v>
      </c>
      <c r="AE18" s="40">
        <v>23.8</v>
      </c>
      <c r="AF18" s="40">
        <v>23.6</v>
      </c>
      <c r="AG18" s="40">
        <v>23.6</v>
      </c>
      <c r="AH18" s="41">
        <v>24.4</v>
      </c>
      <c r="AI18" s="42">
        <v>21.3</v>
      </c>
      <c r="AJ18" s="45">
        <v>23.400000000000009</v>
      </c>
      <c r="AM18" s="44">
        <v>4</v>
      </c>
      <c r="AN18" s="40">
        <v>20.680507060242164</v>
      </c>
      <c r="AO18" s="40">
        <v>20.992362950550941</v>
      </c>
      <c r="AP18" s="40">
        <v>22.93329053299497</v>
      </c>
      <c r="AQ18" s="40">
        <v>21.374211649312834</v>
      </c>
      <c r="AR18" s="40">
        <v>20.235945199990226</v>
      </c>
      <c r="AS18" s="40">
        <v>20.491955832120485</v>
      </c>
      <c r="AT18" s="40">
        <v>20.406383630640295</v>
      </c>
      <c r="AU18" s="40">
        <v>21.895953551222608</v>
      </c>
      <c r="AV18" s="40">
        <v>21.895953551222608</v>
      </c>
      <c r="AW18" s="40">
        <v>21.213043621947378</v>
      </c>
      <c r="AX18" s="40">
        <v>22.401579926224102</v>
      </c>
      <c r="AY18" s="40">
        <v>22.284100970206715</v>
      </c>
      <c r="AZ18" s="40">
        <v>22.854817544971361</v>
      </c>
      <c r="BA18" s="41">
        <v>22.93329053299497</v>
      </c>
      <c r="BB18" s="42">
        <v>20.235945199990226</v>
      </c>
      <c r="BC18" s="45">
        <v>21.512315847818982</v>
      </c>
    </row>
    <row r="19" spans="1:55" s="2" customFormat="1" ht="14.25" customHeight="1" x14ac:dyDescent="0.25">
      <c r="A19" s="44">
        <v>5</v>
      </c>
      <c r="B19" s="40">
        <v>24</v>
      </c>
      <c r="C19" s="40">
        <v>25.4</v>
      </c>
      <c r="D19" s="40">
        <v>26.4</v>
      </c>
      <c r="E19" s="40">
        <v>27.9</v>
      </c>
      <c r="F19" s="40">
        <v>27.9</v>
      </c>
      <c r="G19" s="40">
        <v>29.7</v>
      </c>
      <c r="H19" s="40">
        <v>31.3</v>
      </c>
      <c r="I19" s="40">
        <v>30.8</v>
      </c>
      <c r="J19" s="40">
        <v>29.9</v>
      </c>
      <c r="K19" s="40">
        <v>28</v>
      </c>
      <c r="L19" s="40">
        <v>26.8</v>
      </c>
      <c r="M19" s="40">
        <v>26.3</v>
      </c>
      <c r="N19" s="40">
        <v>26.3</v>
      </c>
      <c r="O19" s="41">
        <v>31.3</v>
      </c>
      <c r="P19" s="42">
        <v>24</v>
      </c>
      <c r="Q19" s="45">
        <v>27.746153846153849</v>
      </c>
      <c r="T19" s="44">
        <v>5</v>
      </c>
      <c r="U19" s="40">
        <v>22.8</v>
      </c>
      <c r="V19" s="40">
        <v>23</v>
      </c>
      <c r="W19" s="40">
        <v>23.6</v>
      </c>
      <c r="X19" s="40">
        <v>24.1</v>
      </c>
      <c r="Y19" s="40">
        <v>24.1</v>
      </c>
      <c r="Z19" s="40">
        <v>24.2</v>
      </c>
      <c r="AA19" s="40">
        <v>24.8</v>
      </c>
      <c r="AB19" s="40">
        <v>25.7</v>
      </c>
      <c r="AC19" s="40">
        <v>25.4</v>
      </c>
      <c r="AD19" s="40">
        <v>24.5</v>
      </c>
      <c r="AE19" s="40">
        <v>24</v>
      </c>
      <c r="AF19" s="40">
        <v>24.3</v>
      </c>
      <c r="AG19" s="40">
        <v>23.7</v>
      </c>
      <c r="AH19" s="41">
        <v>25.7</v>
      </c>
      <c r="AI19" s="42">
        <v>22.8</v>
      </c>
      <c r="AJ19" s="45">
        <v>24.169230769230769</v>
      </c>
      <c r="AM19" s="44">
        <v>5</v>
      </c>
      <c r="AN19" s="40">
        <v>22.123979043069006</v>
      </c>
      <c r="AO19" s="40">
        <v>21.743085824045714</v>
      </c>
      <c r="AP19" s="40">
        <v>22.18727787108098</v>
      </c>
      <c r="AQ19" s="40">
        <v>22.244904989815385</v>
      </c>
      <c r="AR19" s="40">
        <v>22.244904989815385</v>
      </c>
      <c r="AS19" s="40">
        <v>21.518401932247901</v>
      </c>
      <c r="AT19" s="40">
        <v>21.713090782217442</v>
      </c>
      <c r="AU19" s="40">
        <v>23.409835605243948</v>
      </c>
      <c r="AV19" s="40">
        <v>23.348998535378588</v>
      </c>
      <c r="AW19" s="40">
        <v>22.824541481553876</v>
      </c>
      <c r="AX19" s="40">
        <v>22.615697420007322</v>
      </c>
      <c r="AY19" s="40">
        <v>23.306088145728847</v>
      </c>
      <c r="AZ19" s="40">
        <v>22.390727376124811</v>
      </c>
      <c r="BA19" s="41">
        <v>23.409835605243948</v>
      </c>
      <c r="BB19" s="42">
        <v>21.518401932247901</v>
      </c>
      <c r="BC19" s="45">
        <v>22.436271845871474</v>
      </c>
    </row>
    <row r="20" spans="1:55" s="2" customFormat="1" ht="14.25" customHeight="1" x14ac:dyDescent="0.25">
      <c r="A20" s="44">
        <v>6</v>
      </c>
      <c r="B20" s="40">
        <v>25</v>
      </c>
      <c r="C20" s="40">
        <v>25.8</v>
      </c>
      <c r="D20" s="40">
        <v>26.6</v>
      </c>
      <c r="E20" s="40">
        <v>28</v>
      </c>
      <c r="F20" s="40">
        <v>28.4</v>
      </c>
      <c r="G20" s="40">
        <v>29.7</v>
      </c>
      <c r="H20" s="40">
        <v>30.2</v>
      </c>
      <c r="I20" s="40">
        <v>30.7</v>
      </c>
      <c r="J20" s="40">
        <v>30.6</v>
      </c>
      <c r="K20" s="40">
        <v>29</v>
      </c>
      <c r="L20" s="40">
        <v>27.2</v>
      </c>
      <c r="M20" s="40">
        <v>26.2</v>
      </c>
      <c r="N20" s="40">
        <v>25.4</v>
      </c>
      <c r="O20" s="41">
        <v>30.7</v>
      </c>
      <c r="P20" s="42">
        <v>25</v>
      </c>
      <c r="Q20" s="45">
        <v>27.907692307692304</v>
      </c>
      <c r="T20" s="44">
        <v>6</v>
      </c>
      <c r="U20" s="40">
        <v>23.6</v>
      </c>
      <c r="V20" s="40">
        <v>23.8</v>
      </c>
      <c r="W20" s="40">
        <v>24</v>
      </c>
      <c r="X20" s="40">
        <v>24.6</v>
      </c>
      <c r="Y20" s="40">
        <v>24.4</v>
      </c>
      <c r="Z20" s="40">
        <v>24.6</v>
      </c>
      <c r="AA20" s="40">
        <v>24.8</v>
      </c>
      <c r="AB20" s="40">
        <v>25.5</v>
      </c>
      <c r="AC20" s="40">
        <v>25.8</v>
      </c>
      <c r="AD20" s="40">
        <v>24.8</v>
      </c>
      <c r="AE20" s="40">
        <v>24.6</v>
      </c>
      <c r="AF20" s="40">
        <v>24</v>
      </c>
      <c r="AG20" s="40">
        <v>23.8</v>
      </c>
      <c r="AH20" s="41">
        <v>25.8</v>
      </c>
      <c r="AI20" s="42">
        <v>23.6</v>
      </c>
      <c r="AJ20" s="45">
        <v>24.484615384615388</v>
      </c>
      <c r="AM20" s="44">
        <v>6</v>
      </c>
      <c r="AN20" s="40">
        <v>22.854817544971361</v>
      </c>
      <c r="AO20" s="40">
        <v>22.781622980972795</v>
      </c>
      <c r="AP20" s="40">
        <v>22.710351727825326</v>
      </c>
      <c r="AQ20" s="40">
        <v>22.979754663101517</v>
      </c>
      <c r="AR20" s="40">
        <v>22.478402908283279</v>
      </c>
      <c r="AS20" s="40">
        <v>22.1714776017124</v>
      </c>
      <c r="AT20" s="40">
        <v>22.252853752447525</v>
      </c>
      <c r="AU20" s="40">
        <v>23.1393429186868</v>
      </c>
      <c r="AV20" s="40">
        <v>23.657131550071426</v>
      </c>
      <c r="AW20" s="40">
        <v>22.824546080853771</v>
      </c>
      <c r="AX20" s="40">
        <v>23.348482445095115</v>
      </c>
      <c r="AY20" s="40">
        <v>22.898249002326494</v>
      </c>
      <c r="AZ20" s="40">
        <v>22.968814165589823</v>
      </c>
      <c r="BA20" s="41">
        <v>23.657131550071426</v>
      </c>
      <c r="BB20" s="42">
        <v>22.1714776017124</v>
      </c>
      <c r="BC20" s="45">
        <v>22.851219026302893</v>
      </c>
    </row>
    <row r="21" spans="1:55" s="2" customFormat="1" ht="14.25" customHeight="1" x14ac:dyDescent="0.25">
      <c r="A21" s="44">
        <v>7</v>
      </c>
      <c r="B21" s="40">
        <v>24.1</v>
      </c>
      <c r="C21" s="40">
        <v>25.6</v>
      </c>
      <c r="D21" s="40">
        <v>27.2</v>
      </c>
      <c r="E21" s="40">
        <v>28.7</v>
      </c>
      <c r="F21" s="40">
        <v>29.6</v>
      </c>
      <c r="G21" s="40">
        <v>30.8</v>
      </c>
      <c r="H21" s="40">
        <v>31.2</v>
      </c>
      <c r="I21" s="40">
        <v>30.8</v>
      </c>
      <c r="J21" s="40">
        <v>26.8</v>
      </c>
      <c r="K21" s="40">
        <v>26.4</v>
      </c>
      <c r="L21" s="40">
        <v>26.2</v>
      </c>
      <c r="M21" s="40">
        <v>26</v>
      </c>
      <c r="N21" s="40">
        <v>25</v>
      </c>
      <c r="O21" s="41">
        <v>31.2</v>
      </c>
      <c r="P21" s="42">
        <v>24.1</v>
      </c>
      <c r="Q21" s="45">
        <v>27.569230769230771</v>
      </c>
      <c r="T21" s="44">
        <v>7</v>
      </c>
      <c r="U21" s="40">
        <v>23.2</v>
      </c>
      <c r="V21" s="40">
        <v>23.6</v>
      </c>
      <c r="W21" s="40">
        <v>24.1</v>
      </c>
      <c r="X21" s="40">
        <v>24.6</v>
      </c>
      <c r="Y21" s="40">
        <v>24.6</v>
      </c>
      <c r="Z21" s="40">
        <v>25.4</v>
      </c>
      <c r="AA21" s="40">
        <v>25.6</v>
      </c>
      <c r="AB21" s="40">
        <v>25.4</v>
      </c>
      <c r="AC21" s="40">
        <v>24.4</v>
      </c>
      <c r="AD21" s="40">
        <v>24.6</v>
      </c>
      <c r="AE21" s="40">
        <v>25</v>
      </c>
      <c r="AF21" s="40">
        <v>24.6</v>
      </c>
      <c r="AG21" s="40">
        <v>24</v>
      </c>
      <c r="AH21" s="41">
        <v>25.6</v>
      </c>
      <c r="AI21" s="42">
        <v>23.2</v>
      </c>
      <c r="AJ21" s="45">
        <v>24.54615384615385</v>
      </c>
      <c r="AM21" s="44">
        <v>7</v>
      </c>
      <c r="AN21" s="40">
        <v>22.678674048514598</v>
      </c>
      <c r="AO21" s="40">
        <v>22.571617917695416</v>
      </c>
      <c r="AP21" s="40">
        <v>22.58062006284025</v>
      </c>
      <c r="AQ21" s="40">
        <v>22.651117625427016</v>
      </c>
      <c r="AR21" s="40">
        <v>22.219995210731696</v>
      </c>
      <c r="AS21" s="40">
        <v>22.933659924886598</v>
      </c>
      <c r="AT21" s="40">
        <v>23.067431591333683</v>
      </c>
      <c r="AU21" s="40">
        <v>22.933659924886598</v>
      </c>
      <c r="AV21" s="40">
        <v>23.228029920116789</v>
      </c>
      <c r="AW21" s="40">
        <v>23.710183186275557</v>
      </c>
      <c r="AX21" s="40">
        <v>24.388027271235554</v>
      </c>
      <c r="AY21" s="40">
        <v>23.88848726151063</v>
      </c>
      <c r="AZ21" s="40">
        <v>23.451002870250118</v>
      </c>
      <c r="BA21" s="41">
        <v>24.388027271235554</v>
      </c>
      <c r="BB21" s="42">
        <v>22.219995210731696</v>
      </c>
      <c r="BC21" s="45">
        <v>23.100192831977271</v>
      </c>
    </row>
    <row r="22" spans="1:55" s="2" customFormat="1" ht="14.25" customHeight="1" x14ac:dyDescent="0.25">
      <c r="A22" s="44">
        <v>8</v>
      </c>
      <c r="B22" s="40">
        <v>24.5</v>
      </c>
      <c r="C22" s="40">
        <v>25.5</v>
      </c>
      <c r="D22" s="40">
        <v>27</v>
      </c>
      <c r="E22" s="40">
        <v>28.2</v>
      </c>
      <c r="F22" s="40">
        <v>28.6</v>
      </c>
      <c r="G22" s="40">
        <v>29.6</v>
      </c>
      <c r="H22" s="40">
        <v>30.3</v>
      </c>
      <c r="I22" s="40">
        <v>29.3</v>
      </c>
      <c r="J22" s="40">
        <v>27.4</v>
      </c>
      <c r="K22" s="40">
        <v>24.8</v>
      </c>
      <c r="L22" s="40">
        <v>24.4</v>
      </c>
      <c r="M22" s="40">
        <v>23.3</v>
      </c>
      <c r="N22" s="40">
        <v>23.5</v>
      </c>
      <c r="O22" s="41">
        <v>30.3</v>
      </c>
      <c r="P22" s="42">
        <v>23.3</v>
      </c>
      <c r="Q22" s="45">
        <v>26.646153846153847</v>
      </c>
      <c r="T22" s="44">
        <v>8</v>
      </c>
      <c r="U22" s="40">
        <v>23.8</v>
      </c>
      <c r="V22" s="40">
        <v>24.2</v>
      </c>
      <c r="W22" s="40">
        <v>24.5</v>
      </c>
      <c r="X22" s="40">
        <v>24.6</v>
      </c>
      <c r="Y22" s="40">
        <v>24.9</v>
      </c>
      <c r="Z22" s="40">
        <v>25</v>
      </c>
      <c r="AA22" s="40">
        <v>25.5</v>
      </c>
      <c r="AB22" s="40">
        <v>25.6</v>
      </c>
      <c r="AC22" s="40">
        <v>25</v>
      </c>
      <c r="AD22" s="40">
        <v>23.4</v>
      </c>
      <c r="AE22" s="40">
        <v>22.6</v>
      </c>
      <c r="AF22" s="40">
        <v>22.9</v>
      </c>
      <c r="AG22" s="40">
        <v>23</v>
      </c>
      <c r="AH22" s="41">
        <v>25.6</v>
      </c>
      <c r="AI22" s="42">
        <v>22.6</v>
      </c>
      <c r="AJ22" s="45">
        <v>24.23076923076923</v>
      </c>
      <c r="AM22" s="44">
        <v>8</v>
      </c>
      <c r="AN22" s="40">
        <v>23.383347698406446</v>
      </c>
      <c r="AO22" s="40">
        <v>23.520555948119188</v>
      </c>
      <c r="AP22" s="40">
        <v>23.288075056864709</v>
      </c>
      <c r="AQ22" s="40">
        <v>22.886439940964369</v>
      </c>
      <c r="AR22" s="40">
        <v>23.166709907188945</v>
      </c>
      <c r="AS22" s="40">
        <v>22.858668311959782</v>
      </c>
      <c r="AT22" s="40">
        <v>23.323068469901976</v>
      </c>
      <c r="AU22" s="40">
        <v>23.927910438437131</v>
      </c>
      <c r="AV22" s="40">
        <v>23.862170856686003</v>
      </c>
      <c r="AW22" s="40">
        <v>22.647828842860125</v>
      </c>
      <c r="AX22" s="40">
        <v>21.619949242231353</v>
      </c>
      <c r="AY22" s="40">
        <v>22.61060343742562</v>
      </c>
      <c r="AZ22" s="40">
        <v>22.664358131383011</v>
      </c>
      <c r="BA22" s="41">
        <v>23.927910438437131</v>
      </c>
      <c r="BB22" s="42">
        <v>21.619949242231353</v>
      </c>
      <c r="BC22" s="45">
        <v>23.058437406340666</v>
      </c>
    </row>
    <row r="23" spans="1:55" s="2" customFormat="1" ht="14.25" customHeight="1" x14ac:dyDescent="0.25">
      <c r="A23" s="44">
        <v>9</v>
      </c>
      <c r="B23" s="40">
        <v>24</v>
      </c>
      <c r="C23" s="40">
        <v>25.6</v>
      </c>
      <c r="D23" s="40">
        <v>27.6</v>
      </c>
      <c r="E23" s="40">
        <v>28.6</v>
      </c>
      <c r="F23" s="40">
        <v>29.2</v>
      </c>
      <c r="G23" s="40">
        <v>29.8</v>
      </c>
      <c r="H23" s="40">
        <v>29.2</v>
      </c>
      <c r="I23" s="40">
        <v>27.7</v>
      </c>
      <c r="J23" s="40">
        <v>25.8</v>
      </c>
      <c r="K23" s="40">
        <v>23.4</v>
      </c>
      <c r="L23" s="40">
        <v>23.1</v>
      </c>
      <c r="M23" s="40">
        <v>23.1</v>
      </c>
      <c r="N23" s="40">
        <v>23.2</v>
      </c>
      <c r="O23" s="41">
        <v>29.8</v>
      </c>
      <c r="P23" s="42">
        <v>23.1</v>
      </c>
      <c r="Q23" s="45">
        <v>26.176923076923078</v>
      </c>
      <c r="T23" s="44">
        <v>9</v>
      </c>
      <c r="U23" s="40">
        <v>23.4</v>
      </c>
      <c r="V23" s="40">
        <v>24</v>
      </c>
      <c r="W23" s="40">
        <v>24</v>
      </c>
      <c r="X23" s="40">
        <v>24</v>
      </c>
      <c r="Y23" s="40">
        <v>24.6</v>
      </c>
      <c r="Z23" s="40">
        <v>25.2</v>
      </c>
      <c r="AA23" s="40">
        <v>25.6</v>
      </c>
      <c r="AB23" s="40">
        <v>24.6</v>
      </c>
      <c r="AC23" s="40">
        <v>23.8</v>
      </c>
      <c r="AD23" s="40">
        <v>22.8</v>
      </c>
      <c r="AE23" s="40">
        <v>22.3</v>
      </c>
      <c r="AF23" s="40">
        <v>22.5</v>
      </c>
      <c r="AG23" s="40">
        <v>22.4</v>
      </c>
      <c r="AH23" s="41">
        <v>25.6</v>
      </c>
      <c r="AI23" s="42">
        <v>22.3</v>
      </c>
      <c r="AJ23" s="45">
        <v>23.784615384615385</v>
      </c>
      <c r="AM23" s="44">
        <v>9</v>
      </c>
      <c r="AN23" s="40">
        <v>23.022986804446777</v>
      </c>
      <c r="AO23" s="40">
        <v>23.17664094358928</v>
      </c>
      <c r="AP23" s="40">
        <v>22.232255136844188</v>
      </c>
      <c r="AQ23" s="40">
        <v>21.741688210998174</v>
      </c>
      <c r="AR23" s="40">
        <v>22.412824160138996</v>
      </c>
      <c r="AS23" s="40">
        <v>23.081131949841016</v>
      </c>
      <c r="AT23" s="40">
        <v>23.972138646793855</v>
      </c>
      <c r="AU23" s="40">
        <v>23.118869724019063</v>
      </c>
      <c r="AV23" s="40">
        <v>22.781622980972795</v>
      </c>
      <c r="AW23" s="40">
        <v>22.413918494565792</v>
      </c>
      <c r="AX23" s="40">
        <v>21.807316589954077</v>
      </c>
      <c r="AY23" s="40">
        <v>22.109259220498835</v>
      </c>
      <c r="AZ23" s="40">
        <v>21.909432598448738</v>
      </c>
      <c r="BA23" s="41">
        <v>23.972138646793855</v>
      </c>
      <c r="BB23" s="42">
        <v>21.741688210998174</v>
      </c>
      <c r="BC23" s="45">
        <v>22.598468112393199</v>
      </c>
    </row>
    <row r="24" spans="1:55" s="2" customFormat="1" ht="14.25" customHeight="1" x14ac:dyDescent="0.25">
      <c r="A24" s="44">
        <v>10</v>
      </c>
      <c r="B24" s="40">
        <v>24.8</v>
      </c>
      <c r="C24" s="40">
        <v>26</v>
      </c>
      <c r="D24" s="40">
        <v>27.2</v>
      </c>
      <c r="E24" s="40">
        <v>28.4</v>
      </c>
      <c r="F24" s="40">
        <v>29.2</v>
      </c>
      <c r="G24" s="40">
        <v>29.6</v>
      </c>
      <c r="H24" s="40">
        <v>28</v>
      </c>
      <c r="I24" s="40">
        <v>23.4</v>
      </c>
      <c r="J24" s="40">
        <v>23.6</v>
      </c>
      <c r="K24" s="40">
        <v>24</v>
      </c>
      <c r="L24" s="40">
        <v>24.4</v>
      </c>
      <c r="M24" s="40">
        <v>24.4</v>
      </c>
      <c r="N24" s="40">
        <v>23.2</v>
      </c>
      <c r="O24" s="41">
        <v>29.6</v>
      </c>
      <c r="P24" s="42">
        <v>23.2</v>
      </c>
      <c r="Q24" s="45">
        <v>25.861538461538455</v>
      </c>
      <c r="T24" s="44">
        <v>10</v>
      </c>
      <c r="U24" s="40">
        <v>23.2</v>
      </c>
      <c r="V24" s="40">
        <v>23.8</v>
      </c>
      <c r="W24" s="40">
        <v>24.3</v>
      </c>
      <c r="X24" s="40">
        <v>24.5</v>
      </c>
      <c r="Y24" s="40">
        <v>24.6</v>
      </c>
      <c r="Z24" s="40">
        <v>25.7</v>
      </c>
      <c r="AA24" s="40">
        <v>24.8</v>
      </c>
      <c r="AB24" s="40">
        <v>23.2</v>
      </c>
      <c r="AC24" s="40">
        <v>23.4</v>
      </c>
      <c r="AD24" s="40">
        <v>23.6</v>
      </c>
      <c r="AE24" s="40">
        <v>23.8</v>
      </c>
      <c r="AF24" s="40">
        <v>23.8</v>
      </c>
      <c r="AG24" s="40">
        <v>22.4</v>
      </c>
      <c r="AH24" s="41">
        <v>25.7</v>
      </c>
      <c r="AI24" s="42">
        <v>22.4</v>
      </c>
      <c r="AJ24" s="45">
        <v>23.930769230769229</v>
      </c>
      <c r="AM24" s="44">
        <v>10</v>
      </c>
      <c r="AN24" s="40">
        <v>22.344736198934232</v>
      </c>
      <c r="AO24" s="40">
        <v>22.687327425827569</v>
      </c>
      <c r="AP24" s="40">
        <v>22.889828189285673</v>
      </c>
      <c r="AQ24" s="40">
        <v>22.635899802692006</v>
      </c>
      <c r="AR24" s="40">
        <v>22.412824160138996</v>
      </c>
      <c r="AS24" s="40">
        <v>23.948166363152563</v>
      </c>
      <c r="AT24" s="40">
        <v>23.28808865472617</v>
      </c>
      <c r="AU24" s="40">
        <v>23.006806764540162</v>
      </c>
      <c r="AV24" s="40">
        <v>23.207812519635773</v>
      </c>
      <c r="AW24" s="40">
        <v>23.317592460646107</v>
      </c>
      <c r="AX24" s="40">
        <v>23.42885263958334</v>
      </c>
      <c r="AY24" s="40">
        <v>23.42885263958334</v>
      </c>
      <c r="AZ24" s="40">
        <v>21.909432598448738</v>
      </c>
      <c r="BA24" s="41">
        <v>23.948166363152563</v>
      </c>
      <c r="BB24" s="42">
        <v>21.909432598448738</v>
      </c>
      <c r="BC24" s="45">
        <v>22.962016955168824</v>
      </c>
    </row>
    <row r="25" spans="1:55" s="2" customFormat="1" ht="14.25" customHeight="1" x14ac:dyDescent="0.25">
      <c r="A25" s="44">
        <v>11</v>
      </c>
      <c r="B25" s="40">
        <v>24</v>
      </c>
      <c r="C25" s="40">
        <v>24.8</v>
      </c>
      <c r="D25" s="40">
        <v>26.2</v>
      </c>
      <c r="E25" s="40">
        <v>26.4</v>
      </c>
      <c r="F25" s="40">
        <v>26.4</v>
      </c>
      <c r="G25" s="40">
        <v>27.4</v>
      </c>
      <c r="H25" s="40">
        <v>28.2</v>
      </c>
      <c r="I25" s="40">
        <v>28.3</v>
      </c>
      <c r="J25" s="40">
        <v>28.2</v>
      </c>
      <c r="K25" s="40">
        <v>27.8</v>
      </c>
      <c r="L25" s="40">
        <v>27</v>
      </c>
      <c r="M25" s="40">
        <v>26.2</v>
      </c>
      <c r="N25" s="40">
        <v>25.6</v>
      </c>
      <c r="O25" s="41">
        <v>28.3</v>
      </c>
      <c r="P25" s="42">
        <v>24</v>
      </c>
      <c r="Q25" s="45">
        <v>26.653846153846153</v>
      </c>
      <c r="T25" s="44">
        <v>11</v>
      </c>
      <c r="U25" s="40">
        <v>23.5</v>
      </c>
      <c r="V25" s="40">
        <v>23.6</v>
      </c>
      <c r="W25" s="40">
        <v>23.8</v>
      </c>
      <c r="X25" s="40">
        <v>24.1</v>
      </c>
      <c r="Y25" s="40">
        <v>24.4</v>
      </c>
      <c r="Z25" s="40">
        <v>24.6</v>
      </c>
      <c r="AA25" s="40">
        <v>24.8</v>
      </c>
      <c r="AB25" s="40">
        <v>25.6</v>
      </c>
      <c r="AC25" s="40">
        <v>24.6</v>
      </c>
      <c r="AD25" s="40">
        <v>24.4</v>
      </c>
      <c r="AE25" s="40">
        <v>23.7</v>
      </c>
      <c r="AF25" s="40">
        <v>23.8</v>
      </c>
      <c r="AG25" s="40">
        <v>23.6</v>
      </c>
      <c r="AH25" s="41">
        <v>25.6</v>
      </c>
      <c r="AI25" s="42">
        <v>23.5</v>
      </c>
      <c r="AJ25" s="45">
        <v>24.192307692307697</v>
      </c>
      <c r="AM25" s="44">
        <v>11</v>
      </c>
      <c r="AN25" s="40">
        <v>23.170595097320081</v>
      </c>
      <c r="AO25" s="40">
        <v>22.948281918843517</v>
      </c>
      <c r="AP25" s="40">
        <v>22.592558509173742</v>
      </c>
      <c r="AQ25" s="40">
        <v>22.957118473769299</v>
      </c>
      <c r="AR25" s="40">
        <v>23.41088917767016</v>
      </c>
      <c r="AS25" s="40">
        <v>23.256970699803183</v>
      </c>
      <c r="AT25" s="40">
        <v>23.196283144013933</v>
      </c>
      <c r="AU25" s="40">
        <v>24.365649101957626</v>
      </c>
      <c r="AV25" s="40">
        <v>22.886439940964369</v>
      </c>
      <c r="AW25" s="40">
        <v>22.763008641813652</v>
      </c>
      <c r="AX25" s="40">
        <v>22.051586021703706</v>
      </c>
      <c r="AY25" s="40">
        <v>22.592558509173742</v>
      </c>
      <c r="AZ25" s="40">
        <v>22.571617917695416</v>
      </c>
      <c r="BA25" s="41">
        <v>24.365649101957626</v>
      </c>
      <c r="BB25" s="42">
        <v>22.051586021703706</v>
      </c>
      <c r="BC25" s="45">
        <v>22.981812088761725</v>
      </c>
    </row>
    <row r="26" spans="1:55" s="2" customFormat="1" ht="14.25" customHeight="1" x14ac:dyDescent="0.25">
      <c r="A26" s="44">
        <v>12</v>
      </c>
      <c r="B26" s="40">
        <v>24.8</v>
      </c>
      <c r="C26" s="40">
        <v>25.6</v>
      </c>
      <c r="D26" s="40">
        <v>27.7</v>
      </c>
      <c r="E26" s="40">
        <v>29.2</v>
      </c>
      <c r="F26" s="40">
        <v>30.4</v>
      </c>
      <c r="G26" s="40">
        <v>30.8</v>
      </c>
      <c r="H26" s="40">
        <v>31.4</v>
      </c>
      <c r="I26" s="40">
        <v>30.9</v>
      </c>
      <c r="J26" s="40">
        <v>29.8</v>
      </c>
      <c r="K26" s="40">
        <v>28.2</v>
      </c>
      <c r="L26" s="40">
        <v>27.2</v>
      </c>
      <c r="M26" s="40">
        <v>26.7</v>
      </c>
      <c r="N26" s="40">
        <v>25.8</v>
      </c>
      <c r="O26" s="41">
        <v>31.4</v>
      </c>
      <c r="P26" s="42">
        <v>24.8</v>
      </c>
      <c r="Q26" s="45">
        <v>28.346153846153847</v>
      </c>
      <c r="T26" s="44">
        <v>12</v>
      </c>
      <c r="U26" s="40">
        <v>23.8</v>
      </c>
      <c r="V26" s="40">
        <v>23.8</v>
      </c>
      <c r="W26" s="40">
        <v>23.6</v>
      </c>
      <c r="X26" s="40">
        <v>24.3</v>
      </c>
      <c r="Y26" s="40">
        <v>24.6</v>
      </c>
      <c r="Z26" s="40">
        <v>24.8</v>
      </c>
      <c r="AA26" s="40">
        <v>24.4</v>
      </c>
      <c r="AB26" s="40">
        <v>25.8</v>
      </c>
      <c r="AC26" s="40">
        <v>25.2</v>
      </c>
      <c r="AD26" s="40">
        <v>24.8</v>
      </c>
      <c r="AE26" s="40">
        <v>23.9</v>
      </c>
      <c r="AF26" s="40">
        <v>24.4</v>
      </c>
      <c r="AG26" s="40">
        <v>24.2</v>
      </c>
      <c r="AH26" s="41">
        <v>25.8</v>
      </c>
      <c r="AI26" s="42">
        <v>23.6</v>
      </c>
      <c r="AJ26" s="45">
        <v>24.430769230769229</v>
      </c>
      <c r="AM26" s="44">
        <v>12</v>
      </c>
      <c r="AN26" s="40">
        <v>23.246174595512937</v>
      </c>
      <c r="AO26" s="40">
        <v>22.875450234951316</v>
      </c>
      <c r="AP26" s="40">
        <v>21.545455353633475</v>
      </c>
      <c r="AQ26" s="40">
        <v>21.930576709661153</v>
      </c>
      <c r="AR26" s="40">
        <v>21.828299799670827</v>
      </c>
      <c r="AS26" s="40">
        <v>21.96036328282305</v>
      </c>
      <c r="AT26" s="40">
        <v>20.986866835366687</v>
      </c>
      <c r="AU26" s="40">
        <v>23.521909891991729</v>
      </c>
      <c r="AV26" s="40">
        <v>23.081131949841016</v>
      </c>
      <c r="AW26" s="40">
        <v>23.196283144013933</v>
      </c>
      <c r="AX26" s="40">
        <v>22.268559142983406</v>
      </c>
      <c r="AY26" s="40">
        <v>23.273910219606915</v>
      </c>
      <c r="AZ26" s="40">
        <v>23.384370540910407</v>
      </c>
      <c r="BA26" s="41">
        <v>23.521909891991729</v>
      </c>
      <c r="BB26" s="42">
        <v>20.986866835366687</v>
      </c>
      <c r="BC26" s="45">
        <v>22.546103976997454</v>
      </c>
    </row>
    <row r="27" spans="1:55" s="2" customFormat="1" ht="14.25" customHeight="1" x14ac:dyDescent="0.25">
      <c r="A27" s="44">
        <v>13</v>
      </c>
      <c r="B27" s="40">
        <v>25</v>
      </c>
      <c r="C27" s="40">
        <v>26</v>
      </c>
      <c r="D27" s="40">
        <v>27.6</v>
      </c>
      <c r="E27" s="40">
        <v>29.2</v>
      </c>
      <c r="F27" s="40">
        <v>30</v>
      </c>
      <c r="G27" s="40">
        <v>31.2</v>
      </c>
      <c r="H27" s="40">
        <v>30.8</v>
      </c>
      <c r="I27" s="40">
        <v>30.8</v>
      </c>
      <c r="J27" s="40">
        <v>31.5</v>
      </c>
      <c r="K27" s="40">
        <v>30.6</v>
      </c>
      <c r="L27" s="40">
        <v>29.2</v>
      </c>
      <c r="M27" s="40">
        <v>27.9</v>
      </c>
      <c r="N27" s="40">
        <v>27</v>
      </c>
      <c r="O27" s="41">
        <v>31.5</v>
      </c>
      <c r="P27" s="42">
        <v>25</v>
      </c>
      <c r="Q27" s="45">
        <v>28.984615384615385</v>
      </c>
      <c r="T27" s="44">
        <v>13</v>
      </c>
      <c r="U27" s="40">
        <v>23.8</v>
      </c>
      <c r="V27" s="40">
        <v>24</v>
      </c>
      <c r="W27" s="40">
        <v>24.8</v>
      </c>
      <c r="X27" s="40">
        <v>24.2</v>
      </c>
      <c r="Y27" s="40">
        <v>24.2</v>
      </c>
      <c r="Z27" s="40">
        <v>25.2</v>
      </c>
      <c r="AA27" s="40">
        <v>25.1</v>
      </c>
      <c r="AB27" s="40">
        <v>24.8</v>
      </c>
      <c r="AC27" s="40">
        <v>24.8</v>
      </c>
      <c r="AD27" s="40">
        <v>24.6</v>
      </c>
      <c r="AE27" s="40">
        <v>23.6</v>
      </c>
      <c r="AF27" s="40">
        <v>23.5</v>
      </c>
      <c r="AG27" s="40">
        <v>22.9</v>
      </c>
      <c r="AH27" s="41">
        <v>25.2</v>
      </c>
      <c r="AI27" s="42">
        <v>22.9</v>
      </c>
      <c r="AJ27" s="45">
        <v>24.26923076923077</v>
      </c>
      <c r="AM27" s="44">
        <v>13</v>
      </c>
      <c r="AN27" s="40">
        <v>23.154171566343187</v>
      </c>
      <c r="AO27" s="40">
        <v>22.991501967304046</v>
      </c>
      <c r="AP27" s="40">
        <v>23.470377859669266</v>
      </c>
      <c r="AQ27" s="40">
        <v>21.768231046044811</v>
      </c>
      <c r="AR27" s="40">
        <v>21.366887025155211</v>
      </c>
      <c r="AS27" s="40">
        <v>22.421621048731168</v>
      </c>
      <c r="AT27" s="40">
        <v>22.450616739376258</v>
      </c>
      <c r="AU27" s="40">
        <v>21.96036328282305</v>
      </c>
      <c r="AV27" s="40">
        <v>21.613260851966157</v>
      </c>
      <c r="AW27" s="40">
        <v>21.729084834872303</v>
      </c>
      <c r="AX27" s="40">
        <v>20.776434401224673</v>
      </c>
      <c r="AY27" s="40">
        <v>21.28229911058542</v>
      </c>
      <c r="AZ27" s="40">
        <v>20.767126808892989</v>
      </c>
      <c r="BA27" s="41">
        <v>23.470377859669266</v>
      </c>
      <c r="BB27" s="42">
        <v>20.767126808892989</v>
      </c>
      <c r="BC27" s="45">
        <v>21.980921272537575</v>
      </c>
    </row>
    <row r="28" spans="1:55" s="2" customFormat="1" ht="14.25" customHeight="1" x14ac:dyDescent="0.25">
      <c r="A28" s="44">
        <v>14</v>
      </c>
      <c r="B28" s="40">
        <v>24.3</v>
      </c>
      <c r="C28" s="40">
        <v>25.5</v>
      </c>
      <c r="D28" s="40">
        <v>27.7</v>
      </c>
      <c r="E28" s="40">
        <v>29.3</v>
      </c>
      <c r="F28" s="40">
        <v>29.9</v>
      </c>
      <c r="G28" s="40">
        <v>30.6</v>
      </c>
      <c r="H28" s="40">
        <v>30.1</v>
      </c>
      <c r="I28" s="40">
        <v>30.3</v>
      </c>
      <c r="J28" s="40">
        <v>29.9</v>
      </c>
      <c r="K28" s="40">
        <v>29.5</v>
      </c>
      <c r="L28" s="40">
        <v>28.2</v>
      </c>
      <c r="M28" s="40">
        <v>27.2</v>
      </c>
      <c r="N28" s="40">
        <v>26.1</v>
      </c>
      <c r="O28" s="41">
        <v>30.6</v>
      </c>
      <c r="P28" s="42">
        <v>24.3</v>
      </c>
      <c r="Q28" s="45">
        <v>28.353846153846153</v>
      </c>
      <c r="T28" s="44">
        <v>14</v>
      </c>
      <c r="U28" s="40">
        <v>22.5</v>
      </c>
      <c r="V28" s="40">
        <v>23.2</v>
      </c>
      <c r="W28" s="40">
        <v>23.8</v>
      </c>
      <c r="X28" s="40">
        <v>24.4</v>
      </c>
      <c r="Y28" s="40">
        <v>24.6</v>
      </c>
      <c r="Z28" s="40">
        <v>24.6</v>
      </c>
      <c r="AA28" s="40">
        <v>25</v>
      </c>
      <c r="AB28" s="40">
        <v>25.1</v>
      </c>
      <c r="AC28" s="40">
        <v>24.9</v>
      </c>
      <c r="AD28" s="40">
        <v>24.5</v>
      </c>
      <c r="AE28" s="40">
        <v>24.2</v>
      </c>
      <c r="AF28" s="40">
        <v>23.8</v>
      </c>
      <c r="AG28" s="40">
        <v>23.3</v>
      </c>
      <c r="AH28" s="41">
        <v>25.1</v>
      </c>
      <c r="AI28" s="42">
        <v>22.5</v>
      </c>
      <c r="AJ28" s="45">
        <v>24.146153846153847</v>
      </c>
      <c r="AM28" s="44">
        <v>14</v>
      </c>
      <c r="AN28" s="40">
        <v>21.515130053153989</v>
      </c>
      <c r="AO28" s="40">
        <v>22.004767551799056</v>
      </c>
      <c r="AP28" s="40">
        <v>21.8661694294508</v>
      </c>
      <c r="AQ28" s="40">
        <v>22.043266737124291</v>
      </c>
      <c r="AR28" s="40">
        <v>22.07406509164646</v>
      </c>
      <c r="AS28" s="40">
        <v>21.729084834872303</v>
      </c>
      <c r="AT28" s="40">
        <v>22.622991398306905</v>
      </c>
      <c r="AU28" s="40">
        <v>22.688443801576025</v>
      </c>
      <c r="AV28" s="40">
        <v>22.557899181286821</v>
      </c>
      <c r="AW28" s="40">
        <v>22.107186961561457</v>
      </c>
      <c r="AX28" s="40">
        <v>22.258119917094085</v>
      </c>
      <c r="AY28" s="40">
        <v>22.111430377236314</v>
      </c>
      <c r="AZ28" s="40">
        <v>21.865472386896457</v>
      </c>
      <c r="BA28" s="41">
        <v>22.688443801576025</v>
      </c>
      <c r="BB28" s="42">
        <v>21.515130053153989</v>
      </c>
      <c r="BC28" s="45">
        <v>22.111079055538845</v>
      </c>
    </row>
    <row r="29" spans="1:55" s="2" customFormat="1" ht="14.25" customHeight="1" x14ac:dyDescent="0.25">
      <c r="A29" s="44">
        <v>15</v>
      </c>
      <c r="B29" s="40">
        <v>24.6</v>
      </c>
      <c r="C29" s="40">
        <v>26.3</v>
      </c>
      <c r="D29" s="40">
        <v>26.8</v>
      </c>
      <c r="E29" s="40">
        <v>28.1</v>
      </c>
      <c r="F29" s="40">
        <v>28.4</v>
      </c>
      <c r="G29" s="40">
        <v>29.6</v>
      </c>
      <c r="H29" s="40">
        <v>29.5</v>
      </c>
      <c r="I29" s="40">
        <v>29.6</v>
      </c>
      <c r="J29" s="40">
        <v>29</v>
      </c>
      <c r="K29" s="40">
        <v>28.6</v>
      </c>
      <c r="L29" s="40">
        <v>27.6</v>
      </c>
      <c r="M29" s="40">
        <v>26.4</v>
      </c>
      <c r="N29" s="40">
        <v>25.4</v>
      </c>
      <c r="O29" s="41">
        <v>29.6</v>
      </c>
      <c r="P29" s="42">
        <v>24.6</v>
      </c>
      <c r="Q29" s="45">
        <v>27.684615384615384</v>
      </c>
      <c r="T29" s="44">
        <v>15</v>
      </c>
      <c r="U29" s="40">
        <v>23.6</v>
      </c>
      <c r="V29" s="40">
        <v>23.2</v>
      </c>
      <c r="W29" s="40">
        <v>23.3</v>
      </c>
      <c r="X29" s="40">
        <v>24</v>
      </c>
      <c r="Y29" s="40">
        <v>24.7</v>
      </c>
      <c r="Z29" s="40">
        <v>24.3</v>
      </c>
      <c r="AA29" s="40">
        <v>23.8</v>
      </c>
      <c r="AB29" s="40">
        <v>24.6</v>
      </c>
      <c r="AC29" s="40">
        <v>24.4</v>
      </c>
      <c r="AD29" s="40">
        <v>24</v>
      </c>
      <c r="AE29" s="40">
        <v>23.6</v>
      </c>
      <c r="AF29" s="40">
        <v>23</v>
      </c>
      <c r="AG29" s="40">
        <v>23</v>
      </c>
      <c r="AH29" s="41">
        <v>24.7</v>
      </c>
      <c r="AI29" s="42">
        <v>23</v>
      </c>
      <c r="AJ29" s="45">
        <v>23.807692307692307</v>
      </c>
      <c r="AM29" s="44">
        <v>15</v>
      </c>
      <c r="AN29" s="40">
        <v>23.041286800704647</v>
      </c>
      <c r="AO29" s="40">
        <v>21.608539522577498</v>
      </c>
      <c r="AP29" s="40">
        <v>21.516623527620698</v>
      </c>
      <c r="AQ29" s="40">
        <v>21.988574120298146</v>
      </c>
      <c r="AR29" s="40">
        <v>22.948702379577565</v>
      </c>
      <c r="AS29" s="40">
        <v>21.73271080891778</v>
      </c>
      <c r="AT29" s="40">
        <v>20.955630806029021</v>
      </c>
      <c r="AU29" s="40">
        <v>22.219995210731696</v>
      </c>
      <c r="AV29" s="40">
        <v>22.189433415263238</v>
      </c>
      <c r="AW29" s="40">
        <v>21.741688210998174</v>
      </c>
      <c r="AX29" s="40">
        <v>21.595614336629087</v>
      </c>
      <c r="AY29" s="40">
        <v>21.239395929760107</v>
      </c>
      <c r="AZ29" s="40">
        <v>21.743085824045714</v>
      </c>
      <c r="BA29" s="41">
        <v>23.041286800704647</v>
      </c>
      <c r="BB29" s="42">
        <v>20.955630806029021</v>
      </c>
      <c r="BC29" s="45">
        <v>21.886252376396417</v>
      </c>
    </row>
    <row r="30" spans="1:55" s="2" customFormat="1" ht="14.25" customHeight="1" x14ac:dyDescent="0.25">
      <c r="A30" s="44">
        <v>16</v>
      </c>
      <c r="B30" s="40">
        <v>24.6</v>
      </c>
      <c r="C30" s="40">
        <v>25.4</v>
      </c>
      <c r="D30" s="40">
        <v>27.1</v>
      </c>
      <c r="E30" s="40">
        <v>28.4</v>
      </c>
      <c r="F30" s="40">
        <v>29.2</v>
      </c>
      <c r="G30" s="40">
        <v>29.8</v>
      </c>
      <c r="H30" s="40">
        <v>30.4</v>
      </c>
      <c r="I30" s="40">
        <v>31.2</v>
      </c>
      <c r="J30" s="40">
        <v>29.8</v>
      </c>
      <c r="K30" s="40">
        <v>27.8</v>
      </c>
      <c r="L30" s="40">
        <v>26.8</v>
      </c>
      <c r="M30" s="40">
        <v>26.4</v>
      </c>
      <c r="N30" s="40">
        <v>26</v>
      </c>
      <c r="O30" s="41">
        <v>31.2</v>
      </c>
      <c r="P30" s="42">
        <v>24.6</v>
      </c>
      <c r="Q30" s="45">
        <v>27.915384615384614</v>
      </c>
      <c r="T30" s="44">
        <v>16</v>
      </c>
      <c r="U30" s="40">
        <v>23.1</v>
      </c>
      <c r="V30" s="40">
        <v>23.4</v>
      </c>
      <c r="W30" s="40">
        <v>23.6</v>
      </c>
      <c r="X30" s="40">
        <v>24.4</v>
      </c>
      <c r="Y30" s="40">
        <v>25.1</v>
      </c>
      <c r="Z30" s="40">
        <v>25.1</v>
      </c>
      <c r="AA30" s="40">
        <v>24.6</v>
      </c>
      <c r="AB30" s="40">
        <v>26</v>
      </c>
      <c r="AC30" s="40">
        <v>25</v>
      </c>
      <c r="AD30" s="40">
        <v>24.2</v>
      </c>
      <c r="AE30" s="40">
        <v>24</v>
      </c>
      <c r="AF30" s="40">
        <v>24</v>
      </c>
      <c r="AG30" s="40">
        <v>23.8</v>
      </c>
      <c r="AH30" s="41">
        <v>26</v>
      </c>
      <c r="AI30" s="42">
        <v>23.1</v>
      </c>
      <c r="AJ30" s="45">
        <v>24.330769230769231</v>
      </c>
      <c r="AM30" s="44">
        <v>16</v>
      </c>
      <c r="AN30" s="40">
        <v>22.288969293917415</v>
      </c>
      <c r="AO30" s="40">
        <v>22.361484869154971</v>
      </c>
      <c r="AP30" s="40">
        <v>21.84441308837425</v>
      </c>
      <c r="AQ30" s="40">
        <v>22.478402908283279</v>
      </c>
      <c r="AR30" s="40">
        <v>23.201358712999465</v>
      </c>
      <c r="AS30" s="40">
        <v>22.923312230764488</v>
      </c>
      <c r="AT30" s="40">
        <v>21.828299799670827</v>
      </c>
      <c r="AU30" s="40">
        <v>23.701057797301626</v>
      </c>
      <c r="AV30" s="40">
        <v>22.764750111093644</v>
      </c>
      <c r="AW30" s="40">
        <v>22.450555846127838</v>
      </c>
      <c r="AX30" s="40">
        <v>22.615697420007322</v>
      </c>
      <c r="AY30" s="40">
        <v>22.804533908537021</v>
      </c>
      <c r="AZ30" s="40">
        <v>22.687327425827569</v>
      </c>
      <c r="BA30" s="41">
        <v>23.701057797301626</v>
      </c>
      <c r="BB30" s="42">
        <v>21.828299799670827</v>
      </c>
      <c r="BC30" s="45">
        <v>22.611551031696894</v>
      </c>
    </row>
    <row r="31" spans="1:55" s="2" customFormat="1" ht="14.25" customHeight="1" x14ac:dyDescent="0.25">
      <c r="A31" s="44">
        <v>17</v>
      </c>
      <c r="B31" s="40">
        <v>24</v>
      </c>
      <c r="C31" s="40">
        <v>26</v>
      </c>
      <c r="D31" s="40">
        <v>27.2</v>
      </c>
      <c r="E31" s="40">
        <v>28.6</v>
      </c>
      <c r="F31" s="40">
        <v>30.2</v>
      </c>
      <c r="G31" s="40">
        <v>32</v>
      </c>
      <c r="H31" s="40">
        <v>31.5</v>
      </c>
      <c r="I31" s="40">
        <v>30.8</v>
      </c>
      <c r="J31" s="40">
        <v>29.8</v>
      </c>
      <c r="K31" s="40">
        <v>28</v>
      </c>
      <c r="L31" s="40">
        <v>28.4</v>
      </c>
      <c r="M31" s="40">
        <v>27.6</v>
      </c>
      <c r="N31" s="40">
        <v>26</v>
      </c>
      <c r="O31" s="41">
        <v>32</v>
      </c>
      <c r="P31" s="42">
        <v>24</v>
      </c>
      <c r="Q31" s="45">
        <v>28.469230769230769</v>
      </c>
      <c r="T31" s="44">
        <v>17</v>
      </c>
      <c r="U31" s="40">
        <v>23</v>
      </c>
      <c r="V31" s="40">
        <v>23.2</v>
      </c>
      <c r="W31" s="40">
        <v>23.3</v>
      </c>
      <c r="X31" s="40">
        <v>23.3</v>
      </c>
      <c r="Y31" s="40">
        <v>23.5</v>
      </c>
      <c r="Z31" s="40">
        <v>24.7</v>
      </c>
      <c r="AA31" s="40">
        <v>25.4</v>
      </c>
      <c r="AB31" s="40">
        <v>25.8</v>
      </c>
      <c r="AC31" s="40">
        <v>25</v>
      </c>
      <c r="AD31" s="40">
        <v>24.6</v>
      </c>
      <c r="AE31" s="40">
        <v>24.4</v>
      </c>
      <c r="AF31" s="40">
        <v>24</v>
      </c>
      <c r="AG31" s="40">
        <v>23.4</v>
      </c>
      <c r="AH31" s="41">
        <v>25.8</v>
      </c>
      <c r="AI31" s="42">
        <v>23</v>
      </c>
      <c r="AJ31" s="45">
        <v>24.123076923076919</v>
      </c>
      <c r="AM31" s="44">
        <v>17</v>
      </c>
      <c r="AN31" s="40">
        <v>22.426257580226199</v>
      </c>
      <c r="AO31" s="40">
        <v>21.758108440057615</v>
      </c>
      <c r="AP31" s="40">
        <v>21.314321110354754</v>
      </c>
      <c r="AQ31" s="40">
        <v>20.58845738290373</v>
      </c>
      <c r="AR31" s="40">
        <v>20.072198332389558</v>
      </c>
      <c r="AS31" s="40">
        <v>21.190855789431168</v>
      </c>
      <c r="AT31" s="40">
        <v>22.604195725247834</v>
      </c>
      <c r="AU31" s="40">
        <v>23.56709069326994</v>
      </c>
      <c r="AV31" s="40">
        <v>22.764750111093644</v>
      </c>
      <c r="AW31" s="40">
        <v>22.979754663101517</v>
      </c>
      <c r="AX31" s="40">
        <v>22.478402908283279</v>
      </c>
      <c r="AY31" s="40">
        <v>22.232255136844188</v>
      </c>
      <c r="AZ31" s="40">
        <v>22.070718744685575</v>
      </c>
      <c r="BA31" s="41">
        <v>23.56709069326994</v>
      </c>
      <c r="BB31" s="42">
        <v>20.072198332389558</v>
      </c>
      <c r="BC31" s="45">
        <v>22.003643585991462</v>
      </c>
    </row>
    <row r="32" spans="1:55" s="2" customFormat="1" ht="14.25" customHeight="1" x14ac:dyDescent="0.25">
      <c r="A32" s="44">
        <v>18</v>
      </c>
      <c r="B32" s="40">
        <v>24.5</v>
      </c>
      <c r="C32" s="40">
        <v>25.6</v>
      </c>
      <c r="D32" s="40">
        <v>27.8</v>
      </c>
      <c r="E32" s="40">
        <v>28.8</v>
      </c>
      <c r="F32" s="40">
        <v>29.5</v>
      </c>
      <c r="G32" s="40">
        <v>30.7</v>
      </c>
      <c r="H32" s="40">
        <v>30.1</v>
      </c>
      <c r="I32" s="40">
        <v>30.3</v>
      </c>
      <c r="J32" s="40">
        <v>29.6</v>
      </c>
      <c r="K32" s="40">
        <v>28.8</v>
      </c>
      <c r="L32" s="40">
        <v>27.8</v>
      </c>
      <c r="M32" s="40">
        <v>26.6</v>
      </c>
      <c r="N32" s="40">
        <v>25.8</v>
      </c>
      <c r="O32" s="41">
        <v>30.7</v>
      </c>
      <c r="P32" s="42">
        <v>24.5</v>
      </c>
      <c r="Q32" s="45">
        <v>28.146153846153847</v>
      </c>
      <c r="T32" s="44">
        <v>18</v>
      </c>
      <c r="U32" s="40">
        <v>23</v>
      </c>
      <c r="V32" s="40">
        <v>23.2</v>
      </c>
      <c r="W32" s="40">
        <v>23.4</v>
      </c>
      <c r="X32" s="40">
        <v>24</v>
      </c>
      <c r="Y32" s="40">
        <v>24.3</v>
      </c>
      <c r="Z32" s="40">
        <v>25</v>
      </c>
      <c r="AA32" s="40">
        <v>24.8</v>
      </c>
      <c r="AB32" s="40">
        <v>25.2</v>
      </c>
      <c r="AC32" s="40">
        <v>24.4</v>
      </c>
      <c r="AD32" s="40">
        <v>24.2</v>
      </c>
      <c r="AE32" s="40">
        <v>24</v>
      </c>
      <c r="AF32" s="40">
        <v>23.5</v>
      </c>
      <c r="AG32" s="40">
        <v>23.3</v>
      </c>
      <c r="AH32" s="41">
        <v>25.2</v>
      </c>
      <c r="AI32" s="42">
        <v>23</v>
      </c>
      <c r="AJ32" s="45">
        <v>24.023076923076925</v>
      </c>
      <c r="AM32" s="44">
        <v>18</v>
      </c>
      <c r="AN32" s="40">
        <v>22.185108955306031</v>
      </c>
      <c r="AO32" s="40">
        <v>21.955694513131515</v>
      </c>
      <c r="AP32" s="40">
        <v>21.170350761795515</v>
      </c>
      <c r="AQ32" s="40">
        <v>21.642015979127848</v>
      </c>
      <c r="AR32" s="40">
        <v>21.782373423989686</v>
      </c>
      <c r="AS32" s="40">
        <v>22.336237283617418</v>
      </c>
      <c r="AT32" s="40">
        <v>22.3011628080911</v>
      </c>
      <c r="AU32" s="40">
        <v>22.848226042163287</v>
      </c>
      <c r="AV32" s="40">
        <v>21.895953551222608</v>
      </c>
      <c r="AW32" s="40">
        <v>21.965723227091431</v>
      </c>
      <c r="AX32" s="40">
        <v>22.135161586316389</v>
      </c>
      <c r="AY32" s="40">
        <v>21.933041408012986</v>
      </c>
      <c r="AZ32" s="40">
        <v>22.013014015184659</v>
      </c>
      <c r="BA32" s="41">
        <v>22.848226042163287</v>
      </c>
      <c r="BB32" s="42">
        <v>21.170350761795515</v>
      </c>
      <c r="BC32" s="45">
        <v>22.012620273465419</v>
      </c>
    </row>
    <row r="33" spans="1:55" s="2" customFormat="1" ht="14.25" customHeight="1" x14ac:dyDescent="0.25">
      <c r="A33" s="44">
        <v>19</v>
      </c>
      <c r="B33" s="40">
        <v>24.8</v>
      </c>
      <c r="C33" s="40">
        <v>26</v>
      </c>
      <c r="D33" s="40">
        <v>27.9</v>
      </c>
      <c r="E33" s="40">
        <v>28.6</v>
      </c>
      <c r="F33" s="40">
        <v>29.1</v>
      </c>
      <c r="G33" s="40">
        <v>30</v>
      </c>
      <c r="H33" s="40">
        <v>30.4</v>
      </c>
      <c r="I33" s="40">
        <v>30</v>
      </c>
      <c r="J33" s="40">
        <v>29.8</v>
      </c>
      <c r="K33" s="40">
        <v>29.3</v>
      </c>
      <c r="L33" s="40">
        <v>28.2</v>
      </c>
      <c r="M33" s="40">
        <v>26.8</v>
      </c>
      <c r="N33" s="40">
        <v>26</v>
      </c>
      <c r="O33" s="41">
        <v>30.4</v>
      </c>
      <c r="P33" s="42">
        <v>24.8</v>
      </c>
      <c r="Q33" s="45">
        <v>28.223076923076921</v>
      </c>
      <c r="T33" s="44">
        <v>19</v>
      </c>
      <c r="U33" s="40">
        <v>23.3</v>
      </c>
      <c r="V33" s="40">
        <v>23.6</v>
      </c>
      <c r="W33" s="40">
        <v>24.2</v>
      </c>
      <c r="X33" s="40">
        <v>24</v>
      </c>
      <c r="Y33" s="40">
        <v>24.5</v>
      </c>
      <c r="Z33" s="40">
        <v>24.3</v>
      </c>
      <c r="AA33" s="40">
        <v>24.6</v>
      </c>
      <c r="AB33" s="40">
        <v>24</v>
      </c>
      <c r="AC33" s="40">
        <v>24.2</v>
      </c>
      <c r="AD33" s="40">
        <v>23.8</v>
      </c>
      <c r="AE33" s="40">
        <v>23.6</v>
      </c>
      <c r="AF33" s="40">
        <v>23.4</v>
      </c>
      <c r="AG33" s="40">
        <v>23</v>
      </c>
      <c r="AH33" s="41">
        <v>24.6</v>
      </c>
      <c r="AI33" s="42">
        <v>23</v>
      </c>
      <c r="AJ33" s="45">
        <v>23.884615384615383</v>
      </c>
      <c r="AM33" s="44">
        <v>19</v>
      </c>
      <c r="AN33" s="40">
        <v>22.496617546342105</v>
      </c>
      <c r="AO33" s="40">
        <v>22.380428406468425</v>
      </c>
      <c r="AP33" s="40">
        <v>22.402630915606249</v>
      </c>
      <c r="AQ33" s="40">
        <v>21.741688210998174</v>
      </c>
      <c r="AR33" s="40">
        <v>22.301168385898468</v>
      </c>
      <c r="AS33" s="40">
        <v>21.532732680700015</v>
      </c>
      <c r="AT33" s="40">
        <v>21.828299799670827</v>
      </c>
      <c r="AU33" s="40">
        <v>21.032557586466847</v>
      </c>
      <c r="AV33" s="40">
        <v>21.468033312860303</v>
      </c>
      <c r="AW33" s="40">
        <v>21.059023055172961</v>
      </c>
      <c r="AX33" s="40">
        <v>21.292621589976143</v>
      </c>
      <c r="AY33" s="40">
        <v>21.675891882100515</v>
      </c>
      <c r="AZ33" s="40">
        <v>21.442503423907144</v>
      </c>
      <c r="BA33" s="41">
        <v>22.496617546342105</v>
      </c>
      <c r="BB33" s="42">
        <v>21.032557586466847</v>
      </c>
      <c r="BC33" s="45">
        <v>21.742630522782171</v>
      </c>
    </row>
    <row r="34" spans="1:55" s="2" customFormat="1" ht="14.25" customHeight="1" x14ac:dyDescent="0.25">
      <c r="A34" s="44">
        <v>20</v>
      </c>
      <c r="B34" s="40">
        <v>25</v>
      </c>
      <c r="C34" s="40">
        <v>26.2</v>
      </c>
      <c r="D34" s="40">
        <v>27.2</v>
      </c>
      <c r="E34" s="40">
        <v>28.7</v>
      </c>
      <c r="F34" s="40">
        <v>28.4</v>
      </c>
      <c r="G34" s="40">
        <v>29.2</v>
      </c>
      <c r="H34" s="40">
        <v>29.3</v>
      </c>
      <c r="I34" s="40">
        <v>28.3</v>
      </c>
      <c r="J34" s="40">
        <v>28.2</v>
      </c>
      <c r="K34" s="40">
        <v>28.2</v>
      </c>
      <c r="L34" s="40">
        <v>27.6</v>
      </c>
      <c r="M34" s="40">
        <v>26.6</v>
      </c>
      <c r="N34" s="40">
        <v>25.7</v>
      </c>
      <c r="O34" s="41">
        <v>29.3</v>
      </c>
      <c r="P34" s="42">
        <v>25</v>
      </c>
      <c r="Q34" s="45">
        <v>27.584615384615386</v>
      </c>
      <c r="T34" s="44">
        <v>20</v>
      </c>
      <c r="U34" s="40">
        <v>22.6</v>
      </c>
      <c r="V34" s="40">
        <v>22.9</v>
      </c>
      <c r="W34" s="40">
        <v>23.2</v>
      </c>
      <c r="X34" s="40">
        <v>23.5</v>
      </c>
      <c r="Y34" s="40">
        <v>23.5</v>
      </c>
      <c r="Z34" s="40">
        <v>23.8</v>
      </c>
      <c r="AA34" s="40">
        <v>23.9</v>
      </c>
      <c r="AB34" s="40">
        <v>24.2</v>
      </c>
      <c r="AC34" s="40">
        <v>24.4</v>
      </c>
      <c r="AD34" s="40">
        <v>24</v>
      </c>
      <c r="AE34" s="40">
        <v>23.2</v>
      </c>
      <c r="AF34" s="40">
        <v>23</v>
      </c>
      <c r="AG34" s="40">
        <v>22.9</v>
      </c>
      <c r="AH34" s="41">
        <v>24.4</v>
      </c>
      <c r="AI34" s="42">
        <v>22.6</v>
      </c>
      <c r="AJ34" s="45">
        <v>23.469230769230766</v>
      </c>
      <c r="AM34" s="44">
        <v>20</v>
      </c>
      <c r="AN34" s="40">
        <v>21.317372376271372</v>
      </c>
      <c r="AO34" s="40">
        <v>21.181401935232739</v>
      </c>
      <c r="AP34" s="40">
        <v>21.152517335305355</v>
      </c>
      <c r="AQ34" s="40">
        <v>20.870272321611111</v>
      </c>
      <c r="AR34" s="40">
        <v>21.025852170374819</v>
      </c>
      <c r="AS34" s="40">
        <v>21.110504772755601</v>
      </c>
      <c r="AT34" s="40">
        <v>21.225190166961244</v>
      </c>
      <c r="AU34" s="40">
        <v>22.209701918786376</v>
      </c>
      <c r="AV34" s="40">
        <v>22.573749319862735</v>
      </c>
      <c r="AW34" s="40">
        <v>21.939456220143654</v>
      </c>
      <c r="AX34" s="40">
        <v>20.946207020085101</v>
      </c>
      <c r="AY34" s="40">
        <v>21.137007191369257</v>
      </c>
      <c r="AZ34" s="40">
        <v>21.435724959067251</v>
      </c>
      <c r="BA34" s="41">
        <v>22.573749319862735</v>
      </c>
      <c r="BB34" s="42">
        <v>20.870272321611111</v>
      </c>
      <c r="BC34" s="45">
        <v>21.394227515986664</v>
      </c>
    </row>
    <row r="35" spans="1:55" s="2" customFormat="1" ht="14.25" customHeight="1" x14ac:dyDescent="0.25">
      <c r="A35" s="44">
        <v>21</v>
      </c>
      <c r="B35" s="40">
        <v>24.8</v>
      </c>
      <c r="C35" s="40">
        <v>25.8</v>
      </c>
      <c r="D35" s="40">
        <v>27</v>
      </c>
      <c r="E35" s="40">
        <v>28.9</v>
      </c>
      <c r="F35" s="40">
        <v>30.2</v>
      </c>
      <c r="G35" s="40">
        <v>31</v>
      </c>
      <c r="H35" s="40">
        <v>30.7</v>
      </c>
      <c r="I35" s="40">
        <v>30</v>
      </c>
      <c r="J35" s="40">
        <v>29.6</v>
      </c>
      <c r="K35" s="40">
        <v>28.2</v>
      </c>
      <c r="L35" s="40">
        <v>27</v>
      </c>
      <c r="M35" s="40">
        <v>26.6</v>
      </c>
      <c r="N35" s="40">
        <v>26</v>
      </c>
      <c r="O35" s="41">
        <v>31</v>
      </c>
      <c r="P35" s="42">
        <v>24.8</v>
      </c>
      <c r="Q35" s="45">
        <v>28.138461538461538</v>
      </c>
      <c r="T35" s="44">
        <v>21</v>
      </c>
      <c r="U35" s="40">
        <v>23.4</v>
      </c>
      <c r="V35" s="40">
        <v>23.4</v>
      </c>
      <c r="W35" s="40">
        <v>23.8</v>
      </c>
      <c r="X35" s="40">
        <v>24.2</v>
      </c>
      <c r="Y35" s="40">
        <v>24.4</v>
      </c>
      <c r="Z35" s="40">
        <v>25</v>
      </c>
      <c r="AA35" s="40">
        <v>25.8</v>
      </c>
      <c r="AB35" s="40">
        <v>25.4</v>
      </c>
      <c r="AC35" s="40">
        <v>24.8</v>
      </c>
      <c r="AD35" s="40">
        <v>24</v>
      </c>
      <c r="AE35" s="40">
        <v>23.6</v>
      </c>
      <c r="AF35" s="40">
        <v>23.6</v>
      </c>
      <c r="AG35" s="40">
        <v>23.4</v>
      </c>
      <c r="AH35" s="41">
        <v>25.8</v>
      </c>
      <c r="AI35" s="42">
        <v>23.4</v>
      </c>
      <c r="AJ35" s="45">
        <v>24.215384615384615</v>
      </c>
      <c r="AM35" s="44">
        <v>21</v>
      </c>
      <c r="AN35" s="40">
        <v>22.647828842860125</v>
      </c>
      <c r="AO35" s="40">
        <v>22.168141216801725</v>
      </c>
      <c r="AP35" s="40">
        <v>22.208645027327083</v>
      </c>
      <c r="AQ35" s="40">
        <v>21.916544789226339</v>
      </c>
      <c r="AR35" s="40">
        <v>21.597809010828609</v>
      </c>
      <c r="AS35" s="40">
        <v>22.191206158280181</v>
      </c>
      <c r="AT35" s="40">
        <v>23.612164397600498</v>
      </c>
      <c r="AU35" s="40">
        <v>23.303296611588866</v>
      </c>
      <c r="AV35" s="40">
        <v>22.540866348822316</v>
      </c>
      <c r="AW35" s="40">
        <v>21.939456220143654</v>
      </c>
      <c r="AX35" s="40">
        <v>21.893778896731295</v>
      </c>
      <c r="AY35" s="40">
        <v>22.089953586802764</v>
      </c>
      <c r="AZ35" s="40">
        <v>22.070718744685575</v>
      </c>
      <c r="BA35" s="41">
        <v>23.612164397600498</v>
      </c>
      <c r="BB35" s="42">
        <v>21.597809010828609</v>
      </c>
      <c r="BC35" s="45">
        <v>22.321569988592234</v>
      </c>
    </row>
    <row r="36" spans="1:55" s="2" customFormat="1" ht="14.25" customHeight="1" x14ac:dyDescent="0.25">
      <c r="A36" s="44">
        <v>22</v>
      </c>
      <c r="B36" s="40">
        <v>25.6</v>
      </c>
      <c r="C36" s="40">
        <v>26.1</v>
      </c>
      <c r="D36" s="40">
        <v>26.2</v>
      </c>
      <c r="E36" s="40">
        <v>26.7</v>
      </c>
      <c r="F36" s="40">
        <v>27.7</v>
      </c>
      <c r="G36" s="40">
        <v>29.2</v>
      </c>
      <c r="H36" s="40">
        <v>29.8</v>
      </c>
      <c r="I36" s="40">
        <v>30.2</v>
      </c>
      <c r="J36" s="40">
        <v>30.6</v>
      </c>
      <c r="K36" s="40">
        <v>29.4</v>
      </c>
      <c r="L36" s="40">
        <v>28.2</v>
      </c>
      <c r="M36" s="40">
        <v>27.8</v>
      </c>
      <c r="N36" s="40">
        <v>26.5</v>
      </c>
      <c r="O36" s="41">
        <v>30.6</v>
      </c>
      <c r="P36" s="42">
        <v>25.6</v>
      </c>
      <c r="Q36" s="45">
        <v>28</v>
      </c>
      <c r="T36" s="44">
        <v>22</v>
      </c>
      <c r="U36" s="40">
        <v>23.5</v>
      </c>
      <c r="V36" s="40">
        <v>23.8</v>
      </c>
      <c r="W36" s="40">
        <v>24</v>
      </c>
      <c r="X36" s="40">
        <v>24.4</v>
      </c>
      <c r="Y36" s="40">
        <v>24.4</v>
      </c>
      <c r="Z36" s="40">
        <v>24.6</v>
      </c>
      <c r="AA36" s="40">
        <v>24.8</v>
      </c>
      <c r="AB36" s="40">
        <v>24.9</v>
      </c>
      <c r="AC36" s="40">
        <v>25.6</v>
      </c>
      <c r="AD36" s="40">
        <v>24.6</v>
      </c>
      <c r="AE36" s="40">
        <v>23.9</v>
      </c>
      <c r="AF36" s="40">
        <v>23.4</v>
      </c>
      <c r="AG36" s="40">
        <v>23.3</v>
      </c>
      <c r="AH36" s="41">
        <v>25.6</v>
      </c>
      <c r="AI36" s="42">
        <v>23.3</v>
      </c>
      <c r="AJ36" s="45">
        <v>24.246153846153845</v>
      </c>
      <c r="AM36" s="44">
        <v>22</v>
      </c>
      <c r="AN36" s="40">
        <v>22.418685488499488</v>
      </c>
      <c r="AO36" s="40">
        <v>22.640002457234171</v>
      </c>
      <c r="AP36" s="40">
        <v>22.898249002326494</v>
      </c>
      <c r="AQ36" s="40">
        <v>23.273910219606915</v>
      </c>
      <c r="AR36" s="40">
        <v>22.810028566949143</v>
      </c>
      <c r="AS36" s="40">
        <v>22.412824160138996</v>
      </c>
      <c r="AT36" s="40">
        <v>22.445350590029136</v>
      </c>
      <c r="AU36" s="40">
        <v>22.4145725316748</v>
      </c>
      <c r="AV36" s="40">
        <v>23.343395747115117</v>
      </c>
      <c r="AW36" s="40">
        <v>22.316656612844575</v>
      </c>
      <c r="AX36" s="40">
        <v>21.778955466513665</v>
      </c>
      <c r="AY36" s="40">
        <v>21.170350761795515</v>
      </c>
      <c r="AZ36" s="40">
        <v>21.66692668789975</v>
      </c>
      <c r="BA36" s="41">
        <v>23.343395747115117</v>
      </c>
      <c r="BB36" s="42">
        <v>21.170350761795515</v>
      </c>
      <c r="BC36" s="45">
        <v>22.429992945586758</v>
      </c>
    </row>
    <row r="37" spans="1:55" s="2" customFormat="1" ht="14.25" customHeight="1" x14ac:dyDescent="0.25">
      <c r="A37" s="44">
        <v>23</v>
      </c>
      <c r="B37" s="40">
        <v>25.3</v>
      </c>
      <c r="C37" s="40">
        <v>26.1</v>
      </c>
      <c r="D37" s="40">
        <v>26.9</v>
      </c>
      <c r="E37" s="40">
        <v>28.8</v>
      </c>
      <c r="F37" s="40">
        <v>29.5</v>
      </c>
      <c r="G37" s="40">
        <v>30.2</v>
      </c>
      <c r="H37" s="40">
        <v>31</v>
      </c>
      <c r="I37" s="40">
        <v>30.8</v>
      </c>
      <c r="J37" s="40">
        <v>29</v>
      </c>
      <c r="K37" s="40">
        <v>25</v>
      </c>
      <c r="L37" s="40">
        <v>25.4</v>
      </c>
      <c r="M37" s="40">
        <v>25.6</v>
      </c>
      <c r="N37" s="40">
        <v>25.4</v>
      </c>
      <c r="O37" s="41">
        <v>31</v>
      </c>
      <c r="P37" s="42">
        <v>25</v>
      </c>
      <c r="Q37" s="45">
        <v>27.615384615384617</v>
      </c>
      <c r="T37" s="44">
        <v>23</v>
      </c>
      <c r="U37" s="40">
        <v>23.6</v>
      </c>
      <c r="V37" s="40">
        <v>23.8</v>
      </c>
      <c r="W37" s="40">
        <v>24.3</v>
      </c>
      <c r="X37" s="40">
        <v>24.8</v>
      </c>
      <c r="Y37" s="40">
        <v>25.3</v>
      </c>
      <c r="Z37" s="40">
        <v>25.4</v>
      </c>
      <c r="AA37" s="40">
        <v>26.1</v>
      </c>
      <c r="AB37" s="40">
        <v>26.1</v>
      </c>
      <c r="AC37" s="40">
        <v>25.8</v>
      </c>
      <c r="AD37" s="40">
        <v>24</v>
      </c>
      <c r="AE37" s="40">
        <v>23.5</v>
      </c>
      <c r="AF37" s="40">
        <v>24.6</v>
      </c>
      <c r="AG37" s="40">
        <v>24.4</v>
      </c>
      <c r="AH37" s="41">
        <v>26.1</v>
      </c>
      <c r="AI37" s="42">
        <v>23.5</v>
      </c>
      <c r="AJ37" s="45">
        <v>24.746153846153845</v>
      </c>
      <c r="AM37" s="44">
        <v>23</v>
      </c>
      <c r="AN37" s="40">
        <v>22.713748663769724</v>
      </c>
      <c r="AO37" s="40">
        <v>22.640002457234171</v>
      </c>
      <c r="AP37" s="40">
        <v>23.029600572058673</v>
      </c>
      <c r="AQ37" s="40">
        <v>22.918167167153779</v>
      </c>
      <c r="AR37" s="40">
        <v>23.3754651235834</v>
      </c>
      <c r="AS37" s="40">
        <v>23.211561155971527</v>
      </c>
      <c r="AT37" s="40">
        <v>23.946332260037025</v>
      </c>
      <c r="AU37" s="40">
        <v>24.034604390319963</v>
      </c>
      <c r="AV37" s="40">
        <v>24.362543776675032</v>
      </c>
      <c r="AW37" s="40">
        <v>23.451002870250118</v>
      </c>
      <c r="AX37" s="40">
        <v>22.514328180055845</v>
      </c>
      <c r="AY37" s="40">
        <v>24.06513901073685</v>
      </c>
      <c r="AZ37" s="40">
        <v>23.860484247779919</v>
      </c>
      <c r="BA37" s="41">
        <v>24.362543776675032</v>
      </c>
      <c r="BB37" s="42">
        <v>22.514328180055845</v>
      </c>
      <c r="BC37" s="45">
        <v>23.39407537504816</v>
      </c>
    </row>
    <row r="38" spans="1:55" s="2" customFormat="1" ht="14.25" customHeight="1" x14ac:dyDescent="0.25">
      <c r="A38" s="44">
        <v>24</v>
      </c>
      <c r="B38" s="40">
        <v>24.6</v>
      </c>
      <c r="C38" s="40">
        <v>25.2</v>
      </c>
      <c r="D38" s="40">
        <v>26.8</v>
      </c>
      <c r="E38" s="40">
        <v>28</v>
      </c>
      <c r="F38" s="40">
        <v>29</v>
      </c>
      <c r="G38" s="40">
        <v>29.8</v>
      </c>
      <c r="H38" s="40">
        <v>29.2</v>
      </c>
      <c r="I38" s="40">
        <v>29.3</v>
      </c>
      <c r="J38" s="40">
        <v>29.2</v>
      </c>
      <c r="K38" s="40">
        <v>28.7</v>
      </c>
      <c r="L38" s="40">
        <v>27.7</v>
      </c>
      <c r="M38" s="40">
        <v>26.9</v>
      </c>
      <c r="N38" s="40">
        <v>25.9</v>
      </c>
      <c r="O38" s="41">
        <v>29.8</v>
      </c>
      <c r="P38" s="42">
        <v>24.6</v>
      </c>
      <c r="Q38" s="45">
        <v>27.715384615384611</v>
      </c>
      <c r="T38" s="44">
        <v>24</v>
      </c>
      <c r="U38" s="40">
        <v>24</v>
      </c>
      <c r="V38" s="40">
        <v>24.1</v>
      </c>
      <c r="W38" s="40">
        <v>24.5</v>
      </c>
      <c r="X38" s="40">
        <v>24.8</v>
      </c>
      <c r="Y38" s="40">
        <v>25</v>
      </c>
      <c r="Z38" s="40">
        <v>25.4</v>
      </c>
      <c r="AA38" s="40">
        <v>24.8</v>
      </c>
      <c r="AB38" s="40">
        <v>24.5</v>
      </c>
      <c r="AC38" s="40">
        <v>24.4</v>
      </c>
      <c r="AD38" s="40">
        <v>24.4</v>
      </c>
      <c r="AE38" s="40">
        <v>24.1</v>
      </c>
      <c r="AF38" s="40">
        <v>23.9</v>
      </c>
      <c r="AG38" s="40">
        <v>23.7</v>
      </c>
      <c r="AH38" s="41">
        <v>25.4</v>
      </c>
      <c r="AI38" s="42">
        <v>23.7</v>
      </c>
      <c r="AJ38" s="45">
        <v>24.430769230769229</v>
      </c>
      <c r="AM38" s="44">
        <v>24</v>
      </c>
      <c r="AN38" s="40">
        <v>23.631733166285724</v>
      </c>
      <c r="AO38" s="40">
        <v>23.50818679064108</v>
      </c>
      <c r="AP38" s="40">
        <v>23.379436669800825</v>
      </c>
      <c r="AQ38" s="40">
        <v>23.28808865472617</v>
      </c>
      <c r="AR38" s="40">
        <v>23.13765699199967</v>
      </c>
      <c r="AS38" s="40">
        <v>23.394590685489504</v>
      </c>
      <c r="AT38" s="40">
        <v>22.730458944972405</v>
      </c>
      <c r="AU38" s="40">
        <v>22.204427790343093</v>
      </c>
      <c r="AV38" s="40">
        <v>22.092115402846034</v>
      </c>
      <c r="AW38" s="40">
        <v>22.33447262077301</v>
      </c>
      <c r="AX38" s="40">
        <v>22.341435779887838</v>
      </c>
      <c r="AY38" s="40">
        <v>22.412987586240096</v>
      </c>
      <c r="AZ38" s="40">
        <v>22.58181418054675</v>
      </c>
      <c r="BA38" s="41">
        <v>23.631733166285724</v>
      </c>
      <c r="BB38" s="42">
        <v>22.092115402846034</v>
      </c>
      <c r="BC38" s="45">
        <v>22.849031174196323</v>
      </c>
    </row>
    <row r="39" spans="1:55" s="2" customFormat="1" ht="14.25" customHeight="1" x14ac:dyDescent="0.25">
      <c r="A39" s="44">
        <v>25</v>
      </c>
      <c r="B39" s="40">
        <v>24.6</v>
      </c>
      <c r="C39" s="40">
        <v>26.6</v>
      </c>
      <c r="D39" s="40">
        <v>28</v>
      </c>
      <c r="E39" s="40">
        <v>28.6</v>
      </c>
      <c r="F39" s="40">
        <v>29.5</v>
      </c>
      <c r="G39" s="40">
        <v>29.2</v>
      </c>
      <c r="H39" s="40">
        <v>29</v>
      </c>
      <c r="I39" s="40">
        <v>29.4</v>
      </c>
      <c r="J39" s="40">
        <v>29.4</v>
      </c>
      <c r="K39" s="40">
        <v>28.6</v>
      </c>
      <c r="L39" s="40">
        <v>27.6</v>
      </c>
      <c r="M39" s="40">
        <v>26.8</v>
      </c>
      <c r="N39" s="40">
        <v>25.8</v>
      </c>
      <c r="O39" s="41">
        <v>29.5</v>
      </c>
      <c r="P39" s="42">
        <v>24.6</v>
      </c>
      <c r="Q39" s="45">
        <v>27.930769230769236</v>
      </c>
      <c r="T39" s="44">
        <v>25</v>
      </c>
      <c r="U39" s="40">
        <v>23.2</v>
      </c>
      <c r="V39" s="40">
        <v>23.6</v>
      </c>
      <c r="W39" s="40">
        <v>24</v>
      </c>
      <c r="X39" s="40">
        <v>24.4</v>
      </c>
      <c r="Y39" s="40">
        <v>24.8</v>
      </c>
      <c r="Z39" s="40">
        <v>24.4</v>
      </c>
      <c r="AA39" s="40">
        <v>23.6</v>
      </c>
      <c r="AB39" s="40">
        <v>24</v>
      </c>
      <c r="AC39" s="40">
        <v>24</v>
      </c>
      <c r="AD39" s="40">
        <v>23.6</v>
      </c>
      <c r="AE39" s="40">
        <v>23.6</v>
      </c>
      <c r="AF39" s="40">
        <v>23.4</v>
      </c>
      <c r="AG39" s="40">
        <v>23.4</v>
      </c>
      <c r="AH39" s="41">
        <v>24.8</v>
      </c>
      <c r="AI39" s="42">
        <v>23.2</v>
      </c>
      <c r="AJ39" s="45">
        <v>23.846153846153843</v>
      </c>
      <c r="AM39" s="44">
        <v>25</v>
      </c>
      <c r="AN39" s="40">
        <v>22.440752283690482</v>
      </c>
      <c r="AO39" s="40">
        <v>22.089953586802764</v>
      </c>
      <c r="AP39" s="40">
        <v>22.037563837182521</v>
      </c>
      <c r="AQ39" s="40">
        <v>22.382571693636379</v>
      </c>
      <c r="AR39" s="40">
        <v>22.588443387521256</v>
      </c>
      <c r="AS39" s="40">
        <v>22.092115402846034</v>
      </c>
      <c r="AT39" s="40">
        <v>20.880823045165641</v>
      </c>
      <c r="AU39" s="40">
        <v>21.339773119354938</v>
      </c>
      <c r="AV39" s="40">
        <v>21.339773119354938</v>
      </c>
      <c r="AW39" s="40">
        <v>21.087859813423901</v>
      </c>
      <c r="AX39" s="40">
        <v>21.595614336629087</v>
      </c>
      <c r="AY39" s="40">
        <v>21.675891882100515</v>
      </c>
      <c r="AZ39" s="40">
        <v>22.168141216801725</v>
      </c>
      <c r="BA39" s="41">
        <v>22.588443387521256</v>
      </c>
      <c r="BB39" s="42">
        <v>20.880823045165641</v>
      </c>
      <c r="BC39" s="45">
        <v>21.824559748039242</v>
      </c>
    </row>
    <row r="40" spans="1:55" s="2" customFormat="1" ht="14.25" customHeight="1" x14ac:dyDescent="0.25">
      <c r="A40" s="44">
        <v>26</v>
      </c>
      <c r="B40" s="40">
        <v>24.8</v>
      </c>
      <c r="C40" s="40">
        <v>25.5</v>
      </c>
      <c r="D40" s="40">
        <v>26.8</v>
      </c>
      <c r="E40" s="40">
        <v>27.6</v>
      </c>
      <c r="F40" s="40">
        <v>28.5</v>
      </c>
      <c r="G40" s="40">
        <v>28.1</v>
      </c>
      <c r="H40" s="40">
        <v>28.7</v>
      </c>
      <c r="I40" s="40">
        <v>28.7</v>
      </c>
      <c r="J40" s="40">
        <v>28.3</v>
      </c>
      <c r="K40" s="40">
        <v>27.7</v>
      </c>
      <c r="L40" s="40">
        <v>27</v>
      </c>
      <c r="M40" s="40">
        <v>25.9</v>
      </c>
      <c r="N40" s="40">
        <v>25.5</v>
      </c>
      <c r="O40" s="41">
        <v>28.7</v>
      </c>
      <c r="P40" s="42">
        <v>24.8</v>
      </c>
      <c r="Q40" s="45">
        <v>27.161538461538459</v>
      </c>
      <c r="T40" s="44">
        <v>26</v>
      </c>
      <c r="U40" s="40">
        <v>23.6</v>
      </c>
      <c r="V40" s="40">
        <v>23.8</v>
      </c>
      <c r="W40" s="40">
        <v>23.8</v>
      </c>
      <c r="X40" s="40">
        <v>24.2</v>
      </c>
      <c r="Y40" s="40">
        <v>23.8</v>
      </c>
      <c r="Z40" s="40">
        <v>23.8</v>
      </c>
      <c r="AA40" s="40">
        <v>24</v>
      </c>
      <c r="AB40" s="40">
        <v>23.5</v>
      </c>
      <c r="AC40" s="40">
        <v>23.3</v>
      </c>
      <c r="AD40" s="40">
        <v>23.3</v>
      </c>
      <c r="AE40" s="40">
        <v>22.8</v>
      </c>
      <c r="AF40" s="40">
        <v>22.8</v>
      </c>
      <c r="AG40" s="40">
        <v>22.9</v>
      </c>
      <c r="AH40" s="41">
        <v>24.2</v>
      </c>
      <c r="AI40" s="42">
        <v>22.8</v>
      </c>
      <c r="AJ40" s="45">
        <v>23.507692307692309</v>
      </c>
      <c r="AM40" s="44">
        <v>26</v>
      </c>
      <c r="AN40" s="40">
        <v>22.948281918843517</v>
      </c>
      <c r="AO40" s="40">
        <v>22.922189807747518</v>
      </c>
      <c r="AP40" s="40">
        <v>22.305359709723426</v>
      </c>
      <c r="AQ40" s="40">
        <v>22.546041617755499</v>
      </c>
      <c r="AR40" s="40">
        <v>21.466952571561961</v>
      </c>
      <c r="AS40" s="40">
        <v>21.667625007368354</v>
      </c>
      <c r="AT40" s="40">
        <v>21.691918406785955</v>
      </c>
      <c r="AU40" s="40">
        <v>20.870272321611111</v>
      </c>
      <c r="AV40" s="40">
        <v>20.746401539987328</v>
      </c>
      <c r="AW40" s="40">
        <v>21.058320296911109</v>
      </c>
      <c r="AX40" s="40">
        <v>20.602873681847623</v>
      </c>
      <c r="AY40" s="40">
        <v>21.175105598794936</v>
      </c>
      <c r="AZ40" s="40">
        <v>21.536492468553675</v>
      </c>
      <c r="BA40" s="41">
        <v>22.948281918843517</v>
      </c>
      <c r="BB40" s="42">
        <v>20.602873681847623</v>
      </c>
      <c r="BC40" s="45">
        <v>21.656756534422463</v>
      </c>
    </row>
    <row r="41" spans="1:55" s="2" customFormat="1" ht="14.25" customHeight="1" x14ac:dyDescent="0.25">
      <c r="A41" s="44">
        <v>27</v>
      </c>
      <c r="B41" s="40">
        <v>24.2</v>
      </c>
      <c r="C41" s="40">
        <v>25</v>
      </c>
      <c r="D41" s="40">
        <v>27.2</v>
      </c>
      <c r="E41" s="40">
        <v>28.6</v>
      </c>
      <c r="F41" s="40">
        <v>29.7</v>
      </c>
      <c r="G41" s="40">
        <v>30.2</v>
      </c>
      <c r="H41" s="40">
        <v>30</v>
      </c>
      <c r="I41" s="40">
        <v>29.4</v>
      </c>
      <c r="J41" s="40">
        <v>28.2</v>
      </c>
      <c r="K41" s="40">
        <v>27.2</v>
      </c>
      <c r="L41" s="40">
        <v>26.2</v>
      </c>
      <c r="M41" s="40">
        <v>25.2</v>
      </c>
      <c r="N41" s="40">
        <v>24.6</v>
      </c>
      <c r="O41" s="41">
        <v>30.2</v>
      </c>
      <c r="P41" s="42">
        <v>24.2</v>
      </c>
      <c r="Q41" s="45">
        <v>27.361538461538462</v>
      </c>
      <c r="T41" s="44">
        <v>27</v>
      </c>
      <c r="U41" s="40">
        <v>23</v>
      </c>
      <c r="V41" s="40">
        <v>23.2</v>
      </c>
      <c r="W41" s="40">
        <v>23.5</v>
      </c>
      <c r="X41" s="40">
        <v>23.4</v>
      </c>
      <c r="Y41" s="40">
        <v>24</v>
      </c>
      <c r="Z41" s="40">
        <v>24.1</v>
      </c>
      <c r="AA41" s="40">
        <v>24.8</v>
      </c>
      <c r="AB41" s="40">
        <v>24.4</v>
      </c>
      <c r="AC41" s="40">
        <v>23.6</v>
      </c>
      <c r="AD41" s="40">
        <v>23.6</v>
      </c>
      <c r="AE41" s="40">
        <v>23.1</v>
      </c>
      <c r="AF41" s="40">
        <v>22.6</v>
      </c>
      <c r="AG41" s="40">
        <v>22.4</v>
      </c>
      <c r="AH41" s="41">
        <v>24.8</v>
      </c>
      <c r="AI41" s="42">
        <v>22.4</v>
      </c>
      <c r="AJ41" s="45">
        <v>23.515384615384615</v>
      </c>
      <c r="AM41" s="44">
        <v>27</v>
      </c>
      <c r="AN41" s="40">
        <v>22.330168592037214</v>
      </c>
      <c r="AO41" s="40">
        <v>22.248227889936057</v>
      </c>
      <c r="AP41" s="40">
        <v>21.63550779462928</v>
      </c>
      <c r="AQ41" s="40">
        <v>20.755814499189071</v>
      </c>
      <c r="AR41" s="40">
        <v>21.186797925083837</v>
      </c>
      <c r="AS41" s="40">
        <v>21.097555275765899</v>
      </c>
      <c r="AT41" s="40">
        <v>22.34934818078785</v>
      </c>
      <c r="AU41" s="40">
        <v>21.994290685744307</v>
      </c>
      <c r="AV41" s="40">
        <v>21.292621589976143</v>
      </c>
      <c r="AW41" s="40">
        <v>21.794916962756314</v>
      </c>
      <c r="AX41" s="40">
        <v>21.500263849147327</v>
      </c>
      <c r="AY41" s="40">
        <v>21.215414323906355</v>
      </c>
      <c r="AZ41" s="40">
        <v>21.206827006453103</v>
      </c>
      <c r="BA41" s="41">
        <v>22.34934818078785</v>
      </c>
      <c r="BB41" s="42">
        <v>20.755814499189071</v>
      </c>
      <c r="BC41" s="45">
        <v>21.585211890416364</v>
      </c>
    </row>
    <row r="42" spans="1:55" s="2" customFormat="1" ht="14.25" customHeight="1" x14ac:dyDescent="0.25">
      <c r="A42" s="44">
        <v>28</v>
      </c>
      <c r="B42" s="40">
        <v>23.4</v>
      </c>
      <c r="C42" s="40">
        <v>24.8</v>
      </c>
      <c r="D42" s="40">
        <v>26.4</v>
      </c>
      <c r="E42" s="40">
        <v>27.5</v>
      </c>
      <c r="F42" s="40">
        <v>28.6</v>
      </c>
      <c r="G42" s="40">
        <v>30</v>
      </c>
      <c r="H42" s="40">
        <v>30.2</v>
      </c>
      <c r="I42" s="40">
        <v>29.5</v>
      </c>
      <c r="J42" s="40">
        <v>29</v>
      </c>
      <c r="K42" s="40">
        <v>27.7</v>
      </c>
      <c r="L42" s="40">
        <v>27.8</v>
      </c>
      <c r="M42" s="40">
        <v>26</v>
      </c>
      <c r="N42" s="40">
        <v>25.2</v>
      </c>
      <c r="O42" s="41">
        <v>30.2</v>
      </c>
      <c r="P42" s="42">
        <v>23.4</v>
      </c>
      <c r="Q42" s="45">
        <v>27.392307692307689</v>
      </c>
      <c r="T42" s="44">
        <v>28</v>
      </c>
      <c r="U42" s="40">
        <v>22.3</v>
      </c>
      <c r="V42" s="40">
        <v>22.7</v>
      </c>
      <c r="W42" s="40">
        <v>23</v>
      </c>
      <c r="X42" s="40">
        <v>23.8</v>
      </c>
      <c r="Y42" s="40">
        <v>23.8</v>
      </c>
      <c r="Z42" s="40">
        <v>24.8</v>
      </c>
      <c r="AA42" s="40">
        <v>25</v>
      </c>
      <c r="AB42" s="40">
        <v>24.5</v>
      </c>
      <c r="AC42" s="40">
        <v>24.2</v>
      </c>
      <c r="AD42" s="40">
        <v>24</v>
      </c>
      <c r="AE42" s="40">
        <v>23.4</v>
      </c>
      <c r="AF42" s="40">
        <v>22.7</v>
      </c>
      <c r="AG42" s="40">
        <v>22.6</v>
      </c>
      <c r="AH42" s="41">
        <v>25</v>
      </c>
      <c r="AI42" s="42">
        <v>22.3</v>
      </c>
      <c r="AJ42" s="45">
        <v>23.6</v>
      </c>
      <c r="AM42" s="44">
        <v>28</v>
      </c>
      <c r="AN42" s="40">
        <v>21.658149927969809</v>
      </c>
      <c r="AO42" s="40">
        <v>21.574905502569948</v>
      </c>
      <c r="AP42" s="40">
        <v>21.239395929760107</v>
      </c>
      <c r="AQ42" s="40">
        <v>21.964658694482409</v>
      </c>
      <c r="AR42" s="40">
        <v>21.416446175167959</v>
      </c>
      <c r="AS42" s="40">
        <v>22.34934818078785</v>
      </c>
      <c r="AT42" s="40">
        <v>22.575500907686056</v>
      </c>
      <c r="AU42" s="40">
        <v>22.107186961561457</v>
      </c>
      <c r="AV42" s="40">
        <v>21.867237103039482</v>
      </c>
      <c r="AW42" s="40">
        <v>22.183771035855521</v>
      </c>
      <c r="AX42" s="40">
        <v>21.170350761795515</v>
      </c>
      <c r="AY42" s="40">
        <v>20.963264346434137</v>
      </c>
      <c r="AZ42" s="40">
        <v>21.215414323906355</v>
      </c>
      <c r="BA42" s="41">
        <v>22.575500907686056</v>
      </c>
      <c r="BB42" s="42">
        <v>20.963264346434137</v>
      </c>
      <c r="BC42" s="45">
        <v>21.714279219308974</v>
      </c>
    </row>
    <row r="43" spans="1:55" s="2" customFormat="1" ht="14.25" customHeight="1" x14ac:dyDescent="0.25">
      <c r="A43" s="44">
        <v>29</v>
      </c>
      <c r="B43" s="40">
        <v>23.8</v>
      </c>
      <c r="C43" s="40">
        <v>24.7</v>
      </c>
      <c r="D43" s="40">
        <v>26.2</v>
      </c>
      <c r="E43" s="40">
        <v>27.5</v>
      </c>
      <c r="F43" s="40">
        <v>28.3</v>
      </c>
      <c r="G43" s="40">
        <v>29.2</v>
      </c>
      <c r="H43" s="40">
        <v>29.3</v>
      </c>
      <c r="I43" s="40">
        <v>29.6</v>
      </c>
      <c r="J43" s="40">
        <v>29</v>
      </c>
      <c r="K43" s="40">
        <v>27.3</v>
      </c>
      <c r="L43" s="40">
        <v>26.8</v>
      </c>
      <c r="M43" s="40">
        <v>26</v>
      </c>
      <c r="N43" s="40">
        <v>25.3</v>
      </c>
      <c r="O43" s="41">
        <v>29.6</v>
      </c>
      <c r="P43" s="42">
        <v>23.8</v>
      </c>
      <c r="Q43" s="45">
        <v>27.153846153846153</v>
      </c>
      <c r="T43" s="44">
        <v>29</v>
      </c>
      <c r="U43" s="40">
        <v>23</v>
      </c>
      <c r="V43" s="40">
        <v>23.2</v>
      </c>
      <c r="W43" s="40">
        <v>23.8</v>
      </c>
      <c r="X43" s="40">
        <v>24.2</v>
      </c>
      <c r="Y43" s="40">
        <v>24.6</v>
      </c>
      <c r="Z43" s="40">
        <v>25</v>
      </c>
      <c r="AA43" s="40">
        <v>25.1</v>
      </c>
      <c r="AB43" s="40">
        <v>25</v>
      </c>
      <c r="AC43" s="40">
        <v>25</v>
      </c>
      <c r="AD43" s="40">
        <v>24.2</v>
      </c>
      <c r="AE43" s="40">
        <v>23.9</v>
      </c>
      <c r="AF43" s="40">
        <v>23.6</v>
      </c>
      <c r="AG43" s="40">
        <v>23.5</v>
      </c>
      <c r="AH43" s="41">
        <v>25.1</v>
      </c>
      <c r="AI43" s="42">
        <v>23</v>
      </c>
      <c r="AJ43" s="45">
        <v>24.161538461538463</v>
      </c>
      <c r="AM43" s="44">
        <v>29</v>
      </c>
      <c r="AN43" s="40">
        <v>22.521858915865991</v>
      </c>
      <c r="AO43" s="40">
        <v>22.392805431475239</v>
      </c>
      <c r="AP43" s="40">
        <v>22.592558509173742</v>
      </c>
      <c r="AQ43" s="40">
        <v>22.593603777364731</v>
      </c>
      <c r="AR43" s="40">
        <v>22.839609349795108</v>
      </c>
      <c r="AS43" s="40">
        <v>23.045116879889999</v>
      </c>
      <c r="AT43" s="40">
        <v>23.15530014080689</v>
      </c>
      <c r="AU43" s="40">
        <v>22.858668311959782</v>
      </c>
      <c r="AV43" s="40">
        <v>23.13765699199967</v>
      </c>
      <c r="AW43" s="40">
        <v>22.688369899451935</v>
      </c>
      <c r="AX43" s="40">
        <v>22.460885294273837</v>
      </c>
      <c r="AY43" s="40">
        <v>22.380428406468425</v>
      </c>
      <c r="AZ43" s="40">
        <v>22.561968152276879</v>
      </c>
      <c r="BA43" s="41">
        <v>23.15530014080689</v>
      </c>
      <c r="BB43" s="42">
        <v>22.380428406468425</v>
      </c>
      <c r="BC43" s="45">
        <v>22.709910004677095</v>
      </c>
    </row>
    <row r="44" spans="1:55" s="2" customFormat="1" ht="14.25" customHeight="1" thickBot="1" x14ac:dyDescent="0.3">
      <c r="A44" s="44">
        <v>30</v>
      </c>
      <c r="B44" s="40">
        <v>24.6</v>
      </c>
      <c r="C44" s="40">
        <v>25.4</v>
      </c>
      <c r="D44" s="40">
        <v>27</v>
      </c>
      <c r="E44" s="40">
        <v>27.3</v>
      </c>
      <c r="F44" s="40">
        <v>29.2</v>
      </c>
      <c r="G44" s="40">
        <v>29</v>
      </c>
      <c r="H44" s="40">
        <v>28.6</v>
      </c>
      <c r="I44" s="40">
        <v>27.9</v>
      </c>
      <c r="J44" s="40">
        <v>28</v>
      </c>
      <c r="K44" s="40">
        <v>23.6</v>
      </c>
      <c r="L44" s="40">
        <v>23.8</v>
      </c>
      <c r="M44" s="40">
        <v>23.8</v>
      </c>
      <c r="N44" s="40">
        <v>23.9</v>
      </c>
      <c r="O44" s="41">
        <v>29.2</v>
      </c>
      <c r="P44" s="42">
        <v>23.6</v>
      </c>
      <c r="Q44" s="45">
        <v>26.315384615384616</v>
      </c>
      <c r="T44" s="44">
        <v>30</v>
      </c>
      <c r="U44" s="40">
        <v>23.6</v>
      </c>
      <c r="V44" s="40">
        <v>23.8</v>
      </c>
      <c r="W44" s="40">
        <v>24.4</v>
      </c>
      <c r="X44" s="40">
        <v>24.5</v>
      </c>
      <c r="Y44" s="40">
        <v>25.3</v>
      </c>
      <c r="Z44" s="40">
        <v>25.2</v>
      </c>
      <c r="AA44" s="40">
        <v>25</v>
      </c>
      <c r="AB44" s="40">
        <v>24.6</v>
      </c>
      <c r="AC44" s="40">
        <v>25</v>
      </c>
      <c r="AD44" s="40">
        <v>23.5</v>
      </c>
      <c r="AE44" s="40">
        <v>23.6</v>
      </c>
      <c r="AF44" s="40">
        <v>23.6</v>
      </c>
      <c r="AG44" s="40">
        <v>23.8</v>
      </c>
      <c r="AH44" s="41">
        <v>25.3</v>
      </c>
      <c r="AI44" s="42">
        <v>23.5</v>
      </c>
      <c r="AJ44" s="45">
        <v>24.300000000000004</v>
      </c>
      <c r="AM44" s="44">
        <v>30</v>
      </c>
      <c r="AN44" s="40">
        <v>23.041286800704647</v>
      </c>
      <c r="AO44" s="40">
        <v>22.968814165589823</v>
      </c>
      <c r="AP44" s="40">
        <v>23.135934889422426</v>
      </c>
      <c r="AQ44" s="40">
        <v>23.150202224975626</v>
      </c>
      <c r="AR44" s="40">
        <v>23.511724268218156</v>
      </c>
      <c r="AS44" s="40">
        <v>23.447926951785295</v>
      </c>
      <c r="AT44" s="40">
        <v>23.321392650725961</v>
      </c>
      <c r="AU44" s="40">
        <v>23.026240016098249</v>
      </c>
      <c r="AV44" s="40">
        <v>23.593703811444115</v>
      </c>
      <c r="AW44" s="40">
        <v>23.353995191667256</v>
      </c>
      <c r="AX44" s="40">
        <v>23.408806959403272</v>
      </c>
      <c r="AY44" s="40">
        <v>23.408806959403272</v>
      </c>
      <c r="AZ44" s="40">
        <v>23.654756866735447</v>
      </c>
      <c r="BA44" s="41">
        <v>23.654756866735447</v>
      </c>
      <c r="BB44" s="42">
        <v>22.968814165589823</v>
      </c>
      <c r="BC44" s="45">
        <v>23.309507058167199</v>
      </c>
    </row>
    <row r="45" spans="1:55" s="2" customFormat="1" ht="14.25" customHeight="1" thickTop="1" x14ac:dyDescent="0.25">
      <c r="A45" s="49" t="s">
        <v>25</v>
      </c>
      <c r="B45" s="50">
        <f t="shared" ref="B45:Q45" si="0">MAX(B15:B44)</f>
        <v>25.6</v>
      </c>
      <c r="C45" s="50">
        <f t="shared" si="0"/>
        <v>26.6</v>
      </c>
      <c r="D45" s="50">
        <f t="shared" si="0"/>
        <v>28</v>
      </c>
      <c r="E45" s="50">
        <f t="shared" si="0"/>
        <v>29.6</v>
      </c>
      <c r="F45" s="50">
        <f t="shared" si="0"/>
        <v>31</v>
      </c>
      <c r="G45" s="50">
        <f t="shared" si="0"/>
        <v>32</v>
      </c>
      <c r="H45" s="50">
        <f t="shared" si="0"/>
        <v>31.5</v>
      </c>
      <c r="I45" s="50">
        <f t="shared" si="0"/>
        <v>31.7</v>
      </c>
      <c r="J45" s="50">
        <f t="shared" si="0"/>
        <v>31.5</v>
      </c>
      <c r="K45" s="50">
        <f t="shared" si="0"/>
        <v>30.6</v>
      </c>
      <c r="L45" s="50">
        <f t="shared" si="0"/>
        <v>29.2</v>
      </c>
      <c r="M45" s="50">
        <f t="shared" si="0"/>
        <v>27.9</v>
      </c>
      <c r="N45" s="50">
        <f t="shared" si="0"/>
        <v>27</v>
      </c>
      <c r="O45" s="41">
        <f t="shared" si="0"/>
        <v>32</v>
      </c>
      <c r="P45" s="51">
        <f t="shared" si="0"/>
        <v>25.6</v>
      </c>
      <c r="Q45" s="52">
        <f t="shared" si="0"/>
        <v>28.984615384615385</v>
      </c>
      <c r="T45" s="49" t="s">
        <v>25</v>
      </c>
      <c r="U45" s="50">
        <f t="shared" ref="U45:AJ45" si="1">MAX(U15:U44)</f>
        <v>24</v>
      </c>
      <c r="V45" s="50">
        <f t="shared" si="1"/>
        <v>24.2</v>
      </c>
      <c r="W45" s="50">
        <f t="shared" si="1"/>
        <v>24.8</v>
      </c>
      <c r="X45" s="50">
        <f t="shared" si="1"/>
        <v>25</v>
      </c>
      <c r="Y45" s="50">
        <f t="shared" si="1"/>
        <v>25.3</v>
      </c>
      <c r="Z45" s="50">
        <f t="shared" si="1"/>
        <v>25.7</v>
      </c>
      <c r="AA45" s="50">
        <f t="shared" si="1"/>
        <v>26.1</v>
      </c>
      <c r="AB45" s="50">
        <f t="shared" si="1"/>
        <v>26.4</v>
      </c>
      <c r="AC45" s="50">
        <f t="shared" si="1"/>
        <v>25.8</v>
      </c>
      <c r="AD45" s="50">
        <f t="shared" si="1"/>
        <v>25</v>
      </c>
      <c r="AE45" s="50">
        <f t="shared" si="1"/>
        <v>25</v>
      </c>
      <c r="AF45" s="50">
        <f t="shared" si="1"/>
        <v>24.6</v>
      </c>
      <c r="AG45" s="50">
        <f t="shared" si="1"/>
        <v>24.4</v>
      </c>
      <c r="AH45" s="58">
        <f t="shared" si="1"/>
        <v>26.4</v>
      </c>
      <c r="AI45" s="51">
        <f t="shared" si="1"/>
        <v>23.7</v>
      </c>
      <c r="AJ45" s="52">
        <f t="shared" si="1"/>
        <v>24.746153846153849</v>
      </c>
      <c r="AM45" s="49" t="s">
        <v>25</v>
      </c>
      <c r="AN45" s="50">
        <f t="shared" ref="AN45:BC45" si="2">MAX(AN15:AN44)</f>
        <v>23.631733166285724</v>
      </c>
      <c r="AO45" s="50">
        <f t="shared" si="2"/>
        <v>23.520555948119188</v>
      </c>
      <c r="AP45" s="50">
        <f t="shared" si="2"/>
        <v>23.470377859669266</v>
      </c>
      <c r="AQ45" s="50">
        <f t="shared" si="2"/>
        <v>23.28808865472617</v>
      </c>
      <c r="AR45" s="50">
        <f t="shared" si="2"/>
        <v>23.511724268218156</v>
      </c>
      <c r="AS45" s="50">
        <f t="shared" si="2"/>
        <v>23.948166363152563</v>
      </c>
      <c r="AT45" s="50">
        <f t="shared" si="2"/>
        <v>23.972138646793855</v>
      </c>
      <c r="AU45" s="50">
        <f t="shared" si="2"/>
        <v>24.365649101957626</v>
      </c>
      <c r="AV45" s="50">
        <f t="shared" si="2"/>
        <v>24.362543776675032</v>
      </c>
      <c r="AW45" s="50">
        <f t="shared" si="2"/>
        <v>23.710183186275557</v>
      </c>
      <c r="AX45" s="50">
        <f t="shared" si="2"/>
        <v>24.388027271235554</v>
      </c>
      <c r="AY45" s="50">
        <f t="shared" si="2"/>
        <v>24.06513901073685</v>
      </c>
      <c r="AZ45" s="50">
        <f t="shared" si="2"/>
        <v>23.860484247779919</v>
      </c>
      <c r="BA45" s="41">
        <f t="shared" si="2"/>
        <v>24.388027271235554</v>
      </c>
      <c r="BB45" s="51">
        <f t="shared" si="2"/>
        <v>22.968814165589823</v>
      </c>
      <c r="BC45" s="52">
        <f t="shared" si="2"/>
        <v>23.39407537504816</v>
      </c>
    </row>
    <row r="46" spans="1:55" s="2" customFormat="1" ht="14.25" customHeight="1" x14ac:dyDescent="0.25">
      <c r="A46" s="44" t="s">
        <v>26</v>
      </c>
      <c r="B46" s="53">
        <f t="shared" ref="B46:Q46" si="3">MIN(B15:B44)</f>
        <v>22.3</v>
      </c>
      <c r="C46" s="53">
        <f t="shared" si="3"/>
        <v>24.1</v>
      </c>
      <c r="D46" s="53">
        <f t="shared" si="3"/>
        <v>25.8</v>
      </c>
      <c r="E46" s="53">
        <f t="shared" si="3"/>
        <v>26.4</v>
      </c>
      <c r="F46" s="53">
        <f t="shared" si="3"/>
        <v>26.4</v>
      </c>
      <c r="G46" s="53">
        <f t="shared" si="3"/>
        <v>27.4</v>
      </c>
      <c r="H46" s="53">
        <f t="shared" si="3"/>
        <v>28</v>
      </c>
      <c r="I46" s="53">
        <f t="shared" si="3"/>
        <v>23.4</v>
      </c>
      <c r="J46" s="53">
        <f t="shared" si="3"/>
        <v>23.6</v>
      </c>
      <c r="K46" s="53">
        <f t="shared" si="3"/>
        <v>23.4</v>
      </c>
      <c r="L46" s="53">
        <f t="shared" si="3"/>
        <v>23.1</v>
      </c>
      <c r="M46" s="53">
        <f t="shared" si="3"/>
        <v>23.1</v>
      </c>
      <c r="N46" s="53">
        <f t="shared" si="3"/>
        <v>23.2</v>
      </c>
      <c r="O46" s="54">
        <f t="shared" si="3"/>
        <v>28.3</v>
      </c>
      <c r="P46" s="53">
        <f t="shared" si="3"/>
        <v>22.3</v>
      </c>
      <c r="Q46" s="55">
        <f t="shared" si="3"/>
        <v>25.861538461538455</v>
      </c>
      <c r="T46" s="44" t="s">
        <v>26</v>
      </c>
      <c r="U46" s="53">
        <f t="shared" ref="U46:AJ46" si="4">MIN(U15:U44)</f>
        <v>21.3</v>
      </c>
      <c r="V46" s="53">
        <f t="shared" si="4"/>
        <v>22.1</v>
      </c>
      <c r="W46" s="53">
        <f t="shared" si="4"/>
        <v>23</v>
      </c>
      <c r="X46" s="53">
        <f t="shared" si="4"/>
        <v>23.3</v>
      </c>
      <c r="Y46" s="53">
        <f t="shared" si="4"/>
        <v>22.9</v>
      </c>
      <c r="Z46" s="53">
        <f t="shared" si="4"/>
        <v>23.4</v>
      </c>
      <c r="AA46" s="53">
        <f t="shared" si="4"/>
        <v>23.6</v>
      </c>
      <c r="AB46" s="53">
        <f t="shared" si="4"/>
        <v>23.2</v>
      </c>
      <c r="AC46" s="53">
        <f t="shared" si="4"/>
        <v>23.3</v>
      </c>
      <c r="AD46" s="53">
        <f t="shared" si="4"/>
        <v>22.8</v>
      </c>
      <c r="AE46" s="53">
        <f t="shared" si="4"/>
        <v>22.3</v>
      </c>
      <c r="AF46" s="53">
        <f t="shared" si="4"/>
        <v>22.5</v>
      </c>
      <c r="AG46" s="53">
        <f t="shared" si="4"/>
        <v>22.4</v>
      </c>
      <c r="AH46" s="54">
        <f t="shared" si="4"/>
        <v>24.2</v>
      </c>
      <c r="AI46" s="53">
        <f t="shared" si="4"/>
        <v>21.3</v>
      </c>
      <c r="AJ46" s="55">
        <f t="shared" si="4"/>
        <v>23.400000000000009</v>
      </c>
      <c r="AM46" s="44" t="s">
        <v>26</v>
      </c>
      <c r="AN46" s="53">
        <f t="shared" ref="AN46:BC46" si="5">MIN(AN15:AN44)</f>
        <v>20.680507060242164</v>
      </c>
      <c r="AO46" s="53">
        <f t="shared" si="5"/>
        <v>20.992362950550941</v>
      </c>
      <c r="AP46" s="53">
        <f t="shared" si="5"/>
        <v>21.152517335305355</v>
      </c>
      <c r="AQ46" s="53">
        <f t="shared" si="5"/>
        <v>20.58845738290373</v>
      </c>
      <c r="AR46" s="53">
        <f t="shared" si="5"/>
        <v>20.072198332389558</v>
      </c>
      <c r="AS46" s="53">
        <f t="shared" si="5"/>
        <v>20.491955832120485</v>
      </c>
      <c r="AT46" s="53">
        <f t="shared" si="5"/>
        <v>20.406383630640295</v>
      </c>
      <c r="AU46" s="53">
        <f t="shared" si="5"/>
        <v>20.870272321611111</v>
      </c>
      <c r="AV46" s="53">
        <f t="shared" si="5"/>
        <v>20.746401539987328</v>
      </c>
      <c r="AW46" s="53">
        <f t="shared" si="5"/>
        <v>21.058320296911109</v>
      </c>
      <c r="AX46" s="53">
        <f t="shared" si="5"/>
        <v>20.602873681847623</v>
      </c>
      <c r="AY46" s="53">
        <f t="shared" si="5"/>
        <v>20.963264346434137</v>
      </c>
      <c r="AZ46" s="53">
        <f t="shared" si="5"/>
        <v>20.767126808892989</v>
      </c>
      <c r="BA46" s="54">
        <f t="shared" si="5"/>
        <v>22.34934818078785</v>
      </c>
      <c r="BB46" s="53">
        <f t="shared" si="5"/>
        <v>20.072198332389558</v>
      </c>
      <c r="BC46" s="55">
        <f t="shared" si="5"/>
        <v>21.394227515986664</v>
      </c>
    </row>
    <row r="47" spans="1:55" s="2" customFormat="1" ht="14.25" customHeight="1" thickBot="1" x14ac:dyDescent="0.3">
      <c r="A47" s="56" t="s">
        <v>27</v>
      </c>
      <c r="B47" s="47">
        <f t="shared" ref="B47:Q47" si="6">AVERAGE(B15:B44)</f>
        <v>24.400000000000002</v>
      </c>
      <c r="C47" s="47">
        <f t="shared" si="6"/>
        <v>25.570000000000004</v>
      </c>
      <c r="D47" s="47">
        <f t="shared" si="6"/>
        <v>27.036666666666669</v>
      </c>
      <c r="E47" s="47">
        <f t="shared" si="6"/>
        <v>28.286666666666669</v>
      </c>
      <c r="F47" s="47">
        <f t="shared" si="6"/>
        <v>29.063333333333333</v>
      </c>
      <c r="G47" s="47">
        <f t="shared" si="6"/>
        <v>29.853333333333342</v>
      </c>
      <c r="H47" s="47">
        <f t="shared" si="6"/>
        <v>30.003333333333334</v>
      </c>
      <c r="I47" s="47">
        <f t="shared" si="6"/>
        <v>29.633333333333329</v>
      </c>
      <c r="J47" s="47">
        <f t="shared" si="6"/>
        <v>29.020000000000003</v>
      </c>
      <c r="K47" s="47">
        <f t="shared" si="6"/>
        <v>27.803333333333345</v>
      </c>
      <c r="L47" s="47">
        <f t="shared" si="6"/>
        <v>26.92</v>
      </c>
      <c r="M47" s="47">
        <f t="shared" si="6"/>
        <v>26.116666666666664</v>
      </c>
      <c r="N47" s="47">
        <f t="shared" si="6"/>
        <v>25.383333333333329</v>
      </c>
      <c r="O47" s="46">
        <f t="shared" si="6"/>
        <v>30.350000000000009</v>
      </c>
      <c r="P47" s="47">
        <f t="shared" si="6"/>
        <v>24.233333333333338</v>
      </c>
      <c r="Q47" s="48">
        <f t="shared" si="6"/>
        <v>27.622307692307693</v>
      </c>
      <c r="T47" s="56" t="s">
        <v>27</v>
      </c>
      <c r="U47" s="47">
        <f t="shared" ref="U47:AJ47" si="7">AVERAGE(U15:U44)</f>
        <v>23.206666666666667</v>
      </c>
      <c r="V47" s="47">
        <f t="shared" si="7"/>
        <v>23.496666666666666</v>
      </c>
      <c r="W47" s="47">
        <f t="shared" si="7"/>
        <v>23.909999999999993</v>
      </c>
      <c r="X47" s="47">
        <f t="shared" si="7"/>
        <v>24.226666666666663</v>
      </c>
      <c r="Y47" s="47">
        <f t="shared" si="7"/>
        <v>24.423333333333328</v>
      </c>
      <c r="Z47" s="47">
        <f t="shared" si="7"/>
        <v>24.733333333333334</v>
      </c>
      <c r="AA47" s="47">
        <f t="shared" si="7"/>
        <v>24.839999999999996</v>
      </c>
      <c r="AB47" s="47">
        <f t="shared" si="7"/>
        <v>24.963333333333335</v>
      </c>
      <c r="AC47" s="47">
        <f t="shared" si="7"/>
        <v>24.666666666666664</v>
      </c>
      <c r="AD47" s="47">
        <f t="shared" si="7"/>
        <v>24.133333333333336</v>
      </c>
      <c r="AE47" s="47">
        <f t="shared" si="7"/>
        <v>23.74666666666667</v>
      </c>
      <c r="AF47" s="47">
        <f t="shared" si="7"/>
        <v>23.603333333333335</v>
      </c>
      <c r="AG47" s="47">
        <f t="shared" si="7"/>
        <v>23.366666666666664</v>
      </c>
      <c r="AH47" s="46">
        <f t="shared" si="7"/>
        <v>25.316666666666663</v>
      </c>
      <c r="AI47" s="47">
        <f t="shared" si="7"/>
        <v>22.953333333333333</v>
      </c>
      <c r="AJ47" s="48">
        <f t="shared" si="7"/>
        <v>24.101282051282048</v>
      </c>
      <c r="AM47" s="56" t="s">
        <v>27</v>
      </c>
      <c r="AN47" s="47">
        <f t="shared" ref="AN47:BC47" si="8">AVERAGE(AN15:AN44)</f>
        <v>22.543595701640715</v>
      </c>
      <c r="AO47" s="47">
        <f t="shared" si="8"/>
        <v>22.423306476726566</v>
      </c>
      <c r="AP47" s="47">
        <f t="shared" si="8"/>
        <v>22.355863617910106</v>
      </c>
      <c r="AQ47" s="47">
        <f t="shared" si="8"/>
        <v>22.250246864974986</v>
      </c>
      <c r="AR47" s="47">
        <f t="shared" si="8"/>
        <v>22.184655059213664</v>
      </c>
      <c r="AS47" s="47">
        <f t="shared" si="8"/>
        <v>22.303657905381993</v>
      </c>
      <c r="AT47" s="47">
        <f t="shared" si="8"/>
        <v>22.40104962138685</v>
      </c>
      <c r="AU47" s="47">
        <f t="shared" si="8"/>
        <v>22.781492264555038</v>
      </c>
      <c r="AV47" s="47">
        <f t="shared" si="8"/>
        <v>22.598221737754887</v>
      </c>
      <c r="AW47" s="47">
        <f t="shared" si="8"/>
        <v>22.338575087641583</v>
      </c>
      <c r="AX47" s="47">
        <f t="shared" si="8"/>
        <v>22.154840642483705</v>
      </c>
      <c r="AY47" s="47">
        <f t="shared" si="8"/>
        <v>22.318836344183623</v>
      </c>
      <c r="AZ47" s="47">
        <f t="shared" si="8"/>
        <v>22.310519061599845</v>
      </c>
      <c r="BA47" s="46">
        <f t="shared" si="8"/>
        <v>23.381588740162552</v>
      </c>
      <c r="BB47" s="47">
        <f t="shared" si="8"/>
        <v>21.480492699654857</v>
      </c>
      <c r="BC47" s="48">
        <f t="shared" si="8"/>
        <v>22.381912337342591</v>
      </c>
    </row>
    <row r="48" spans="1:55" s="2" customFormat="1" ht="13.8" thickTop="1" x14ac:dyDescent="0.25">
      <c r="A48" s="1"/>
      <c r="T48" s="1"/>
      <c r="AM48" s="1"/>
    </row>
    <row r="49" spans="1:52" s="2" customFormat="1" ht="13.2" x14ac:dyDescent="0.25">
      <c r="A49" s="1"/>
      <c r="C49" s="1" t="str">
        <f>[7]QFF!C42</f>
        <v>Mengetahui,</v>
      </c>
      <c r="T49" s="1"/>
      <c r="V49" s="1" t="str">
        <f>C49</f>
        <v>Mengetahui,</v>
      </c>
      <c r="AM49" s="1"/>
      <c r="AO49" s="1" t="str">
        <f>V49</f>
        <v>Mengetahui,</v>
      </c>
    </row>
    <row r="50" spans="1:52" s="2" customFormat="1" ht="13.2" x14ac:dyDescent="0.25">
      <c r="A50" s="1"/>
      <c r="C50" s="1" t="str">
        <f>[7]QFF!C43</f>
        <v>Kepala Stasiun Klimatologi Kelas IV</v>
      </c>
      <c r="N50" s="1" t="str">
        <f>[7]QFF!N43</f>
        <v>Pengolah</v>
      </c>
      <c r="T50" s="1"/>
      <c r="V50" s="1" t="str">
        <f>C50</f>
        <v>Kepala Stasiun Klimatologi Kelas IV</v>
      </c>
      <c r="AG50" s="1" t="str">
        <f>N50</f>
        <v>Pengolah</v>
      </c>
      <c r="AM50" s="1"/>
      <c r="AO50" s="1" t="str">
        <f>V50</f>
        <v>Kepala Stasiun Klimatologi Kelas IV</v>
      </c>
      <c r="AZ50" s="1" t="str">
        <f>AG50</f>
        <v>Pengolah</v>
      </c>
    </row>
    <row r="51" spans="1:52" s="2" customFormat="1" ht="13.2" x14ac:dyDescent="0.25">
      <c r="A51" s="1"/>
      <c r="C51" s="1" t="str">
        <f>[7]QFF!C44</f>
        <v>Sleman Yogyakarta</v>
      </c>
      <c r="N51" s="1"/>
      <c r="T51" s="1"/>
      <c r="V51" s="1" t="str">
        <f>C51</f>
        <v>Sleman Yogyakarta</v>
      </c>
      <c r="AG51" s="1"/>
      <c r="AM51" s="1"/>
      <c r="AO51" s="1" t="str">
        <f>V51</f>
        <v>Sleman Yogyakarta</v>
      </c>
      <c r="AZ51" s="1"/>
    </row>
    <row r="52" spans="1:52" s="2" customFormat="1" ht="13.2" x14ac:dyDescent="0.25">
      <c r="A52" s="1"/>
      <c r="C52" s="1"/>
      <c r="N52" s="1"/>
      <c r="T52" s="1"/>
      <c r="V52" s="1"/>
      <c r="AG52" s="1"/>
      <c r="AM52" s="1"/>
      <c r="AO52" s="1"/>
      <c r="AZ52" s="1"/>
    </row>
    <row r="53" spans="1:52" s="2" customFormat="1" ht="13.2" x14ac:dyDescent="0.25">
      <c r="A53" s="1"/>
      <c r="C53" s="1"/>
      <c r="N53" s="1"/>
      <c r="T53" s="1"/>
      <c r="V53" s="1"/>
      <c r="AG53" s="1"/>
      <c r="AM53" s="1"/>
      <c r="AO53" s="1"/>
      <c r="AZ53" s="1"/>
    </row>
    <row r="54" spans="1:52" s="2" customFormat="1" ht="13.2" x14ac:dyDescent="0.25">
      <c r="A54" s="1"/>
      <c r="C54" s="1"/>
      <c r="N54" s="1"/>
      <c r="T54" s="1"/>
      <c r="V54" s="1"/>
      <c r="AG54" s="1"/>
      <c r="AM54" s="1"/>
      <c r="AO54" s="1"/>
      <c r="AZ54" s="1"/>
    </row>
    <row r="55" spans="1:52" s="2" customFormat="1" ht="13.2" x14ac:dyDescent="0.25">
      <c r="A55" s="1"/>
      <c r="C55" s="1"/>
      <c r="N55" s="1"/>
      <c r="T55" s="1"/>
      <c r="V55" s="1"/>
      <c r="AG55" s="1"/>
      <c r="AM55" s="1"/>
      <c r="AO55" s="1"/>
      <c r="AZ55" s="1"/>
    </row>
    <row r="56" spans="1:52" s="2" customFormat="1" ht="13.2" x14ac:dyDescent="0.25">
      <c r="A56" s="1"/>
      <c r="C56" s="30" t="str">
        <f>[7]QFF!C49</f>
        <v>RENI KRANINGTYAS, SP, M.Si</v>
      </c>
      <c r="N56" s="30" t="str">
        <f>[7]QFF!N49</f>
        <v xml:space="preserve">TIM PEMBUAT LAPORAN </v>
      </c>
      <c r="T56" s="1"/>
      <c r="V56" s="30" t="str">
        <f>C56</f>
        <v>RENI KRANINGTYAS, SP, M.Si</v>
      </c>
      <c r="AG56" s="30" t="str">
        <f>N56</f>
        <v xml:space="preserve">TIM PEMBUAT LAPORAN </v>
      </c>
      <c r="AM56" s="1"/>
      <c r="AO56" s="30" t="str">
        <f>V56</f>
        <v>RENI KRANINGTYAS, SP, M.Si</v>
      </c>
      <c r="AZ56" s="30" t="str">
        <f>AG56</f>
        <v xml:space="preserve">TIM PEMBUAT LAPORAN </v>
      </c>
    </row>
    <row r="57" spans="1:52" s="2" customFormat="1" ht="13.2" x14ac:dyDescent="0.25">
      <c r="A57" s="1"/>
      <c r="C57" s="1" t="str">
        <f>[7]QFF!C50</f>
        <v>NIP.  19740203 199703 2 001</v>
      </c>
      <c r="N57" s="1" t="str">
        <f>[7]QFF!N50</f>
        <v xml:space="preserve">PETUGAS OPERASIONAL </v>
      </c>
      <c r="T57" s="1"/>
      <c r="V57" s="1" t="str">
        <f>C57</f>
        <v>NIP.  19740203 199703 2 001</v>
      </c>
      <c r="AG57" s="1" t="str">
        <f>N57</f>
        <v xml:space="preserve">PETUGAS OPERASIONAL </v>
      </c>
      <c r="AM57" s="1"/>
      <c r="AO57" s="1" t="str">
        <f>V57</f>
        <v>NIP.  19740203 199703 2 001</v>
      </c>
      <c r="AZ57" s="1" t="str">
        <f>AG57</f>
        <v xml:space="preserve">PETUGAS OPERASIONAL </v>
      </c>
    </row>
    <row r="58" spans="1:52" s="2" customFormat="1" ht="13.2" x14ac:dyDescent="0.25">
      <c r="A58" s="1"/>
      <c r="T58" s="1"/>
      <c r="AM58" s="1"/>
    </row>
  </sheetData>
  <mergeCells count="69">
    <mergeCell ref="BA13:BA14"/>
    <mergeCell ref="BB13:BB14"/>
    <mergeCell ref="BC13:BC14"/>
    <mergeCell ref="AU13:AU14"/>
    <mergeCell ref="AV13:AV14"/>
    <mergeCell ref="AW13:AW14"/>
    <mergeCell ref="AX13:AX14"/>
    <mergeCell ref="AY13:AY14"/>
    <mergeCell ref="AZ13:AZ14"/>
    <mergeCell ref="AT13:AT14"/>
    <mergeCell ref="AG13:AG14"/>
    <mergeCell ref="AH13:AH14"/>
    <mergeCell ref="AI13:AI14"/>
    <mergeCell ref="AJ13:AJ14"/>
    <mergeCell ref="AM13:AM14"/>
    <mergeCell ref="AN13:AN14"/>
    <mergeCell ref="AO13:AO14"/>
    <mergeCell ref="AP13:AP14"/>
    <mergeCell ref="AQ13:AQ14"/>
    <mergeCell ref="AR13:AR14"/>
    <mergeCell ref="AS13:AS14"/>
    <mergeCell ref="O13:O14"/>
    <mergeCell ref="P13:P14"/>
    <mergeCell ref="Q13:Q14"/>
    <mergeCell ref="AF13:AF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J13:J14"/>
    <mergeCell ref="K13:K14"/>
    <mergeCell ref="L13:L14"/>
    <mergeCell ref="M13:M14"/>
    <mergeCell ref="N13:N14"/>
    <mergeCell ref="F13:F14"/>
    <mergeCell ref="A6:Q6"/>
    <mergeCell ref="T6:AJ6"/>
    <mergeCell ref="AM6:BC6"/>
    <mergeCell ref="A7:Q7"/>
    <mergeCell ref="T7:AJ7"/>
    <mergeCell ref="AM7:BC7"/>
    <mergeCell ref="A13:A14"/>
    <mergeCell ref="B13:B14"/>
    <mergeCell ref="C13:C14"/>
    <mergeCell ref="D13:D14"/>
    <mergeCell ref="E13:E14"/>
    <mergeCell ref="T13:T14"/>
    <mergeCell ref="G13:G14"/>
    <mergeCell ref="H13:H14"/>
    <mergeCell ref="I13:I14"/>
    <mergeCell ref="A3:Q3"/>
    <mergeCell ref="T3:AJ3"/>
    <mergeCell ref="AM3:BC3"/>
    <mergeCell ref="A4:Q4"/>
    <mergeCell ref="T4:AJ4"/>
    <mergeCell ref="AM4:BC4"/>
    <mergeCell ref="A1:Q1"/>
    <mergeCell ref="T1:AJ1"/>
    <mergeCell ref="AM1:BC1"/>
    <mergeCell ref="A2:Q2"/>
    <mergeCell ref="T2:AJ2"/>
    <mergeCell ref="AM2:BC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EB287-4ACC-4D80-AF94-1686EC2C14D9}">
  <sheetPr>
    <tabColor theme="9" tint="-0.249977111117893"/>
  </sheetPr>
  <dimension ref="A1:BE59"/>
  <sheetViews>
    <sheetView topLeftCell="Y3" workbookViewId="0">
      <selection activeCell="AN15" sqref="AN15:AZ45"/>
    </sheetView>
  </sheetViews>
  <sheetFormatPr defaultRowHeight="14.4" x14ac:dyDescent="0.3"/>
  <sheetData>
    <row r="1" spans="1:57" x14ac:dyDescent="0.3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T1" s="104" t="s">
        <v>33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M1" s="104" t="s">
        <v>33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</row>
    <row r="2" spans="1:57" x14ac:dyDescent="0.3">
      <c r="A2" s="104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T2" s="104" t="s">
        <v>34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M2" s="104" t="s">
        <v>34</v>
      </c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</row>
    <row r="3" spans="1:57" x14ac:dyDescent="0.3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T3" s="105" t="s">
        <v>35</v>
      </c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M3" s="105" t="s">
        <v>35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</row>
    <row r="4" spans="1:57" ht="15" thickBot="1" x14ac:dyDescent="0.35">
      <c r="A4" s="106" t="s">
        <v>36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T4" s="106" t="s">
        <v>36</v>
      </c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M4" s="106" t="s">
        <v>36</v>
      </c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</row>
    <row r="5" spans="1:57" ht="6.75" customHeight="1" x14ac:dyDescent="0.3">
      <c r="A5" s="34"/>
      <c r="B5" s="34"/>
      <c r="C5" s="34"/>
      <c r="D5" s="34"/>
      <c r="E5" s="34"/>
      <c r="F5" s="34"/>
      <c r="T5" s="34"/>
      <c r="U5" s="34"/>
      <c r="V5" s="34"/>
      <c r="W5" s="34"/>
      <c r="X5" s="34"/>
      <c r="Y5" s="34"/>
      <c r="AM5" s="34"/>
      <c r="AN5" s="34"/>
      <c r="AO5" s="34"/>
      <c r="AP5" s="34"/>
      <c r="AQ5" s="34"/>
      <c r="AR5" s="34"/>
    </row>
    <row r="6" spans="1:57" x14ac:dyDescent="0.3">
      <c r="A6" s="107" t="s">
        <v>45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T6" s="107" t="s">
        <v>47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M6" s="107" t="s">
        <v>48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</row>
    <row r="7" spans="1:57" ht="14.25" customHeight="1" x14ac:dyDescent="0.3">
      <c r="A7" s="103" t="s">
        <v>51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T7" s="103" t="str">
        <f>A7</f>
        <v>BULAN  : OKTOBER 2022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M7" s="103" t="str">
        <f>T7</f>
        <v>BULAN  : OKTOBER 2022</v>
      </c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7" ht="7.5" customHeight="1" x14ac:dyDescent="0.3"/>
    <row r="9" spans="1:57" x14ac:dyDescent="0.3">
      <c r="A9" s="35" t="s">
        <v>37</v>
      </c>
      <c r="B9" s="35"/>
      <c r="C9" s="36" t="s">
        <v>38</v>
      </c>
      <c r="T9" s="35" t="s">
        <v>37</v>
      </c>
      <c r="U9" s="35"/>
      <c r="V9" s="36" t="s">
        <v>38</v>
      </c>
      <c r="AM9" s="35" t="s">
        <v>37</v>
      </c>
      <c r="AN9" s="35"/>
      <c r="AO9" s="36" t="s">
        <v>38</v>
      </c>
    </row>
    <row r="10" spans="1:57" x14ac:dyDescent="0.3">
      <c r="A10" t="s">
        <v>39</v>
      </c>
      <c r="B10" s="35"/>
      <c r="C10" t="s">
        <v>40</v>
      </c>
      <c r="T10" t="s">
        <v>39</v>
      </c>
      <c r="U10" s="35"/>
      <c r="V10" t="s">
        <v>40</v>
      </c>
      <c r="AM10" t="s">
        <v>39</v>
      </c>
      <c r="AN10" s="35"/>
      <c r="AO10" t="s">
        <v>40</v>
      </c>
    </row>
    <row r="11" spans="1:57" x14ac:dyDescent="0.3">
      <c r="A11" t="s">
        <v>41</v>
      </c>
      <c r="C11" t="s">
        <v>42</v>
      </c>
      <c r="P11" s="37" t="s">
        <v>43</v>
      </c>
      <c r="Q11" s="38" t="s">
        <v>44</v>
      </c>
      <c r="T11" t="s">
        <v>41</v>
      </c>
      <c r="V11" t="s">
        <v>42</v>
      </c>
      <c r="AI11" s="37" t="s">
        <v>43</v>
      </c>
      <c r="AJ11" s="38" t="s">
        <v>44</v>
      </c>
      <c r="AM11" t="s">
        <v>41</v>
      </c>
      <c r="AO11" t="s">
        <v>42</v>
      </c>
      <c r="BB11" s="37" t="s">
        <v>43</v>
      </c>
      <c r="BC11" s="38" t="s">
        <v>44</v>
      </c>
    </row>
    <row r="12" spans="1:57" s="2" customFormat="1" ht="9" customHeight="1" thickBot="1" x14ac:dyDescent="0.3">
      <c r="A12" s="1"/>
      <c r="F12" s="3"/>
      <c r="G12" s="3"/>
      <c r="H12" s="3"/>
      <c r="I12" s="3"/>
      <c r="J12" s="3"/>
      <c r="K12" s="3"/>
      <c r="L12" s="3"/>
      <c r="T12" s="1"/>
      <c r="Y12" s="3"/>
      <c r="Z12" s="3"/>
      <c r="AA12" s="3"/>
      <c r="AB12" s="3"/>
      <c r="AC12" s="3"/>
      <c r="AD12" s="3"/>
      <c r="AE12" s="3"/>
      <c r="AM12" s="1"/>
      <c r="AR12" s="3"/>
      <c r="AS12" s="3"/>
      <c r="AT12" s="3"/>
      <c r="AU12" s="3"/>
      <c r="AV12" s="3"/>
      <c r="AW12" s="3"/>
      <c r="AX12" s="3"/>
    </row>
    <row r="13" spans="1:57" s="2" customFormat="1" ht="14.25" customHeight="1" thickTop="1" x14ac:dyDescent="0.25">
      <c r="A13" s="99" t="s">
        <v>8</v>
      </c>
      <c r="B13" s="101" t="s">
        <v>9</v>
      </c>
      <c r="C13" s="101" t="s">
        <v>10</v>
      </c>
      <c r="D13" s="101" t="s">
        <v>11</v>
      </c>
      <c r="E13" s="101" t="s">
        <v>12</v>
      </c>
      <c r="F13" s="101" t="s">
        <v>13</v>
      </c>
      <c r="G13" s="101" t="s">
        <v>14</v>
      </c>
      <c r="H13" s="101" t="s">
        <v>15</v>
      </c>
      <c r="I13" s="101" t="s">
        <v>16</v>
      </c>
      <c r="J13" s="101" t="s">
        <v>17</v>
      </c>
      <c r="K13" s="101" t="s">
        <v>18</v>
      </c>
      <c r="L13" s="101" t="s">
        <v>19</v>
      </c>
      <c r="M13" s="101" t="s">
        <v>20</v>
      </c>
      <c r="N13" s="101" t="s">
        <v>21</v>
      </c>
      <c r="O13" s="97" t="s">
        <v>22</v>
      </c>
      <c r="P13" s="97" t="s">
        <v>23</v>
      </c>
      <c r="Q13" s="101" t="s">
        <v>24</v>
      </c>
      <c r="T13" s="99" t="s">
        <v>8</v>
      </c>
      <c r="U13" s="101" t="s">
        <v>9</v>
      </c>
      <c r="V13" s="101" t="s">
        <v>10</v>
      </c>
      <c r="W13" s="101" t="s">
        <v>11</v>
      </c>
      <c r="X13" s="101" t="s">
        <v>12</v>
      </c>
      <c r="Y13" s="101" t="s">
        <v>13</v>
      </c>
      <c r="Z13" s="101" t="s">
        <v>14</v>
      </c>
      <c r="AA13" s="101" t="s">
        <v>15</v>
      </c>
      <c r="AB13" s="101" t="s">
        <v>16</v>
      </c>
      <c r="AC13" s="101" t="s">
        <v>17</v>
      </c>
      <c r="AD13" s="101" t="s">
        <v>18</v>
      </c>
      <c r="AE13" s="101" t="s">
        <v>19</v>
      </c>
      <c r="AF13" s="101" t="s">
        <v>20</v>
      </c>
      <c r="AG13" s="101" t="s">
        <v>21</v>
      </c>
      <c r="AH13" s="97" t="s">
        <v>22</v>
      </c>
      <c r="AI13" s="97" t="s">
        <v>23</v>
      </c>
      <c r="AJ13" s="101" t="s">
        <v>24</v>
      </c>
      <c r="AM13" s="99" t="s">
        <v>8</v>
      </c>
      <c r="AN13" s="101" t="s">
        <v>9</v>
      </c>
      <c r="AO13" s="101" t="s">
        <v>10</v>
      </c>
      <c r="AP13" s="101" t="s">
        <v>11</v>
      </c>
      <c r="AQ13" s="101" t="s">
        <v>12</v>
      </c>
      <c r="AR13" s="101" t="s">
        <v>13</v>
      </c>
      <c r="AS13" s="101" t="s">
        <v>14</v>
      </c>
      <c r="AT13" s="101" t="s">
        <v>15</v>
      </c>
      <c r="AU13" s="101" t="s">
        <v>16</v>
      </c>
      <c r="AV13" s="101" t="s">
        <v>17</v>
      </c>
      <c r="AW13" s="101" t="s">
        <v>18</v>
      </c>
      <c r="AX13" s="101" t="s">
        <v>19</v>
      </c>
      <c r="AY13" s="101" t="s">
        <v>20</v>
      </c>
      <c r="AZ13" s="101" t="s">
        <v>21</v>
      </c>
      <c r="BA13" s="97" t="s">
        <v>22</v>
      </c>
      <c r="BB13" s="97" t="s">
        <v>23</v>
      </c>
      <c r="BC13" s="101" t="s">
        <v>24</v>
      </c>
    </row>
    <row r="14" spans="1:57" s="2" customFormat="1" ht="14.25" customHeight="1" thickBot="1" x14ac:dyDescent="0.3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98"/>
      <c r="P14" s="98"/>
      <c r="Q14" s="102"/>
      <c r="R14" s="8"/>
      <c r="S14" s="8"/>
      <c r="T14" s="100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98"/>
      <c r="AI14" s="98"/>
      <c r="AJ14" s="102"/>
      <c r="AK14" s="8"/>
      <c r="AL14" s="8"/>
      <c r="AM14" s="100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98"/>
      <c r="BB14" s="98"/>
      <c r="BC14" s="102"/>
      <c r="BD14" s="8"/>
      <c r="BE14" s="8"/>
    </row>
    <row r="15" spans="1:57" s="2" customFormat="1" ht="14.25" customHeight="1" thickTop="1" x14ac:dyDescent="0.25">
      <c r="A15" s="39">
        <v>1</v>
      </c>
      <c r="B15" s="40">
        <v>25</v>
      </c>
      <c r="C15" s="40">
        <v>26</v>
      </c>
      <c r="D15" s="40">
        <v>27.4</v>
      </c>
      <c r="E15" s="40">
        <v>28.6</v>
      </c>
      <c r="F15" s="40">
        <v>29</v>
      </c>
      <c r="G15" s="40">
        <v>30</v>
      </c>
      <c r="H15" s="40">
        <v>29.6</v>
      </c>
      <c r="I15" s="40">
        <v>28.6</v>
      </c>
      <c r="J15" s="40">
        <v>28</v>
      </c>
      <c r="K15" s="40">
        <v>25.4</v>
      </c>
      <c r="L15" s="40">
        <v>23.6</v>
      </c>
      <c r="M15" s="40">
        <v>22.8</v>
      </c>
      <c r="N15" s="40">
        <v>22.8</v>
      </c>
      <c r="O15" s="41">
        <f>MAX(B15:N15)</f>
        <v>30</v>
      </c>
      <c r="P15" s="42">
        <f>MIN(B15:N15)</f>
        <v>22.8</v>
      </c>
      <c r="Q15" s="59">
        <f>AVERAGE(B15:N15)</f>
        <v>26.676923076923078</v>
      </c>
      <c r="T15" s="39">
        <v>1</v>
      </c>
      <c r="U15" s="40">
        <v>24.2</v>
      </c>
      <c r="V15" s="40">
        <v>24.4</v>
      </c>
      <c r="W15" s="40">
        <v>24.8</v>
      </c>
      <c r="X15" s="40">
        <v>25.1</v>
      </c>
      <c r="Y15" s="40">
        <v>25</v>
      </c>
      <c r="Z15" s="40">
        <v>25.2</v>
      </c>
      <c r="AA15" s="40">
        <v>25.2</v>
      </c>
      <c r="AB15" s="40">
        <v>24.6</v>
      </c>
      <c r="AC15" s="40">
        <v>24</v>
      </c>
      <c r="AD15" s="40">
        <v>23.6</v>
      </c>
      <c r="AE15" s="40">
        <v>23</v>
      </c>
      <c r="AF15" s="40">
        <v>22.6</v>
      </c>
      <c r="AG15" s="40">
        <v>22.6</v>
      </c>
      <c r="AH15" s="41">
        <f>MAX(U15:AG15)</f>
        <v>25.2</v>
      </c>
      <c r="AI15" s="42">
        <f>MIN(U15:AG15)</f>
        <v>22.6</v>
      </c>
      <c r="AJ15" s="59">
        <f>AVERAGE(U15:AG15)</f>
        <v>24.176923076923078</v>
      </c>
      <c r="AM15" s="39">
        <v>1</v>
      </c>
      <c r="AN15" s="40">
        <v>23.745385843105907</v>
      </c>
      <c r="AO15" s="40">
        <v>23.592004375769026</v>
      </c>
      <c r="AP15" s="40">
        <v>23.560870599375164</v>
      </c>
      <c r="AQ15" s="40">
        <v>23.475386165272468</v>
      </c>
      <c r="AR15" s="40">
        <v>23.13765699199967</v>
      </c>
      <c r="AS15" s="40">
        <v>22.988313287442271</v>
      </c>
      <c r="AT15" s="40">
        <v>23.173497959213115</v>
      </c>
      <c r="AU15" s="40">
        <v>22.698417218039328</v>
      </c>
      <c r="AV15" s="40">
        <v>22.037563837182521</v>
      </c>
      <c r="AW15" s="40">
        <v>22.666490581585112</v>
      </c>
      <c r="AX15" s="40">
        <v>22.616977894785251</v>
      </c>
      <c r="AY15" s="40">
        <v>22.403719944769762</v>
      </c>
      <c r="AZ15" s="40">
        <v>22.403719944769762</v>
      </c>
      <c r="BA15" s="41">
        <f>MAX(AN15:AZ15)</f>
        <v>23.745385843105907</v>
      </c>
      <c r="BB15" s="42">
        <f>MIN(AN15:AZ15)</f>
        <v>22.037563837182521</v>
      </c>
      <c r="BC15" s="59">
        <f>AVERAGE(AN15:AZ15)</f>
        <v>22.961538818716104</v>
      </c>
    </row>
    <row r="16" spans="1:57" s="2" customFormat="1" ht="14.25" customHeight="1" x14ac:dyDescent="0.25">
      <c r="A16" s="44">
        <v>2</v>
      </c>
      <c r="B16" s="40">
        <v>24</v>
      </c>
      <c r="C16" s="40">
        <v>24.7</v>
      </c>
      <c r="D16" s="40">
        <v>25.8</v>
      </c>
      <c r="E16" s="40">
        <v>27.5</v>
      </c>
      <c r="F16" s="40">
        <v>29</v>
      </c>
      <c r="G16" s="40">
        <v>30</v>
      </c>
      <c r="H16" s="40">
        <v>30.2</v>
      </c>
      <c r="I16" s="40">
        <v>29.2</v>
      </c>
      <c r="J16" s="40">
        <v>29.1</v>
      </c>
      <c r="K16" s="40">
        <v>26.4</v>
      </c>
      <c r="L16" s="40">
        <v>24.6</v>
      </c>
      <c r="M16" s="40">
        <v>23.8</v>
      </c>
      <c r="N16" s="40">
        <v>23.6</v>
      </c>
      <c r="O16" s="41">
        <f t="shared" ref="O16:O48" si="0">MAX(B16:N16)</f>
        <v>30.2</v>
      </c>
      <c r="P16" s="42">
        <f t="shared" ref="P16:P48" si="1">MIN(B16:N16)</f>
        <v>23.6</v>
      </c>
      <c r="Q16" s="45">
        <f t="shared" ref="Q16:Q48" si="2">AVERAGE(B16:N16)</f>
        <v>26.761538461538464</v>
      </c>
      <c r="T16" s="44">
        <v>2</v>
      </c>
      <c r="U16" s="40">
        <v>23.4</v>
      </c>
      <c r="V16" s="40">
        <v>23.6</v>
      </c>
      <c r="W16" s="40">
        <v>24.2</v>
      </c>
      <c r="X16" s="40">
        <v>24.3</v>
      </c>
      <c r="Y16" s="40">
        <v>25</v>
      </c>
      <c r="Z16" s="40">
        <v>25.7</v>
      </c>
      <c r="AA16" s="40">
        <v>25.8</v>
      </c>
      <c r="AB16" s="40">
        <v>25.4</v>
      </c>
      <c r="AC16" s="40">
        <v>25</v>
      </c>
      <c r="AD16" s="40">
        <v>24.4</v>
      </c>
      <c r="AE16" s="40">
        <v>23.6</v>
      </c>
      <c r="AF16" s="40">
        <v>22.8</v>
      </c>
      <c r="AG16" s="40">
        <v>22.8</v>
      </c>
      <c r="AH16" s="41">
        <f t="shared" ref="AH16:AH48" si="3">MAX(U16:AG16)</f>
        <v>25.8</v>
      </c>
      <c r="AI16" s="42">
        <f t="shared" ref="AI16:AI48" si="4">MIN(U16:AG16)</f>
        <v>22.8</v>
      </c>
      <c r="AJ16" s="45">
        <f t="shared" ref="AJ16:AJ48" si="5">AVERAGE(U16:AG16)</f>
        <v>24.307692307692314</v>
      </c>
      <c r="AM16" s="44">
        <v>2</v>
      </c>
      <c r="AN16" s="40">
        <v>23.022986804446777</v>
      </c>
      <c r="AO16" s="40">
        <v>22.994841492230826</v>
      </c>
      <c r="AP16" s="40">
        <v>23.384370540910407</v>
      </c>
      <c r="AQ16" s="40">
        <v>22.749014978748701</v>
      </c>
      <c r="AR16" s="40">
        <v>23.13765699199967</v>
      </c>
      <c r="AS16" s="40">
        <v>23.770408878818561</v>
      </c>
      <c r="AT16" s="40">
        <v>23.835945395479477</v>
      </c>
      <c r="AU16" s="40">
        <v>23.665869730219789</v>
      </c>
      <c r="AV16" s="40">
        <v>23.091443449890949</v>
      </c>
      <c r="AW16" s="40">
        <v>23.41088917767016</v>
      </c>
      <c r="AX16" s="40">
        <v>23.041286800704647</v>
      </c>
      <c r="AY16" s="40">
        <v>22.221122917405996</v>
      </c>
      <c r="AZ16" s="40">
        <v>22.317767571519479</v>
      </c>
      <c r="BA16" s="41">
        <f t="shared" ref="BA16:BA48" si="6">MAX(AN16:AZ16)</f>
        <v>23.835945395479477</v>
      </c>
      <c r="BB16" s="42">
        <f t="shared" ref="BB16:BB48" si="7">MIN(AN16:AZ16)</f>
        <v>22.221122917405996</v>
      </c>
      <c r="BC16" s="45">
        <f t="shared" ref="BC16:BC48" si="8">AVERAGE(AN16:AZ16)</f>
        <v>23.126431133080416</v>
      </c>
    </row>
    <row r="17" spans="1:55" s="2" customFormat="1" ht="14.25" customHeight="1" x14ac:dyDescent="0.25">
      <c r="A17" s="44">
        <v>3</v>
      </c>
      <c r="B17" s="40">
        <v>23.2</v>
      </c>
      <c r="C17" s="40">
        <v>23.7</v>
      </c>
      <c r="D17" s="40">
        <v>24.6</v>
      </c>
      <c r="E17" s="40">
        <v>25.8</v>
      </c>
      <c r="F17" s="40">
        <v>26.4</v>
      </c>
      <c r="G17" s="40">
        <v>27.3</v>
      </c>
      <c r="H17" s="40">
        <v>28.3</v>
      </c>
      <c r="I17" s="40">
        <v>29.5</v>
      </c>
      <c r="J17" s="40">
        <v>27.6</v>
      </c>
      <c r="K17" s="40">
        <v>26.4</v>
      </c>
      <c r="L17" s="40">
        <v>24</v>
      </c>
      <c r="M17" s="40">
        <v>23.7</v>
      </c>
      <c r="N17" s="40">
        <v>23.8</v>
      </c>
      <c r="O17" s="41">
        <f t="shared" si="0"/>
        <v>29.5</v>
      </c>
      <c r="P17" s="42">
        <f t="shared" si="1"/>
        <v>23.2</v>
      </c>
      <c r="Q17" s="45">
        <f t="shared" si="2"/>
        <v>25.715384615384615</v>
      </c>
      <c r="T17" s="44">
        <v>3</v>
      </c>
      <c r="U17" s="40">
        <v>22.9</v>
      </c>
      <c r="V17" s="40">
        <v>23.3</v>
      </c>
      <c r="W17" s="40">
        <v>23.6</v>
      </c>
      <c r="X17" s="40">
        <v>24.3</v>
      </c>
      <c r="Y17" s="40">
        <v>24.3</v>
      </c>
      <c r="Z17" s="40">
        <v>24.9</v>
      </c>
      <c r="AA17" s="40">
        <v>25.3</v>
      </c>
      <c r="AB17" s="40">
        <v>25.6</v>
      </c>
      <c r="AC17" s="40">
        <v>25</v>
      </c>
      <c r="AD17" s="40">
        <v>24.2</v>
      </c>
      <c r="AE17" s="40">
        <v>23.8</v>
      </c>
      <c r="AF17" s="40">
        <v>23.6</v>
      </c>
      <c r="AG17" s="40">
        <v>23.6</v>
      </c>
      <c r="AH17" s="41">
        <f t="shared" si="3"/>
        <v>25.6</v>
      </c>
      <c r="AI17" s="42">
        <f t="shared" si="4"/>
        <v>22.9</v>
      </c>
      <c r="AJ17" s="45">
        <f t="shared" si="5"/>
        <v>24.184615384615388</v>
      </c>
      <c r="AM17" s="44">
        <v>3</v>
      </c>
      <c r="AN17" s="40">
        <v>22.657999359828803</v>
      </c>
      <c r="AO17" s="40">
        <v>23.014632622173526</v>
      </c>
      <c r="AP17" s="40">
        <v>23.041286800704647</v>
      </c>
      <c r="AQ17" s="40">
        <v>23.53345562574048</v>
      </c>
      <c r="AR17" s="40">
        <v>23.260286015261972</v>
      </c>
      <c r="AS17" s="40">
        <v>23.75657055734106</v>
      </c>
      <c r="AT17" s="40">
        <v>23.914740778292778</v>
      </c>
      <c r="AU17" s="40">
        <v>23.839145063199307</v>
      </c>
      <c r="AV17" s="40">
        <v>23.773101758937997</v>
      </c>
      <c r="AW17" s="40">
        <v>23.109032442757304</v>
      </c>
      <c r="AX17" s="40">
        <v>23.609790246295184</v>
      </c>
      <c r="AY17" s="40">
        <v>23.454250399915086</v>
      </c>
      <c r="AZ17" s="40">
        <v>23.408806959403272</v>
      </c>
      <c r="BA17" s="41">
        <f t="shared" si="6"/>
        <v>23.914740778292778</v>
      </c>
      <c r="BB17" s="42">
        <f t="shared" si="7"/>
        <v>22.657999359828803</v>
      </c>
      <c r="BC17" s="45">
        <f t="shared" si="8"/>
        <v>23.41331527921934</v>
      </c>
    </row>
    <row r="18" spans="1:55" s="2" customFormat="1" ht="14.25" customHeight="1" x14ac:dyDescent="0.25">
      <c r="A18" s="44">
        <v>4</v>
      </c>
      <c r="B18" s="40">
        <v>23.9</v>
      </c>
      <c r="C18" s="40">
        <v>24.8</v>
      </c>
      <c r="D18" s="40">
        <v>26</v>
      </c>
      <c r="E18" s="40">
        <v>27.4</v>
      </c>
      <c r="F18" s="40">
        <v>27.8</v>
      </c>
      <c r="G18" s="40">
        <v>28.6</v>
      </c>
      <c r="H18" s="40">
        <v>27.7</v>
      </c>
      <c r="I18" s="40">
        <v>28.8</v>
      </c>
      <c r="J18" s="40">
        <v>29</v>
      </c>
      <c r="K18" s="40">
        <v>29.2</v>
      </c>
      <c r="L18" s="40">
        <v>27.4</v>
      </c>
      <c r="M18" s="40">
        <v>26</v>
      </c>
      <c r="N18" s="40">
        <v>25</v>
      </c>
      <c r="O18" s="41">
        <f t="shared" si="0"/>
        <v>29.2</v>
      </c>
      <c r="P18" s="42">
        <f t="shared" si="1"/>
        <v>23.9</v>
      </c>
      <c r="Q18" s="45">
        <f t="shared" si="2"/>
        <v>27.046153846153842</v>
      </c>
      <c r="T18" s="44">
        <v>4</v>
      </c>
      <c r="U18" s="40">
        <v>23.4</v>
      </c>
      <c r="V18" s="40">
        <v>24</v>
      </c>
      <c r="W18" s="40">
        <v>24</v>
      </c>
      <c r="X18" s="40">
        <v>24</v>
      </c>
      <c r="Y18" s="40">
        <v>24.6</v>
      </c>
      <c r="Z18" s="40">
        <v>24.6</v>
      </c>
      <c r="AA18" s="40">
        <v>24.3</v>
      </c>
      <c r="AB18" s="40">
        <v>24.4</v>
      </c>
      <c r="AC18" s="40">
        <v>24</v>
      </c>
      <c r="AD18" s="40">
        <v>23.8</v>
      </c>
      <c r="AE18" s="40">
        <v>23.6</v>
      </c>
      <c r="AF18" s="40">
        <v>23.4</v>
      </c>
      <c r="AG18" s="40">
        <v>23.4</v>
      </c>
      <c r="AH18" s="41">
        <f t="shared" si="3"/>
        <v>24.6</v>
      </c>
      <c r="AI18" s="42">
        <f t="shared" si="4"/>
        <v>23.4</v>
      </c>
      <c r="AJ18" s="45">
        <f t="shared" si="5"/>
        <v>23.96153846153846</v>
      </c>
      <c r="AM18" s="44">
        <v>4</v>
      </c>
      <c r="AN18" s="40">
        <v>23.069362589016496</v>
      </c>
      <c r="AO18" s="40">
        <v>23.541582806104632</v>
      </c>
      <c r="AP18" s="40">
        <v>22.991501967304046</v>
      </c>
      <c r="AQ18" s="40">
        <v>22.328850061942795</v>
      </c>
      <c r="AR18" s="40">
        <v>23.072611503492613</v>
      </c>
      <c r="AS18" s="40">
        <v>22.698417218039328</v>
      </c>
      <c r="AT18" s="40">
        <v>22.654552974113553</v>
      </c>
      <c r="AU18" s="40">
        <v>22.286250338619315</v>
      </c>
      <c r="AV18" s="40">
        <v>21.541810194989623</v>
      </c>
      <c r="AW18" s="40">
        <v>21.110504772755601</v>
      </c>
      <c r="AX18" s="40">
        <v>21.695530782643495</v>
      </c>
      <c r="AY18" s="40">
        <v>22.070718744685575</v>
      </c>
      <c r="AZ18" s="40">
        <v>22.552863273036831</v>
      </c>
      <c r="BA18" s="41">
        <f t="shared" si="6"/>
        <v>23.541582806104632</v>
      </c>
      <c r="BB18" s="42">
        <f t="shared" si="7"/>
        <v>21.110504772755601</v>
      </c>
      <c r="BC18" s="45">
        <f t="shared" si="8"/>
        <v>22.43188901744184</v>
      </c>
    </row>
    <row r="19" spans="1:55" s="2" customFormat="1" ht="14.25" customHeight="1" x14ac:dyDescent="0.25">
      <c r="A19" s="44">
        <v>5</v>
      </c>
      <c r="B19" s="40">
        <v>23.6</v>
      </c>
      <c r="C19" s="40">
        <v>24.2</v>
      </c>
      <c r="D19" s="40">
        <v>25.9</v>
      </c>
      <c r="E19" s="40">
        <v>27.2</v>
      </c>
      <c r="F19" s="40">
        <v>28.1</v>
      </c>
      <c r="G19" s="40">
        <v>28</v>
      </c>
      <c r="H19" s="40">
        <v>28.2</v>
      </c>
      <c r="I19" s="40">
        <v>28.5</v>
      </c>
      <c r="J19" s="40">
        <v>28.5</v>
      </c>
      <c r="K19" s="40">
        <v>27.2</v>
      </c>
      <c r="L19" s="40">
        <v>26.4</v>
      </c>
      <c r="M19" s="40">
        <v>26</v>
      </c>
      <c r="N19" s="40">
        <v>25.6</v>
      </c>
      <c r="O19" s="41">
        <f t="shared" si="0"/>
        <v>28.5</v>
      </c>
      <c r="P19" s="42">
        <f t="shared" si="1"/>
        <v>23.6</v>
      </c>
      <c r="Q19" s="45">
        <f t="shared" si="2"/>
        <v>26.723076923076921</v>
      </c>
      <c r="T19" s="44">
        <v>5</v>
      </c>
      <c r="U19" s="40">
        <v>22.9</v>
      </c>
      <c r="V19" s="40">
        <v>23</v>
      </c>
      <c r="W19" s="40">
        <v>23.4</v>
      </c>
      <c r="X19" s="40">
        <v>24</v>
      </c>
      <c r="Y19" s="40">
        <v>24.2</v>
      </c>
      <c r="Z19" s="40">
        <v>23.8</v>
      </c>
      <c r="AA19" s="40">
        <v>23.8</v>
      </c>
      <c r="AB19" s="40">
        <v>24</v>
      </c>
      <c r="AC19" s="40">
        <v>24.6</v>
      </c>
      <c r="AD19" s="40">
        <v>23.9</v>
      </c>
      <c r="AE19" s="40">
        <v>23.8</v>
      </c>
      <c r="AF19" s="40">
        <v>23.8</v>
      </c>
      <c r="AG19" s="40">
        <v>23.6</v>
      </c>
      <c r="AH19" s="41">
        <f t="shared" si="3"/>
        <v>24.6</v>
      </c>
      <c r="AI19" s="42">
        <f t="shared" si="4"/>
        <v>22.9</v>
      </c>
      <c r="AJ19" s="45">
        <f t="shared" si="5"/>
        <v>23.753846153846158</v>
      </c>
      <c r="AM19" s="44">
        <v>5</v>
      </c>
      <c r="AN19" s="40">
        <v>22.467696838091715</v>
      </c>
      <c r="AO19" s="40">
        <v>22.330168592037214</v>
      </c>
      <c r="AP19" s="40">
        <v>22.119493115427055</v>
      </c>
      <c r="AQ19" s="40">
        <v>22.424951840849836</v>
      </c>
      <c r="AR19" s="40">
        <v>22.30641362716435</v>
      </c>
      <c r="AS19" s="40">
        <v>21.717458711152801</v>
      </c>
      <c r="AT19" s="40">
        <v>21.61765831111558</v>
      </c>
      <c r="AU19" s="40">
        <v>21.791326148024869</v>
      </c>
      <c r="AV19" s="40">
        <v>22.745598614526685</v>
      </c>
      <c r="AW19" s="40">
        <v>22.268559142983406</v>
      </c>
      <c r="AX19" s="40">
        <v>22.497311086300893</v>
      </c>
      <c r="AY19" s="40">
        <v>22.687327425827569</v>
      </c>
      <c r="AZ19" s="40">
        <v>22.571617917695416</v>
      </c>
      <c r="BA19" s="41">
        <f t="shared" si="6"/>
        <v>22.745598614526685</v>
      </c>
      <c r="BB19" s="42">
        <f t="shared" si="7"/>
        <v>21.61765831111558</v>
      </c>
      <c r="BC19" s="45">
        <f t="shared" si="8"/>
        <v>22.272737028553642</v>
      </c>
    </row>
    <row r="20" spans="1:55" s="2" customFormat="1" ht="14.25" customHeight="1" x14ac:dyDescent="0.25">
      <c r="A20" s="44">
        <v>6</v>
      </c>
      <c r="B20" s="40">
        <v>24</v>
      </c>
      <c r="C20" s="40">
        <v>24.3</v>
      </c>
      <c r="D20" s="40">
        <v>25</v>
      </c>
      <c r="E20" s="40">
        <v>25.5</v>
      </c>
      <c r="F20" s="40">
        <v>26.9</v>
      </c>
      <c r="G20" s="40">
        <v>27.2</v>
      </c>
      <c r="H20" s="40">
        <v>27.5</v>
      </c>
      <c r="I20" s="40">
        <v>27.2</v>
      </c>
      <c r="J20" s="40">
        <v>27.1</v>
      </c>
      <c r="K20" s="40">
        <v>26.5</v>
      </c>
      <c r="L20" s="40">
        <v>25.6</v>
      </c>
      <c r="M20" s="40">
        <v>24.9</v>
      </c>
      <c r="N20" s="40">
        <v>24.8</v>
      </c>
      <c r="O20" s="41">
        <f t="shared" si="0"/>
        <v>27.5</v>
      </c>
      <c r="P20" s="42">
        <f t="shared" si="1"/>
        <v>24</v>
      </c>
      <c r="Q20" s="45">
        <f t="shared" si="2"/>
        <v>25.88461538461538</v>
      </c>
      <c r="T20" s="44">
        <v>6</v>
      </c>
      <c r="U20" s="40">
        <v>23</v>
      </c>
      <c r="V20" s="40">
        <v>23.4</v>
      </c>
      <c r="W20" s="40">
        <v>23.6</v>
      </c>
      <c r="X20" s="40">
        <v>23.4</v>
      </c>
      <c r="Y20" s="40">
        <v>24</v>
      </c>
      <c r="Z20" s="40">
        <v>24.1</v>
      </c>
      <c r="AA20" s="40">
        <v>24.2</v>
      </c>
      <c r="AB20" s="40">
        <v>24.3</v>
      </c>
      <c r="AC20" s="40">
        <v>24.2</v>
      </c>
      <c r="AD20" s="40">
        <v>23.4</v>
      </c>
      <c r="AE20" s="40">
        <v>23.6</v>
      </c>
      <c r="AF20" s="40">
        <v>23.6</v>
      </c>
      <c r="AG20" s="40">
        <v>23.8</v>
      </c>
      <c r="AH20" s="41">
        <f t="shared" si="3"/>
        <v>24.3</v>
      </c>
      <c r="AI20" s="42">
        <f t="shared" si="4"/>
        <v>23</v>
      </c>
      <c r="AJ20" s="45">
        <f t="shared" si="5"/>
        <v>23.738461538461539</v>
      </c>
      <c r="AM20" s="44">
        <v>6</v>
      </c>
      <c r="AN20" s="40">
        <v>22.426257580226199</v>
      </c>
      <c r="AO20" s="40">
        <v>22.88317364147148</v>
      </c>
      <c r="AP20" s="40">
        <v>22.854817544971361</v>
      </c>
      <c r="AQ20" s="40">
        <v>22.313334889750408</v>
      </c>
      <c r="AR20" s="40">
        <v>22.568191620481912</v>
      </c>
      <c r="AS20" s="40">
        <v>22.58062006284025</v>
      </c>
      <c r="AT20" s="40">
        <v>22.593603777364731</v>
      </c>
      <c r="AU20" s="40">
        <v>22.889828189285673</v>
      </c>
      <c r="AV20" s="40">
        <v>22.782662703120685</v>
      </c>
      <c r="AW20" s="40">
        <v>21.824927872853667</v>
      </c>
      <c r="AX20" s="40">
        <v>22.571617917695416</v>
      </c>
      <c r="AY20" s="40">
        <v>22.901607473693023</v>
      </c>
      <c r="AZ20" s="40">
        <v>23.246174595512937</v>
      </c>
      <c r="BA20" s="41">
        <f t="shared" si="6"/>
        <v>23.246174595512937</v>
      </c>
      <c r="BB20" s="42">
        <f t="shared" si="7"/>
        <v>21.824927872853667</v>
      </c>
      <c r="BC20" s="45">
        <f t="shared" si="8"/>
        <v>22.648985989943672</v>
      </c>
    </row>
    <row r="21" spans="1:55" s="2" customFormat="1" ht="14.25" customHeight="1" x14ac:dyDescent="0.25">
      <c r="A21" s="44">
        <v>7</v>
      </c>
      <c r="B21" s="40">
        <v>24.4</v>
      </c>
      <c r="C21" s="40">
        <v>26.7</v>
      </c>
      <c r="D21" s="40">
        <v>28.6</v>
      </c>
      <c r="E21" s="40">
        <v>29.8</v>
      </c>
      <c r="F21" s="40">
        <v>30.2</v>
      </c>
      <c r="G21" s="40">
        <v>27.8</v>
      </c>
      <c r="H21" s="40">
        <v>24.2</v>
      </c>
      <c r="I21" s="40">
        <v>23.8</v>
      </c>
      <c r="J21" s="40">
        <v>25.2</v>
      </c>
      <c r="K21" s="40">
        <v>25.2</v>
      </c>
      <c r="L21" s="40">
        <v>25</v>
      </c>
      <c r="M21" s="40">
        <v>25</v>
      </c>
      <c r="N21" s="40">
        <v>24.8</v>
      </c>
      <c r="O21" s="41">
        <f t="shared" si="0"/>
        <v>30.2</v>
      </c>
      <c r="P21" s="42">
        <f t="shared" si="1"/>
        <v>23.8</v>
      </c>
      <c r="Q21" s="45">
        <f t="shared" si="2"/>
        <v>26.207692307692305</v>
      </c>
      <c r="T21" s="44">
        <v>7</v>
      </c>
      <c r="U21" s="40">
        <v>23.7</v>
      </c>
      <c r="V21" s="40">
        <v>24.6</v>
      </c>
      <c r="W21" s="40">
        <v>25.3</v>
      </c>
      <c r="X21" s="40">
        <v>25.4</v>
      </c>
      <c r="Y21" s="40">
        <v>25.5</v>
      </c>
      <c r="Z21" s="40">
        <v>23.8</v>
      </c>
      <c r="AA21" s="40">
        <v>24</v>
      </c>
      <c r="AB21" s="40">
        <v>23.4</v>
      </c>
      <c r="AC21" s="40">
        <v>24.6</v>
      </c>
      <c r="AD21" s="40">
        <v>24.6</v>
      </c>
      <c r="AE21" s="40">
        <v>24.6</v>
      </c>
      <c r="AF21" s="40">
        <v>24.6</v>
      </c>
      <c r="AG21" s="40">
        <v>24.6</v>
      </c>
      <c r="AH21" s="41">
        <f t="shared" si="3"/>
        <v>25.5</v>
      </c>
      <c r="AI21" s="42">
        <f t="shared" si="4"/>
        <v>23.4</v>
      </c>
      <c r="AJ21" s="45">
        <f t="shared" si="5"/>
        <v>24.515384615384619</v>
      </c>
      <c r="AM21" s="44">
        <v>7</v>
      </c>
      <c r="AN21" s="40">
        <v>23.281650558659795</v>
      </c>
      <c r="AO21" s="40">
        <v>23.575350595291621</v>
      </c>
      <c r="AP21" s="40">
        <v>23.781347522481425</v>
      </c>
      <c r="AQ21" s="40">
        <v>23.394590685489504</v>
      </c>
      <c r="AR21" s="40">
        <v>23.368723174366902</v>
      </c>
      <c r="AS21" s="40">
        <v>21.816730172619572</v>
      </c>
      <c r="AT21" s="40">
        <v>23.810762540290746</v>
      </c>
      <c r="AU21" s="40">
        <v>23.115625074420976</v>
      </c>
      <c r="AV21" s="40">
        <v>24.240171052708501</v>
      </c>
      <c r="AW21" s="40">
        <v>24.240171052708501</v>
      </c>
      <c r="AX21" s="40">
        <v>24.327089608406908</v>
      </c>
      <c r="AY21" s="40">
        <v>24.327089608406908</v>
      </c>
      <c r="AZ21" s="40">
        <v>24.413615028458729</v>
      </c>
      <c r="BA21" s="41">
        <f t="shared" si="6"/>
        <v>24.413615028458729</v>
      </c>
      <c r="BB21" s="42">
        <f t="shared" si="7"/>
        <v>21.816730172619572</v>
      </c>
      <c r="BC21" s="45">
        <f t="shared" si="8"/>
        <v>23.668685898023849</v>
      </c>
    </row>
    <row r="22" spans="1:55" s="2" customFormat="1" ht="14.25" customHeight="1" x14ac:dyDescent="0.25">
      <c r="A22" s="44">
        <v>8</v>
      </c>
      <c r="B22" s="40">
        <v>24</v>
      </c>
      <c r="C22" s="40">
        <v>24.6</v>
      </c>
      <c r="D22" s="40">
        <v>26.2</v>
      </c>
      <c r="E22" s="40">
        <v>27.2</v>
      </c>
      <c r="F22" s="40">
        <v>28.1</v>
      </c>
      <c r="G22" s="40">
        <v>28.6</v>
      </c>
      <c r="H22" s="40">
        <v>28.6</v>
      </c>
      <c r="I22" s="40">
        <v>27.9</v>
      </c>
      <c r="J22" s="40">
        <v>26.7</v>
      </c>
      <c r="K22" s="40">
        <v>26.2</v>
      </c>
      <c r="L22" s="40">
        <v>26</v>
      </c>
      <c r="M22" s="40">
        <v>25</v>
      </c>
      <c r="N22" s="40">
        <v>22.4</v>
      </c>
      <c r="O22" s="41">
        <f t="shared" si="0"/>
        <v>28.6</v>
      </c>
      <c r="P22" s="42">
        <f t="shared" si="1"/>
        <v>22.4</v>
      </c>
      <c r="Q22" s="45">
        <f t="shared" si="2"/>
        <v>26.269230769230766</v>
      </c>
      <c r="T22" s="44">
        <v>8</v>
      </c>
      <c r="U22" s="40">
        <v>23.6</v>
      </c>
      <c r="V22" s="40">
        <v>24</v>
      </c>
      <c r="W22" s="40">
        <v>24.6</v>
      </c>
      <c r="X22" s="40">
        <v>24.6</v>
      </c>
      <c r="Y22" s="40">
        <v>25</v>
      </c>
      <c r="Z22" s="40">
        <v>25</v>
      </c>
      <c r="AA22" s="40">
        <v>25.7</v>
      </c>
      <c r="AB22" s="40">
        <v>25.8</v>
      </c>
      <c r="AC22" s="40">
        <v>25.2</v>
      </c>
      <c r="AD22" s="40">
        <v>24.8</v>
      </c>
      <c r="AE22" s="40">
        <v>24.6</v>
      </c>
      <c r="AF22" s="40">
        <v>24.2</v>
      </c>
      <c r="AG22" s="40">
        <v>22.1</v>
      </c>
      <c r="AH22" s="41">
        <f t="shared" si="3"/>
        <v>25.8</v>
      </c>
      <c r="AI22" s="42">
        <f t="shared" si="4"/>
        <v>22.1</v>
      </c>
      <c r="AJ22" s="45">
        <f t="shared" si="5"/>
        <v>24.553846153846159</v>
      </c>
      <c r="AM22" s="44">
        <v>8</v>
      </c>
      <c r="AN22" s="40">
        <v>23.317592460646107</v>
      </c>
      <c r="AO22" s="40">
        <v>23.631733166285724</v>
      </c>
      <c r="AP22" s="40">
        <v>23.799543842618871</v>
      </c>
      <c r="AQ22" s="40">
        <v>23.348482445095115</v>
      </c>
      <c r="AR22" s="40">
        <v>23.548588754237745</v>
      </c>
      <c r="AS22" s="40">
        <v>23.321392650725961</v>
      </c>
      <c r="AT22" s="40">
        <v>24.385449493437868</v>
      </c>
      <c r="AU22" s="40">
        <v>24.83284948699842</v>
      </c>
      <c r="AV22" s="40">
        <v>24.464709970635887</v>
      </c>
      <c r="AW22" s="40">
        <v>24.09497496904363</v>
      </c>
      <c r="AX22" s="40">
        <v>23.88848726151063</v>
      </c>
      <c r="AY22" s="40">
        <v>23.745385843105907</v>
      </c>
      <c r="AZ22" s="40">
        <v>21.851723297864755</v>
      </c>
      <c r="BA22" s="41">
        <f t="shared" si="6"/>
        <v>24.83284948699842</v>
      </c>
      <c r="BB22" s="42">
        <f t="shared" si="7"/>
        <v>21.851723297864755</v>
      </c>
      <c r="BC22" s="45">
        <f t="shared" si="8"/>
        <v>23.710070280169738</v>
      </c>
    </row>
    <row r="23" spans="1:55" s="2" customFormat="1" ht="14.25" customHeight="1" x14ac:dyDescent="0.25">
      <c r="A23" s="44">
        <v>9</v>
      </c>
      <c r="B23" s="40">
        <v>23.8</v>
      </c>
      <c r="C23" s="40">
        <v>24.3</v>
      </c>
      <c r="D23" s="40">
        <v>25</v>
      </c>
      <c r="E23" s="40">
        <v>26.2</v>
      </c>
      <c r="F23" s="40">
        <v>27.4</v>
      </c>
      <c r="G23" s="40">
        <v>28</v>
      </c>
      <c r="H23" s="40">
        <v>28.8</v>
      </c>
      <c r="I23" s="40">
        <v>29.4</v>
      </c>
      <c r="J23" s="40">
        <v>28.2</v>
      </c>
      <c r="K23" s="40">
        <v>27.7</v>
      </c>
      <c r="L23" s="40">
        <v>26.8</v>
      </c>
      <c r="M23" s="40">
        <v>26</v>
      </c>
      <c r="N23" s="40">
        <v>25.5</v>
      </c>
      <c r="O23" s="41">
        <f t="shared" si="0"/>
        <v>29.4</v>
      </c>
      <c r="P23" s="42">
        <f t="shared" si="1"/>
        <v>23.8</v>
      </c>
      <c r="Q23" s="45">
        <f t="shared" si="2"/>
        <v>26.700000000000003</v>
      </c>
      <c r="T23" s="44">
        <v>9</v>
      </c>
      <c r="U23" s="40">
        <v>23.6</v>
      </c>
      <c r="V23" s="40">
        <v>23.8</v>
      </c>
      <c r="W23" s="40">
        <v>24.2</v>
      </c>
      <c r="X23" s="40">
        <v>24.8</v>
      </c>
      <c r="Y23" s="40">
        <v>25.1</v>
      </c>
      <c r="Z23" s="40">
        <v>25.2</v>
      </c>
      <c r="AA23" s="40">
        <v>25.8</v>
      </c>
      <c r="AB23" s="40">
        <v>26.1</v>
      </c>
      <c r="AC23" s="40">
        <v>25.6</v>
      </c>
      <c r="AD23" s="40">
        <v>25.1</v>
      </c>
      <c r="AE23" s="40">
        <v>25</v>
      </c>
      <c r="AF23" s="40">
        <v>24.9</v>
      </c>
      <c r="AG23" s="40">
        <v>24.8</v>
      </c>
      <c r="AH23" s="41">
        <f t="shared" si="3"/>
        <v>26.1</v>
      </c>
      <c r="AI23" s="42">
        <f t="shared" si="4"/>
        <v>23.6</v>
      </c>
      <c r="AJ23" s="45">
        <f t="shared" si="5"/>
        <v>24.92307692307692</v>
      </c>
      <c r="AM23" s="44">
        <v>9</v>
      </c>
      <c r="AN23" s="40">
        <v>23.408806959403272</v>
      </c>
      <c r="AO23" s="40">
        <v>23.474248808962582</v>
      </c>
      <c r="AP23" s="40">
        <v>23.745385843105907</v>
      </c>
      <c r="AQ23" s="40">
        <v>24.09497496904363</v>
      </c>
      <c r="AR23" s="40">
        <v>24.011870378043913</v>
      </c>
      <c r="AS23" s="40">
        <v>23.896682202951688</v>
      </c>
      <c r="AT23" s="40">
        <v>24.448916794820729</v>
      </c>
      <c r="AU23" s="40">
        <v>24.641351628929243</v>
      </c>
      <c r="AV23" s="40">
        <v>24.408876700109047</v>
      </c>
      <c r="AW23" s="40">
        <v>23.879159206070124</v>
      </c>
      <c r="AX23" s="40">
        <v>24.126908752194279</v>
      </c>
      <c r="AY23" s="40">
        <v>24.328707157103771</v>
      </c>
      <c r="AZ23" s="40">
        <v>24.39976912326053</v>
      </c>
      <c r="BA23" s="41">
        <f t="shared" si="6"/>
        <v>24.641351628929243</v>
      </c>
      <c r="BB23" s="42">
        <f t="shared" si="7"/>
        <v>23.408806959403272</v>
      </c>
      <c r="BC23" s="45">
        <f t="shared" si="8"/>
        <v>24.06658911723067</v>
      </c>
    </row>
    <row r="24" spans="1:55" s="2" customFormat="1" ht="14.25" customHeight="1" x14ac:dyDescent="0.25">
      <c r="A24" s="44">
        <v>10</v>
      </c>
      <c r="B24" s="40">
        <v>24.6</v>
      </c>
      <c r="C24" s="40">
        <v>25.3</v>
      </c>
      <c r="D24" s="40">
        <v>26.6</v>
      </c>
      <c r="E24" s="40">
        <v>28</v>
      </c>
      <c r="F24" s="40">
        <v>29.3</v>
      </c>
      <c r="G24" s="40">
        <v>29.5</v>
      </c>
      <c r="H24" s="40">
        <v>30.2</v>
      </c>
      <c r="I24" s="40">
        <v>29.1</v>
      </c>
      <c r="J24" s="40">
        <v>27</v>
      </c>
      <c r="K24" s="40">
        <v>26.2</v>
      </c>
      <c r="L24" s="40">
        <v>26.2</v>
      </c>
      <c r="M24" s="40">
        <v>25.8</v>
      </c>
      <c r="N24" s="40">
        <v>25.8</v>
      </c>
      <c r="O24" s="41">
        <f t="shared" si="0"/>
        <v>30.2</v>
      </c>
      <c r="P24" s="42">
        <f t="shared" si="1"/>
        <v>24.6</v>
      </c>
      <c r="Q24" s="45">
        <f t="shared" si="2"/>
        <v>27.200000000000003</v>
      </c>
      <c r="T24" s="44">
        <v>10</v>
      </c>
      <c r="U24" s="40">
        <v>23.7</v>
      </c>
      <c r="V24" s="40">
        <v>23.8</v>
      </c>
      <c r="W24" s="40">
        <v>24.5</v>
      </c>
      <c r="X24" s="40">
        <v>25.2</v>
      </c>
      <c r="Y24" s="40">
        <v>25.4</v>
      </c>
      <c r="Z24" s="40">
        <v>25.5</v>
      </c>
      <c r="AA24" s="40">
        <v>26</v>
      </c>
      <c r="AB24" s="40">
        <v>25.8</v>
      </c>
      <c r="AC24" s="40">
        <v>24.9</v>
      </c>
      <c r="AD24" s="40">
        <v>25.1</v>
      </c>
      <c r="AE24" s="40">
        <v>25.1</v>
      </c>
      <c r="AF24" s="40">
        <v>24.6</v>
      </c>
      <c r="AG24" s="40">
        <v>24.6</v>
      </c>
      <c r="AH24" s="41">
        <f t="shared" si="3"/>
        <v>26</v>
      </c>
      <c r="AI24" s="42">
        <f t="shared" si="4"/>
        <v>23.7</v>
      </c>
      <c r="AJ24" s="45">
        <f t="shared" si="5"/>
        <v>24.938461538461542</v>
      </c>
      <c r="AM24" s="44">
        <v>10</v>
      </c>
      <c r="AN24" s="40">
        <v>23.189820548177124</v>
      </c>
      <c r="AO24" s="40">
        <v>23.015323918109264</v>
      </c>
      <c r="AP24" s="40">
        <v>23.470360724914261</v>
      </c>
      <c r="AQ24" s="40">
        <v>23.896682202951688</v>
      </c>
      <c r="AR24" s="40">
        <v>23.620924488861387</v>
      </c>
      <c r="AS24" s="40">
        <v>23.685270573398039</v>
      </c>
      <c r="AT24" s="40">
        <v>24.14398223668147</v>
      </c>
      <c r="AU24" s="40">
        <v>24.319210654684674</v>
      </c>
      <c r="AV24" s="40">
        <v>23.890133080418831</v>
      </c>
      <c r="AW24" s="40">
        <v>24.533682885158957</v>
      </c>
      <c r="AX24" s="40">
        <v>24.533682885158957</v>
      </c>
      <c r="AY24" s="40">
        <v>23.977017614815619</v>
      </c>
      <c r="AZ24" s="40">
        <v>23.977017614815619</v>
      </c>
      <c r="BA24" s="41">
        <f t="shared" si="6"/>
        <v>24.533682885158957</v>
      </c>
      <c r="BB24" s="42">
        <f t="shared" si="7"/>
        <v>23.015323918109264</v>
      </c>
      <c r="BC24" s="45">
        <f t="shared" si="8"/>
        <v>23.865623802165068</v>
      </c>
    </row>
    <row r="25" spans="1:55" s="2" customFormat="1" ht="14.25" customHeight="1" x14ac:dyDescent="0.25">
      <c r="A25" s="44">
        <v>11</v>
      </c>
      <c r="B25" s="40">
        <v>25.8</v>
      </c>
      <c r="C25" s="40">
        <v>26.3</v>
      </c>
      <c r="D25" s="40">
        <v>27.7</v>
      </c>
      <c r="E25" s="40">
        <v>28.4</v>
      </c>
      <c r="F25" s="40">
        <v>29</v>
      </c>
      <c r="G25" s="40">
        <v>29.2</v>
      </c>
      <c r="H25" s="40">
        <v>28.8</v>
      </c>
      <c r="I25" s="40">
        <v>24.6</v>
      </c>
      <c r="J25" s="40">
        <v>22.4</v>
      </c>
      <c r="K25" s="40">
        <v>22.3</v>
      </c>
      <c r="L25" s="40">
        <v>22.6</v>
      </c>
      <c r="M25" s="40">
        <v>22.7</v>
      </c>
      <c r="N25" s="40">
        <v>23</v>
      </c>
      <c r="O25" s="41">
        <f t="shared" si="0"/>
        <v>29.2</v>
      </c>
      <c r="P25" s="42">
        <f t="shared" si="1"/>
        <v>22.3</v>
      </c>
      <c r="Q25" s="45">
        <f t="shared" si="2"/>
        <v>25.6</v>
      </c>
      <c r="T25" s="44">
        <v>11</v>
      </c>
      <c r="U25" s="40">
        <v>24.8</v>
      </c>
      <c r="V25" s="40">
        <v>24.8</v>
      </c>
      <c r="W25" s="40">
        <v>24.8</v>
      </c>
      <c r="X25" s="40">
        <v>25</v>
      </c>
      <c r="Y25" s="40">
        <v>25.4</v>
      </c>
      <c r="Z25" s="40">
        <v>25.3</v>
      </c>
      <c r="AA25" s="40">
        <v>25</v>
      </c>
      <c r="AB25" s="40">
        <v>22.8</v>
      </c>
      <c r="AC25" s="40">
        <v>22.2</v>
      </c>
      <c r="AD25" s="40">
        <v>22.1</v>
      </c>
      <c r="AE25" s="40">
        <v>22.2</v>
      </c>
      <c r="AF25" s="40">
        <v>22.4</v>
      </c>
      <c r="AG25" s="40">
        <v>22.6</v>
      </c>
      <c r="AH25" s="41">
        <f t="shared" si="3"/>
        <v>25.4</v>
      </c>
      <c r="AI25" s="42">
        <f t="shared" si="4"/>
        <v>22.1</v>
      </c>
      <c r="AJ25" s="45">
        <f t="shared" si="5"/>
        <v>23.800000000000004</v>
      </c>
      <c r="AM25" s="44">
        <v>11</v>
      </c>
      <c r="AN25" s="40">
        <v>24.269737574447021</v>
      </c>
      <c r="AO25" s="40">
        <v>24.051033335618328</v>
      </c>
      <c r="AP25" s="40">
        <v>23.424969363752066</v>
      </c>
      <c r="AQ25" s="40">
        <v>23.412597481878489</v>
      </c>
      <c r="AR25" s="40">
        <v>23.755443039226666</v>
      </c>
      <c r="AS25" s="40">
        <v>23.511724268218156</v>
      </c>
      <c r="AT25" s="40">
        <v>23.229747355809128</v>
      </c>
      <c r="AU25" s="40">
        <v>21.829495781399554</v>
      </c>
      <c r="AV25" s="40">
        <v>22.001602394793437</v>
      </c>
      <c r="AW25" s="40">
        <v>21.901065347846838</v>
      </c>
      <c r="AX25" s="40">
        <v>21.903317108865679</v>
      </c>
      <c r="AY25" s="40">
        <v>22.154111572595554</v>
      </c>
      <c r="AZ25" s="40">
        <v>22.307518003209246</v>
      </c>
      <c r="BA25" s="41">
        <f t="shared" si="6"/>
        <v>24.269737574447021</v>
      </c>
      <c r="BB25" s="42">
        <f t="shared" si="7"/>
        <v>21.829495781399554</v>
      </c>
      <c r="BC25" s="45">
        <f t="shared" si="8"/>
        <v>22.904027894435391</v>
      </c>
    </row>
    <row r="26" spans="1:55" s="2" customFormat="1" ht="14.25" customHeight="1" x14ac:dyDescent="0.25">
      <c r="A26" s="44">
        <v>12</v>
      </c>
      <c r="B26" s="40">
        <v>24.7</v>
      </c>
      <c r="C26" s="40">
        <v>26.1</v>
      </c>
      <c r="D26" s="40">
        <v>27</v>
      </c>
      <c r="E26" s="40">
        <v>27.5</v>
      </c>
      <c r="F26" s="40">
        <v>28.5</v>
      </c>
      <c r="G26" s="40">
        <v>28</v>
      </c>
      <c r="H26" s="40">
        <v>29.2</v>
      </c>
      <c r="I26" s="40">
        <v>29.2</v>
      </c>
      <c r="J26" s="40">
        <v>28</v>
      </c>
      <c r="K26" s="40">
        <v>27.6</v>
      </c>
      <c r="L26" s="40">
        <v>26.6</v>
      </c>
      <c r="M26" s="40">
        <v>26</v>
      </c>
      <c r="N26" s="40">
        <v>25.2</v>
      </c>
      <c r="O26" s="41">
        <f t="shared" si="0"/>
        <v>29.2</v>
      </c>
      <c r="P26" s="42">
        <f t="shared" si="1"/>
        <v>24.7</v>
      </c>
      <c r="Q26" s="45">
        <f t="shared" si="2"/>
        <v>27.200000000000003</v>
      </c>
      <c r="T26" s="44">
        <v>12</v>
      </c>
      <c r="U26" s="40">
        <v>24</v>
      </c>
      <c r="V26" s="40">
        <v>24.4</v>
      </c>
      <c r="W26" s="40">
        <v>24.7</v>
      </c>
      <c r="X26" s="40">
        <v>24.7</v>
      </c>
      <c r="Y26" s="40">
        <v>24.6</v>
      </c>
      <c r="Z26" s="40">
        <v>24.4</v>
      </c>
      <c r="AA26" s="40">
        <v>26</v>
      </c>
      <c r="AB26" s="40">
        <v>24.4</v>
      </c>
      <c r="AC26" s="40">
        <v>24.2</v>
      </c>
      <c r="AD26" s="40">
        <v>24.2</v>
      </c>
      <c r="AE26" s="40">
        <v>23.4</v>
      </c>
      <c r="AF26" s="40">
        <v>23.4</v>
      </c>
      <c r="AG26" s="40">
        <v>23.4</v>
      </c>
      <c r="AH26" s="41">
        <f t="shared" si="3"/>
        <v>26</v>
      </c>
      <c r="AI26" s="42">
        <f t="shared" si="4"/>
        <v>23.4</v>
      </c>
      <c r="AJ26" s="45">
        <f t="shared" si="5"/>
        <v>24.292307692307688</v>
      </c>
      <c r="AM26" s="44">
        <v>12</v>
      </c>
      <c r="AN26" s="40">
        <v>23.586711408924462</v>
      </c>
      <c r="AO26" s="40">
        <v>23.546887125647899</v>
      </c>
      <c r="AP26" s="40">
        <v>23.590384962747073</v>
      </c>
      <c r="AQ26" s="40">
        <v>23.363695800806138</v>
      </c>
      <c r="AR26" s="40">
        <v>22.745598614526685</v>
      </c>
      <c r="AS26" s="40">
        <v>22.668616177039841</v>
      </c>
      <c r="AT26" s="40">
        <v>24.576869446846047</v>
      </c>
      <c r="AU26" s="40">
        <v>22.092115402846034</v>
      </c>
      <c r="AV26" s="40">
        <v>22.354583733692817</v>
      </c>
      <c r="AW26" s="40">
        <v>22.546041617755499</v>
      </c>
      <c r="AX26" s="40">
        <v>21.775380812344167</v>
      </c>
      <c r="AY26" s="40">
        <v>22.070718744685575</v>
      </c>
      <c r="AZ26" s="40">
        <v>22.45741703757486</v>
      </c>
      <c r="BA26" s="41">
        <f t="shared" si="6"/>
        <v>24.576869446846047</v>
      </c>
      <c r="BB26" s="42">
        <f t="shared" si="7"/>
        <v>21.775380812344167</v>
      </c>
      <c r="BC26" s="45">
        <f t="shared" si="8"/>
        <v>22.875001606572084</v>
      </c>
    </row>
    <row r="27" spans="1:55" s="2" customFormat="1" ht="14.25" customHeight="1" x14ac:dyDescent="0.25">
      <c r="A27" s="44">
        <v>13</v>
      </c>
      <c r="B27" s="40">
        <v>24.2</v>
      </c>
      <c r="C27" s="40">
        <v>25</v>
      </c>
      <c r="D27" s="40">
        <v>25.4</v>
      </c>
      <c r="E27" s="40">
        <v>26.2</v>
      </c>
      <c r="F27" s="40">
        <v>25.3</v>
      </c>
      <c r="G27" s="40">
        <v>25</v>
      </c>
      <c r="H27" s="40">
        <v>25.2</v>
      </c>
      <c r="I27" s="40">
        <v>25.8</v>
      </c>
      <c r="J27" s="40">
        <v>26</v>
      </c>
      <c r="K27" s="40">
        <v>25</v>
      </c>
      <c r="L27" s="40">
        <v>24.4</v>
      </c>
      <c r="M27" s="40">
        <v>24.4</v>
      </c>
      <c r="N27" s="40">
        <v>24.4</v>
      </c>
      <c r="O27" s="41">
        <f t="shared" si="0"/>
        <v>26.2</v>
      </c>
      <c r="P27" s="42">
        <f t="shared" si="1"/>
        <v>24.2</v>
      </c>
      <c r="Q27" s="45">
        <f t="shared" si="2"/>
        <v>25.099999999999998</v>
      </c>
      <c r="T27" s="44">
        <v>13</v>
      </c>
      <c r="U27" s="40">
        <v>23.3</v>
      </c>
      <c r="V27" s="40">
        <v>23.4</v>
      </c>
      <c r="W27" s="40">
        <v>24</v>
      </c>
      <c r="X27" s="40">
        <v>24.3</v>
      </c>
      <c r="Y27" s="40">
        <v>24.8</v>
      </c>
      <c r="Z27" s="40">
        <v>24</v>
      </c>
      <c r="AA27" s="40">
        <v>24.7</v>
      </c>
      <c r="AB27" s="40">
        <v>23.9</v>
      </c>
      <c r="AC27" s="40">
        <v>24.1</v>
      </c>
      <c r="AD27" s="40">
        <v>23.8</v>
      </c>
      <c r="AE27" s="40">
        <v>24</v>
      </c>
      <c r="AF27" s="40">
        <v>23.5</v>
      </c>
      <c r="AG27" s="40">
        <v>23.4</v>
      </c>
      <c r="AH27" s="41">
        <f t="shared" si="3"/>
        <v>24.8</v>
      </c>
      <c r="AI27" s="42">
        <f t="shared" si="4"/>
        <v>23.3</v>
      </c>
      <c r="AJ27" s="45">
        <f t="shared" si="5"/>
        <v>23.938461538461539</v>
      </c>
      <c r="AM27" s="44">
        <v>13</v>
      </c>
      <c r="AN27" s="40">
        <v>22.780930742954624</v>
      </c>
      <c r="AO27" s="40">
        <v>22.552863273036831</v>
      </c>
      <c r="AP27" s="40">
        <v>23.268536476619335</v>
      </c>
      <c r="AQ27" s="40">
        <v>23.351779975526394</v>
      </c>
      <c r="AR27" s="40">
        <v>24.485968604311463</v>
      </c>
      <c r="AS27" s="40">
        <v>23.451002870250118</v>
      </c>
      <c r="AT27" s="40">
        <v>24.384827527611659</v>
      </c>
      <c r="AU27" s="40">
        <v>22.93329053299497</v>
      </c>
      <c r="AV27" s="40">
        <v>23.142593489831476</v>
      </c>
      <c r="AW27" s="40">
        <v>23.154171566343187</v>
      </c>
      <c r="AX27" s="40">
        <v>23.721458312857198</v>
      </c>
      <c r="AY27" s="40">
        <v>22.985402843133787</v>
      </c>
      <c r="AZ27" s="40">
        <v>22.836338621391949</v>
      </c>
      <c r="BA27" s="41">
        <f t="shared" si="6"/>
        <v>24.485968604311463</v>
      </c>
      <c r="BB27" s="42">
        <f t="shared" si="7"/>
        <v>22.552863273036831</v>
      </c>
      <c r="BC27" s="45">
        <f t="shared" si="8"/>
        <v>23.311474218220233</v>
      </c>
    </row>
    <row r="28" spans="1:55" s="2" customFormat="1" ht="14.25" customHeight="1" x14ac:dyDescent="0.25">
      <c r="A28" s="44">
        <v>14</v>
      </c>
      <c r="B28" s="40">
        <v>23.2</v>
      </c>
      <c r="C28" s="40">
        <v>23.6</v>
      </c>
      <c r="D28" s="40">
        <v>24.8</v>
      </c>
      <c r="E28" s="40">
        <v>25.3</v>
      </c>
      <c r="F28" s="40">
        <v>26.2</v>
      </c>
      <c r="G28" s="40">
        <v>25.8</v>
      </c>
      <c r="H28" s="40">
        <v>25.4</v>
      </c>
      <c r="I28" s="40">
        <v>25.4</v>
      </c>
      <c r="J28" s="40">
        <v>25.4</v>
      </c>
      <c r="K28" s="40">
        <v>26.4</v>
      </c>
      <c r="L28" s="40">
        <v>25</v>
      </c>
      <c r="M28" s="40">
        <v>25</v>
      </c>
      <c r="N28" s="40">
        <v>24.6</v>
      </c>
      <c r="O28" s="41">
        <f t="shared" si="0"/>
        <v>26.4</v>
      </c>
      <c r="P28" s="42">
        <f t="shared" si="1"/>
        <v>23.2</v>
      </c>
      <c r="Q28" s="45">
        <f t="shared" si="2"/>
        <v>25.084615384615386</v>
      </c>
      <c r="T28" s="44">
        <v>14</v>
      </c>
      <c r="U28" s="40">
        <v>23</v>
      </c>
      <c r="V28" s="40">
        <v>23.4</v>
      </c>
      <c r="W28" s="40">
        <v>24.2</v>
      </c>
      <c r="X28" s="40">
        <v>24.9</v>
      </c>
      <c r="Y28" s="40">
        <v>24</v>
      </c>
      <c r="Z28" s="40">
        <v>24</v>
      </c>
      <c r="AA28" s="40">
        <v>24.2</v>
      </c>
      <c r="AB28" s="40">
        <v>24.2</v>
      </c>
      <c r="AC28" s="40">
        <v>24.2</v>
      </c>
      <c r="AD28" s="40">
        <v>24</v>
      </c>
      <c r="AE28" s="40">
        <v>23.8</v>
      </c>
      <c r="AF28" s="40">
        <v>23.8</v>
      </c>
      <c r="AG28" s="40">
        <v>23.6</v>
      </c>
      <c r="AH28" s="41">
        <f t="shared" si="3"/>
        <v>24.9</v>
      </c>
      <c r="AI28" s="42">
        <f t="shared" si="4"/>
        <v>23</v>
      </c>
      <c r="AJ28" s="45">
        <f t="shared" si="5"/>
        <v>23.946153846153848</v>
      </c>
      <c r="AM28" s="44">
        <v>14</v>
      </c>
      <c r="AN28" s="40">
        <v>22.805789529148537</v>
      </c>
      <c r="AO28" s="40">
        <v>23.207812519635773</v>
      </c>
      <c r="AP28" s="40">
        <v>23.834579423059534</v>
      </c>
      <c r="AQ28" s="40">
        <v>24.629832170371774</v>
      </c>
      <c r="AR28" s="40">
        <v>22.898249002326494</v>
      </c>
      <c r="AS28" s="40">
        <v>23.084297681296647</v>
      </c>
      <c r="AT28" s="40">
        <v>23.565735043217593</v>
      </c>
      <c r="AU28" s="40">
        <v>23.565735043217593</v>
      </c>
      <c r="AV28" s="40">
        <v>23.565735043217593</v>
      </c>
      <c r="AW28" s="40">
        <v>22.804533908537021</v>
      </c>
      <c r="AX28" s="40">
        <v>23.154171566343187</v>
      </c>
      <c r="AY28" s="40">
        <v>23.154171566343187</v>
      </c>
      <c r="AZ28" s="40">
        <v>23.041286800704647</v>
      </c>
      <c r="BA28" s="41">
        <f t="shared" si="6"/>
        <v>24.629832170371774</v>
      </c>
      <c r="BB28" s="42">
        <f t="shared" si="7"/>
        <v>22.804533908537021</v>
      </c>
      <c r="BC28" s="45">
        <f t="shared" si="8"/>
        <v>23.331686869032271</v>
      </c>
    </row>
    <row r="29" spans="1:55" s="2" customFormat="1" ht="14.25" customHeight="1" x14ac:dyDescent="0.25">
      <c r="A29" s="44">
        <v>15</v>
      </c>
      <c r="B29" s="40">
        <v>23.4</v>
      </c>
      <c r="C29" s="40">
        <v>24.1</v>
      </c>
      <c r="D29" s="40">
        <v>24.4</v>
      </c>
      <c r="E29" s="40">
        <v>25.2</v>
      </c>
      <c r="F29" s="40">
        <v>25.8</v>
      </c>
      <c r="G29" s="40">
        <v>26.7</v>
      </c>
      <c r="H29" s="40">
        <v>26.7</v>
      </c>
      <c r="I29" s="40">
        <v>27.5</v>
      </c>
      <c r="J29" s="40">
        <v>27.1</v>
      </c>
      <c r="K29" s="40">
        <v>26.7</v>
      </c>
      <c r="L29" s="40">
        <v>25.9</v>
      </c>
      <c r="M29" s="40">
        <v>25.7</v>
      </c>
      <c r="N29" s="40">
        <v>25.3</v>
      </c>
      <c r="O29" s="41">
        <f t="shared" si="0"/>
        <v>27.5</v>
      </c>
      <c r="P29" s="42">
        <f t="shared" si="1"/>
        <v>23.4</v>
      </c>
      <c r="Q29" s="45">
        <f t="shared" si="2"/>
        <v>25.730769230769226</v>
      </c>
      <c r="T29" s="44">
        <v>15</v>
      </c>
      <c r="U29" s="40">
        <v>23.2</v>
      </c>
      <c r="V29" s="40">
        <v>23.5</v>
      </c>
      <c r="W29" s="40">
        <v>23.6</v>
      </c>
      <c r="X29" s="40">
        <v>24</v>
      </c>
      <c r="Y29" s="40">
        <v>24.2</v>
      </c>
      <c r="Z29" s="40">
        <v>24.6</v>
      </c>
      <c r="AA29" s="40">
        <v>24.1</v>
      </c>
      <c r="AB29" s="40">
        <v>24.5</v>
      </c>
      <c r="AC29" s="40">
        <v>24.2</v>
      </c>
      <c r="AD29" s="40">
        <v>24.3</v>
      </c>
      <c r="AE29" s="40">
        <v>24.1</v>
      </c>
      <c r="AF29" s="40">
        <v>23.7</v>
      </c>
      <c r="AG29" s="40">
        <v>23.9</v>
      </c>
      <c r="AH29" s="41">
        <f t="shared" si="3"/>
        <v>24.6</v>
      </c>
      <c r="AI29" s="42">
        <f t="shared" si="4"/>
        <v>23.2</v>
      </c>
      <c r="AJ29" s="45">
        <f t="shared" si="5"/>
        <v>23.992307692307691</v>
      </c>
      <c r="AM29" s="44">
        <v>15</v>
      </c>
      <c r="AN29" s="40">
        <v>23.006806764540162</v>
      </c>
      <c r="AO29" s="40">
        <v>23.12446651714588</v>
      </c>
      <c r="AP29" s="40">
        <v>23.133837025841927</v>
      </c>
      <c r="AQ29" s="40">
        <v>23.359988927625103</v>
      </c>
      <c r="AR29" s="40">
        <v>23.384370540910407</v>
      </c>
      <c r="AS29" s="40">
        <v>23.575350595291621</v>
      </c>
      <c r="AT29" s="40">
        <v>22.816809305961961</v>
      </c>
      <c r="AU29" s="40">
        <v>23.057726613627626</v>
      </c>
      <c r="AV29" s="40">
        <v>22.782662703120685</v>
      </c>
      <c r="AW29" s="40">
        <v>23.122212048616081</v>
      </c>
      <c r="AX29" s="40">
        <v>23.188679845085296</v>
      </c>
      <c r="AY29" s="40">
        <v>22.676636327438867</v>
      </c>
      <c r="AZ29" s="40">
        <v>23.165138660267143</v>
      </c>
      <c r="BA29" s="41">
        <f t="shared" si="6"/>
        <v>23.575350595291621</v>
      </c>
      <c r="BB29" s="42">
        <f t="shared" si="7"/>
        <v>22.676636327438867</v>
      </c>
      <c r="BC29" s="45">
        <f t="shared" si="8"/>
        <v>23.107283528882519</v>
      </c>
    </row>
    <row r="30" spans="1:55" s="2" customFormat="1" ht="14.25" customHeight="1" x14ac:dyDescent="0.25">
      <c r="A30" s="44">
        <v>16</v>
      </c>
      <c r="B30" s="40">
        <v>25</v>
      </c>
      <c r="C30" s="40">
        <v>25.8</v>
      </c>
      <c r="D30" s="40">
        <v>27.1</v>
      </c>
      <c r="E30" s="40">
        <v>28</v>
      </c>
      <c r="F30" s="40">
        <v>29.2</v>
      </c>
      <c r="G30" s="40">
        <v>29.6</v>
      </c>
      <c r="H30" s="40">
        <v>28.8</v>
      </c>
      <c r="I30" s="40">
        <v>29.4</v>
      </c>
      <c r="J30" s="40">
        <v>28.6</v>
      </c>
      <c r="K30" s="40">
        <v>27.8</v>
      </c>
      <c r="L30" s="40">
        <v>27</v>
      </c>
      <c r="M30" s="40">
        <v>26.6</v>
      </c>
      <c r="N30" s="40">
        <v>26.2</v>
      </c>
      <c r="O30" s="41">
        <f t="shared" si="0"/>
        <v>29.6</v>
      </c>
      <c r="P30" s="42">
        <f t="shared" si="1"/>
        <v>25</v>
      </c>
      <c r="Q30" s="45">
        <f t="shared" si="2"/>
        <v>27.623076923076926</v>
      </c>
      <c r="T30" s="44">
        <v>16</v>
      </c>
      <c r="U30" s="40">
        <v>23.7</v>
      </c>
      <c r="V30" s="40">
        <v>23.9</v>
      </c>
      <c r="W30" s="40">
        <v>24.4</v>
      </c>
      <c r="X30" s="40">
        <v>24.3</v>
      </c>
      <c r="Y30" s="40">
        <v>25.5</v>
      </c>
      <c r="Z30" s="40">
        <v>25.3</v>
      </c>
      <c r="AA30" s="40">
        <v>25.3</v>
      </c>
      <c r="AB30" s="40">
        <v>25.6</v>
      </c>
      <c r="AC30" s="40">
        <v>25.2</v>
      </c>
      <c r="AD30" s="40">
        <v>25</v>
      </c>
      <c r="AE30" s="40">
        <v>24.4</v>
      </c>
      <c r="AF30" s="40">
        <v>24.4</v>
      </c>
      <c r="AG30" s="40">
        <v>24.4</v>
      </c>
      <c r="AH30" s="41">
        <f t="shared" si="3"/>
        <v>25.6</v>
      </c>
      <c r="AI30" s="42">
        <f t="shared" si="4"/>
        <v>23.7</v>
      </c>
      <c r="AJ30" s="45">
        <f t="shared" si="5"/>
        <v>24.723076923076917</v>
      </c>
      <c r="AM30" s="44">
        <v>16</v>
      </c>
      <c r="AN30" s="40">
        <v>23.004814665351681</v>
      </c>
      <c r="AO30" s="40">
        <v>22.93329053299497</v>
      </c>
      <c r="AP30" s="40">
        <v>23.089718988128126</v>
      </c>
      <c r="AQ30" s="40">
        <v>22.511967446185952</v>
      </c>
      <c r="AR30" s="40">
        <v>23.819337756018118</v>
      </c>
      <c r="AS30" s="40">
        <v>23.329827270776018</v>
      </c>
      <c r="AT30" s="40">
        <v>23.691896911833854</v>
      </c>
      <c r="AU30" s="40">
        <v>23.883579415901753</v>
      </c>
      <c r="AV30" s="40">
        <v>23.628701010435609</v>
      </c>
      <c r="AW30" s="40">
        <v>23.683614162726549</v>
      </c>
      <c r="AX30" s="40">
        <v>23.135934889422426</v>
      </c>
      <c r="AY30" s="40">
        <v>23.319679814146195</v>
      </c>
      <c r="AZ30" s="40">
        <v>23.501662544126386</v>
      </c>
      <c r="BA30" s="41">
        <f t="shared" si="6"/>
        <v>23.883579415901753</v>
      </c>
      <c r="BB30" s="42">
        <f t="shared" si="7"/>
        <v>22.511967446185952</v>
      </c>
      <c r="BC30" s="45">
        <f t="shared" si="8"/>
        <v>23.34877118523443</v>
      </c>
    </row>
    <row r="31" spans="1:55" s="2" customFormat="1" ht="14.25" customHeight="1" x14ac:dyDescent="0.25">
      <c r="A31" s="44">
        <v>17</v>
      </c>
      <c r="B31" s="40">
        <v>24.4</v>
      </c>
      <c r="C31" s="40">
        <v>24.8</v>
      </c>
      <c r="D31" s="40">
        <v>26.3</v>
      </c>
      <c r="E31" s="40">
        <v>23.8</v>
      </c>
      <c r="F31" s="40">
        <v>25.8</v>
      </c>
      <c r="G31" s="40">
        <v>24</v>
      </c>
      <c r="H31" s="40">
        <v>23.2</v>
      </c>
      <c r="I31" s="40">
        <v>23.4</v>
      </c>
      <c r="J31" s="40">
        <v>23.2</v>
      </c>
      <c r="K31" s="40">
        <v>23.1</v>
      </c>
      <c r="L31" s="40">
        <v>23</v>
      </c>
      <c r="M31" s="40">
        <v>23.1</v>
      </c>
      <c r="N31" s="40">
        <v>23.2</v>
      </c>
      <c r="O31" s="41">
        <f t="shared" si="0"/>
        <v>26.3</v>
      </c>
      <c r="P31" s="42">
        <f t="shared" si="1"/>
        <v>23</v>
      </c>
      <c r="Q31" s="45">
        <f t="shared" si="2"/>
        <v>23.946153846153848</v>
      </c>
      <c r="T31" s="44">
        <v>17</v>
      </c>
      <c r="U31" s="40">
        <v>24</v>
      </c>
      <c r="V31" s="40">
        <v>24.2</v>
      </c>
      <c r="W31" s="40">
        <v>24.3</v>
      </c>
      <c r="X31" s="40">
        <v>23.6</v>
      </c>
      <c r="Y31" s="40">
        <v>24.4</v>
      </c>
      <c r="Z31" s="40">
        <v>23.8</v>
      </c>
      <c r="AA31" s="40">
        <v>23</v>
      </c>
      <c r="AB31" s="40">
        <v>23.2</v>
      </c>
      <c r="AC31" s="40">
        <v>23.1</v>
      </c>
      <c r="AD31" s="40">
        <v>23</v>
      </c>
      <c r="AE31" s="40">
        <v>22.8</v>
      </c>
      <c r="AF31" s="40">
        <v>23</v>
      </c>
      <c r="AG31" s="40">
        <v>23</v>
      </c>
      <c r="AH31" s="41">
        <f t="shared" si="3"/>
        <v>24.4</v>
      </c>
      <c r="AI31" s="42">
        <f t="shared" si="4"/>
        <v>22.8</v>
      </c>
      <c r="AJ31" s="45">
        <f t="shared" si="5"/>
        <v>23.492307692307691</v>
      </c>
      <c r="AM31" s="44">
        <v>17</v>
      </c>
      <c r="AN31" s="40">
        <v>23.721458312857198</v>
      </c>
      <c r="AO31" s="40">
        <v>23.834579423059534</v>
      </c>
      <c r="AP31" s="40">
        <v>23.306088145728847</v>
      </c>
      <c r="AQ31" s="40">
        <v>23.408806959403272</v>
      </c>
      <c r="AR31" s="40">
        <v>23.681919065166394</v>
      </c>
      <c r="AS31" s="40">
        <v>23.609790246295184</v>
      </c>
      <c r="AT31" s="40">
        <v>22.805789529148537</v>
      </c>
      <c r="AU31" s="40">
        <v>23.006806764540162</v>
      </c>
      <c r="AV31" s="40">
        <v>22.952960958471188</v>
      </c>
      <c r="AW31" s="40">
        <v>22.852698999072828</v>
      </c>
      <c r="AX31" s="40">
        <v>22.604760645934597</v>
      </c>
      <c r="AY31" s="40">
        <v>22.852698999072828</v>
      </c>
      <c r="AZ31" s="40">
        <v>22.805789529148537</v>
      </c>
      <c r="BA31" s="41">
        <f t="shared" si="6"/>
        <v>23.834579423059534</v>
      </c>
      <c r="BB31" s="42">
        <f t="shared" si="7"/>
        <v>22.604760645934597</v>
      </c>
      <c r="BC31" s="45">
        <f t="shared" si="8"/>
        <v>23.188011352146081</v>
      </c>
    </row>
    <row r="32" spans="1:55" s="2" customFormat="1" ht="14.25" customHeight="1" x14ac:dyDescent="0.25">
      <c r="A32" s="44">
        <v>18</v>
      </c>
      <c r="B32" s="40">
        <v>24.5</v>
      </c>
      <c r="C32" s="40">
        <v>25.2</v>
      </c>
      <c r="D32" s="40">
        <v>25.8</v>
      </c>
      <c r="E32" s="40">
        <v>24.6</v>
      </c>
      <c r="F32" s="40">
        <v>23.6</v>
      </c>
      <c r="G32" s="40">
        <v>23.7</v>
      </c>
      <c r="H32" s="40">
        <v>23.8</v>
      </c>
      <c r="I32" s="40">
        <v>23.6</v>
      </c>
      <c r="J32" s="40">
        <v>25.4</v>
      </c>
      <c r="K32" s="40">
        <v>25</v>
      </c>
      <c r="L32" s="40">
        <v>25</v>
      </c>
      <c r="M32" s="40">
        <v>24.8</v>
      </c>
      <c r="N32" s="40">
        <v>24.4</v>
      </c>
      <c r="O32" s="41">
        <f t="shared" si="0"/>
        <v>25.8</v>
      </c>
      <c r="P32" s="42">
        <f t="shared" si="1"/>
        <v>23.6</v>
      </c>
      <c r="Q32" s="45">
        <f t="shared" si="2"/>
        <v>24.569230769230767</v>
      </c>
      <c r="T32" s="44">
        <v>18</v>
      </c>
      <c r="U32" s="40">
        <v>23.9</v>
      </c>
      <c r="V32" s="40">
        <v>23.9</v>
      </c>
      <c r="W32" s="40">
        <v>24.2</v>
      </c>
      <c r="X32" s="40">
        <v>23.6</v>
      </c>
      <c r="Y32" s="40">
        <v>23.4</v>
      </c>
      <c r="Z32" s="40">
        <v>23.4</v>
      </c>
      <c r="AA32" s="40">
        <v>23.6</v>
      </c>
      <c r="AB32" s="40">
        <v>23.4</v>
      </c>
      <c r="AC32" s="40">
        <v>23.8</v>
      </c>
      <c r="AD32" s="40">
        <v>23.6</v>
      </c>
      <c r="AE32" s="40">
        <v>23.8</v>
      </c>
      <c r="AF32" s="40">
        <v>23.8</v>
      </c>
      <c r="AG32" s="40">
        <v>23.8</v>
      </c>
      <c r="AH32" s="41">
        <f t="shared" si="3"/>
        <v>24.2</v>
      </c>
      <c r="AI32" s="42">
        <f t="shared" si="4"/>
        <v>23.4</v>
      </c>
      <c r="AJ32" s="45">
        <f t="shared" si="5"/>
        <v>23.707692307692312</v>
      </c>
      <c r="AM32" s="44">
        <v>18</v>
      </c>
      <c r="AN32" s="40">
        <v>23.530297217183691</v>
      </c>
      <c r="AO32" s="40">
        <v>23.211169684950409</v>
      </c>
      <c r="AP32" s="40">
        <v>23.384370540910407</v>
      </c>
      <c r="AQ32" s="40">
        <v>23.041286800704647</v>
      </c>
      <c r="AR32" s="40">
        <v>23.207812519635773</v>
      </c>
      <c r="AS32" s="40">
        <v>23.16177485482735</v>
      </c>
      <c r="AT32" s="40">
        <v>23.408806959403272</v>
      </c>
      <c r="AU32" s="40">
        <v>23.207812519635773</v>
      </c>
      <c r="AV32" s="40">
        <v>22.968814165589823</v>
      </c>
      <c r="AW32" s="40">
        <v>22.854817544971361</v>
      </c>
      <c r="AX32" s="40">
        <v>23.154171566343187</v>
      </c>
      <c r="AY32" s="40">
        <v>23.246174595512937</v>
      </c>
      <c r="AZ32" s="40">
        <v>23.42885263958334</v>
      </c>
      <c r="BA32" s="41">
        <f t="shared" si="6"/>
        <v>23.530297217183691</v>
      </c>
      <c r="BB32" s="42">
        <f t="shared" si="7"/>
        <v>22.854817544971361</v>
      </c>
      <c r="BC32" s="45">
        <f t="shared" si="8"/>
        <v>23.215858585327076</v>
      </c>
    </row>
    <row r="33" spans="1:55" s="2" customFormat="1" ht="14.25" customHeight="1" x14ac:dyDescent="0.25">
      <c r="A33" s="44">
        <v>19</v>
      </c>
      <c r="B33" s="40">
        <v>24</v>
      </c>
      <c r="C33" s="40">
        <v>25.6</v>
      </c>
      <c r="D33" s="40">
        <v>27</v>
      </c>
      <c r="E33" s="40">
        <v>28.4</v>
      </c>
      <c r="F33" s="40">
        <v>29.3</v>
      </c>
      <c r="G33" s="40">
        <v>28.6</v>
      </c>
      <c r="H33" s="40">
        <v>25.6</v>
      </c>
      <c r="I33" s="40">
        <v>25.2</v>
      </c>
      <c r="J33" s="40">
        <v>25</v>
      </c>
      <c r="K33" s="40">
        <v>24.6</v>
      </c>
      <c r="L33" s="40">
        <v>24.5</v>
      </c>
      <c r="M33" s="40">
        <v>24.5</v>
      </c>
      <c r="N33" s="40">
        <v>24.3</v>
      </c>
      <c r="O33" s="41">
        <f t="shared" si="0"/>
        <v>29.3</v>
      </c>
      <c r="P33" s="42">
        <f t="shared" si="1"/>
        <v>24</v>
      </c>
      <c r="Q33" s="45">
        <f t="shared" si="2"/>
        <v>25.892307692307693</v>
      </c>
      <c r="T33" s="44">
        <v>19</v>
      </c>
      <c r="U33" s="40">
        <v>23.2</v>
      </c>
      <c r="V33" s="40">
        <v>23.8</v>
      </c>
      <c r="W33" s="40">
        <v>24</v>
      </c>
      <c r="X33" s="40">
        <v>25</v>
      </c>
      <c r="Y33" s="40">
        <v>25.3</v>
      </c>
      <c r="Z33" s="40">
        <v>25.3</v>
      </c>
      <c r="AA33" s="40">
        <v>25</v>
      </c>
      <c r="AB33" s="40">
        <v>25</v>
      </c>
      <c r="AC33" s="40">
        <v>24.7</v>
      </c>
      <c r="AD33" s="40">
        <v>24.5</v>
      </c>
      <c r="AE33" s="40">
        <v>24.5</v>
      </c>
      <c r="AF33" s="40">
        <v>24.4</v>
      </c>
      <c r="AG33" s="40">
        <v>24.3</v>
      </c>
      <c r="AH33" s="41">
        <f t="shared" si="3"/>
        <v>25.3</v>
      </c>
      <c r="AI33" s="42">
        <f t="shared" si="4"/>
        <v>23.2</v>
      </c>
      <c r="AJ33" s="45">
        <f t="shared" si="5"/>
        <v>24.538461538461533</v>
      </c>
      <c r="AM33" s="44">
        <v>19</v>
      </c>
      <c r="AN33" s="40">
        <v>22.725900467116261</v>
      </c>
      <c r="AO33" s="40">
        <v>22.875450234951316</v>
      </c>
      <c r="AP33" s="40">
        <v>22.520565860984291</v>
      </c>
      <c r="AQ33" s="40">
        <v>23.412597481878489</v>
      </c>
      <c r="AR33" s="40">
        <v>23.466413061032977</v>
      </c>
      <c r="AS33" s="40">
        <v>23.781347522481425</v>
      </c>
      <c r="AT33" s="40">
        <v>24.645631305674684</v>
      </c>
      <c r="AU33" s="40">
        <v>24.815464548130311</v>
      </c>
      <c r="AV33" s="40">
        <v>24.471093539118453</v>
      </c>
      <c r="AW33" s="40">
        <v>24.356489057123081</v>
      </c>
      <c r="AX33" s="40">
        <v>24.399733947197095</v>
      </c>
      <c r="AY33" s="40">
        <v>24.256245376108666</v>
      </c>
      <c r="AZ33" s="40">
        <v>24.199699998694822</v>
      </c>
      <c r="BA33" s="41">
        <f t="shared" si="6"/>
        <v>24.815464548130311</v>
      </c>
      <c r="BB33" s="42">
        <f t="shared" si="7"/>
        <v>22.520565860984291</v>
      </c>
      <c r="BC33" s="45">
        <f t="shared" si="8"/>
        <v>23.840510184653223</v>
      </c>
    </row>
    <row r="34" spans="1:55" s="2" customFormat="1" ht="14.25" customHeight="1" x14ac:dyDescent="0.25">
      <c r="A34" s="44">
        <v>20</v>
      </c>
      <c r="B34" s="40">
        <v>24.6</v>
      </c>
      <c r="C34" s="40">
        <v>25.1</v>
      </c>
      <c r="D34" s="40">
        <v>26.4</v>
      </c>
      <c r="E34" s="40">
        <v>27.8</v>
      </c>
      <c r="F34" s="40">
        <v>28.3</v>
      </c>
      <c r="G34" s="40">
        <v>27.4</v>
      </c>
      <c r="H34" s="40">
        <v>27.7</v>
      </c>
      <c r="I34" s="40">
        <v>26</v>
      </c>
      <c r="J34" s="40">
        <v>25.6</v>
      </c>
      <c r="K34" s="40">
        <v>24.8</v>
      </c>
      <c r="L34" s="40">
        <v>24.6</v>
      </c>
      <c r="M34" s="40">
        <v>24.6</v>
      </c>
      <c r="N34" s="40">
        <v>24.4</v>
      </c>
      <c r="O34" s="41">
        <f t="shared" si="0"/>
        <v>28.3</v>
      </c>
      <c r="P34" s="42">
        <f t="shared" si="1"/>
        <v>24.4</v>
      </c>
      <c r="Q34" s="45">
        <f t="shared" si="2"/>
        <v>25.946153846153848</v>
      </c>
      <c r="T34" s="44">
        <v>20</v>
      </c>
      <c r="U34" s="40">
        <v>23.7</v>
      </c>
      <c r="V34" s="40">
        <v>24.3</v>
      </c>
      <c r="W34" s="40">
        <v>25</v>
      </c>
      <c r="X34" s="40">
        <v>25.2</v>
      </c>
      <c r="Y34" s="40">
        <v>25.5</v>
      </c>
      <c r="Z34" s="40">
        <v>25.6</v>
      </c>
      <c r="AA34" s="40">
        <v>25.1</v>
      </c>
      <c r="AB34" s="40">
        <v>24.6</v>
      </c>
      <c r="AC34" s="40">
        <v>24.6</v>
      </c>
      <c r="AD34" s="40">
        <v>24</v>
      </c>
      <c r="AE34" s="40">
        <v>24</v>
      </c>
      <c r="AF34" s="40">
        <v>24</v>
      </c>
      <c r="AG34" s="40">
        <v>23.8</v>
      </c>
      <c r="AH34" s="41">
        <f t="shared" si="3"/>
        <v>25.6</v>
      </c>
      <c r="AI34" s="42">
        <f t="shared" si="4"/>
        <v>23.7</v>
      </c>
      <c r="AJ34" s="45">
        <f t="shared" si="5"/>
        <v>24.569230769230771</v>
      </c>
      <c r="AM34" s="44">
        <v>20</v>
      </c>
      <c r="AN34" s="40">
        <v>23.189820548177124</v>
      </c>
      <c r="AO34" s="40">
        <v>23.847270187412668</v>
      </c>
      <c r="AP34" s="40">
        <v>24.301383345836562</v>
      </c>
      <c r="AQ34" s="40">
        <v>23.985178287701391</v>
      </c>
      <c r="AR34" s="40">
        <v>24.215974330546651</v>
      </c>
      <c r="AS34" s="40">
        <v>24.751230598214192</v>
      </c>
      <c r="AT34" s="40">
        <v>23.879159206070124</v>
      </c>
      <c r="AU34" s="40">
        <v>23.88848726151063</v>
      </c>
      <c r="AV34" s="40">
        <v>24.06513901073685</v>
      </c>
      <c r="AW34" s="40">
        <v>23.541582806104632</v>
      </c>
      <c r="AX34" s="40">
        <v>23.631733166285724</v>
      </c>
      <c r="AY34" s="40">
        <v>23.631733166285724</v>
      </c>
      <c r="AZ34" s="40">
        <v>23.42885263958334</v>
      </c>
      <c r="BA34" s="41">
        <f t="shared" si="6"/>
        <v>24.751230598214192</v>
      </c>
      <c r="BB34" s="42">
        <f t="shared" si="7"/>
        <v>23.189820548177124</v>
      </c>
      <c r="BC34" s="45">
        <f t="shared" si="8"/>
        <v>23.873657273420427</v>
      </c>
    </row>
    <row r="35" spans="1:55" s="2" customFormat="1" ht="14.25" customHeight="1" x14ac:dyDescent="0.25">
      <c r="A35" s="44">
        <v>21</v>
      </c>
      <c r="B35" s="40">
        <v>24.7</v>
      </c>
      <c r="C35" s="40">
        <v>25.4</v>
      </c>
      <c r="D35" s="40">
        <v>26.5</v>
      </c>
      <c r="E35" s="40">
        <v>27.2</v>
      </c>
      <c r="F35" s="40">
        <v>28.6</v>
      </c>
      <c r="G35" s="40">
        <v>25.7</v>
      </c>
      <c r="H35" s="40">
        <v>25</v>
      </c>
      <c r="I35" s="40">
        <v>25.2</v>
      </c>
      <c r="J35" s="40">
        <v>25.2</v>
      </c>
      <c r="K35" s="40">
        <v>24.8</v>
      </c>
      <c r="L35" s="40">
        <v>24.3</v>
      </c>
      <c r="M35" s="40">
        <v>23.5</v>
      </c>
      <c r="N35" s="40">
        <v>23.5</v>
      </c>
      <c r="O35" s="41">
        <f t="shared" si="0"/>
        <v>28.6</v>
      </c>
      <c r="P35" s="42">
        <f t="shared" si="1"/>
        <v>23.5</v>
      </c>
      <c r="Q35" s="45">
        <f t="shared" si="2"/>
        <v>25.353846153846153</v>
      </c>
      <c r="T35" s="44">
        <v>21</v>
      </c>
      <c r="U35" s="40">
        <v>24</v>
      </c>
      <c r="V35" s="40">
        <v>24.4</v>
      </c>
      <c r="W35" s="40">
        <v>24.6</v>
      </c>
      <c r="X35" s="40">
        <v>25</v>
      </c>
      <c r="Y35" s="40">
        <v>25.7</v>
      </c>
      <c r="Z35" s="40">
        <v>24.2</v>
      </c>
      <c r="AA35" s="40">
        <v>23.8</v>
      </c>
      <c r="AB35" s="40">
        <v>24</v>
      </c>
      <c r="AC35" s="40">
        <v>23.8</v>
      </c>
      <c r="AD35" s="40">
        <v>23.4</v>
      </c>
      <c r="AE35" s="40">
        <v>23.8</v>
      </c>
      <c r="AF35" s="40">
        <v>22.8</v>
      </c>
      <c r="AG35" s="40">
        <v>23</v>
      </c>
      <c r="AH35" s="41">
        <f t="shared" si="3"/>
        <v>25.7</v>
      </c>
      <c r="AI35" s="42">
        <f t="shared" si="4"/>
        <v>22.8</v>
      </c>
      <c r="AJ35" s="45">
        <f t="shared" si="5"/>
        <v>24.038461538461544</v>
      </c>
      <c r="AM35" s="44">
        <v>21</v>
      </c>
      <c r="AN35" s="40">
        <v>23.586711408924462</v>
      </c>
      <c r="AO35" s="40">
        <v>23.860484247779919</v>
      </c>
      <c r="AP35" s="40">
        <v>23.665345072616162</v>
      </c>
      <c r="AQ35" s="40">
        <v>23.950825647173037</v>
      </c>
      <c r="AR35" s="40">
        <v>24.385449493437868</v>
      </c>
      <c r="AS35" s="40">
        <v>23.42987425288819</v>
      </c>
      <c r="AT35" s="40">
        <v>23.154171566343187</v>
      </c>
      <c r="AU35" s="40">
        <v>23.359988927625103</v>
      </c>
      <c r="AV35" s="40">
        <v>23.061719670002304</v>
      </c>
      <c r="AW35" s="40">
        <v>22.647828842860125</v>
      </c>
      <c r="AX35" s="40">
        <v>23.474248808962582</v>
      </c>
      <c r="AY35" s="40">
        <v>22.365904409973691</v>
      </c>
      <c r="AZ35" s="40">
        <v>22.664358131383011</v>
      </c>
      <c r="BA35" s="41">
        <f t="shared" si="6"/>
        <v>24.385449493437868</v>
      </c>
      <c r="BB35" s="42">
        <f t="shared" si="7"/>
        <v>22.365904409973691</v>
      </c>
      <c r="BC35" s="45">
        <f t="shared" si="8"/>
        <v>23.354377729228435</v>
      </c>
    </row>
    <row r="36" spans="1:55" s="2" customFormat="1" ht="14.25" customHeight="1" x14ac:dyDescent="0.25">
      <c r="A36" s="44">
        <v>22</v>
      </c>
      <c r="B36" s="40">
        <v>23.8</v>
      </c>
      <c r="C36" s="40">
        <v>25</v>
      </c>
      <c r="D36" s="40">
        <v>27</v>
      </c>
      <c r="E36" s="40">
        <v>28.2</v>
      </c>
      <c r="F36" s="40">
        <v>29.6</v>
      </c>
      <c r="G36" s="40">
        <v>30.4</v>
      </c>
      <c r="H36" s="40">
        <v>31.5</v>
      </c>
      <c r="I36" s="40">
        <v>31.9</v>
      </c>
      <c r="J36" s="40">
        <v>31</v>
      </c>
      <c r="K36" s="40">
        <v>29.4</v>
      </c>
      <c r="L36" s="40">
        <v>28</v>
      </c>
      <c r="M36" s="40">
        <v>27.2</v>
      </c>
      <c r="N36" s="40">
        <v>26.5</v>
      </c>
      <c r="O36" s="41">
        <f t="shared" si="0"/>
        <v>31.9</v>
      </c>
      <c r="P36" s="42">
        <f t="shared" si="1"/>
        <v>23.8</v>
      </c>
      <c r="Q36" s="45">
        <f t="shared" si="2"/>
        <v>28.42307692307692</v>
      </c>
      <c r="T36" s="44">
        <v>22</v>
      </c>
      <c r="U36" s="40">
        <v>22.4</v>
      </c>
      <c r="V36" s="40">
        <v>23</v>
      </c>
      <c r="W36" s="40">
        <v>23.8</v>
      </c>
      <c r="X36" s="40">
        <v>24.2</v>
      </c>
      <c r="Y36" s="40">
        <v>24.8</v>
      </c>
      <c r="Z36" s="40">
        <v>25.5</v>
      </c>
      <c r="AA36" s="40">
        <v>25.8</v>
      </c>
      <c r="AB36" s="40">
        <v>25.6</v>
      </c>
      <c r="AC36" s="40">
        <v>25.9</v>
      </c>
      <c r="AD36" s="40">
        <v>25.2</v>
      </c>
      <c r="AE36" s="40">
        <v>25.1</v>
      </c>
      <c r="AF36" s="40">
        <v>24.8</v>
      </c>
      <c r="AG36" s="40">
        <v>24.9</v>
      </c>
      <c r="AH36" s="41">
        <f t="shared" si="3"/>
        <v>25.9</v>
      </c>
      <c r="AI36" s="42">
        <f t="shared" si="4"/>
        <v>22.4</v>
      </c>
      <c r="AJ36" s="45">
        <f t="shared" si="5"/>
        <v>24.692307692307693</v>
      </c>
      <c r="AM36" s="44">
        <v>22</v>
      </c>
      <c r="AN36" s="40">
        <v>21.611541107226305</v>
      </c>
      <c r="AO36" s="40">
        <v>21.940827013458751</v>
      </c>
      <c r="AP36" s="40">
        <v>22.208645027327083</v>
      </c>
      <c r="AQ36" s="40">
        <v>22.258119917094085</v>
      </c>
      <c r="AR36" s="40">
        <v>22.540866348822316</v>
      </c>
      <c r="AS36" s="40">
        <v>23.277303667603046</v>
      </c>
      <c r="AT36" s="40">
        <v>23.248544977175634</v>
      </c>
      <c r="AU36" s="40">
        <v>22.740306538489683</v>
      </c>
      <c r="AV36" s="40">
        <v>23.633903227396075</v>
      </c>
      <c r="AW36" s="40">
        <v>23.265416041293889</v>
      </c>
      <c r="AX36" s="40">
        <v>23.745517608194067</v>
      </c>
      <c r="AY36" s="40">
        <v>23.650934676208223</v>
      </c>
      <c r="AZ36" s="40">
        <v>24.110679096015026</v>
      </c>
      <c r="BA36" s="41">
        <f t="shared" si="6"/>
        <v>24.110679096015026</v>
      </c>
      <c r="BB36" s="42">
        <f t="shared" si="7"/>
        <v>21.611541107226305</v>
      </c>
      <c r="BC36" s="45">
        <f t="shared" si="8"/>
        <v>22.94096963433109</v>
      </c>
    </row>
    <row r="37" spans="1:55" s="2" customFormat="1" ht="14.25" customHeight="1" x14ac:dyDescent="0.25">
      <c r="A37" s="44">
        <v>23</v>
      </c>
      <c r="B37" s="40">
        <v>26.3</v>
      </c>
      <c r="C37" s="40">
        <v>27.2</v>
      </c>
      <c r="D37" s="40">
        <v>28.6</v>
      </c>
      <c r="E37" s="40">
        <v>29.2</v>
      </c>
      <c r="F37" s="40">
        <v>29.8</v>
      </c>
      <c r="G37" s="40">
        <v>30.3</v>
      </c>
      <c r="H37" s="40">
        <v>30.9</v>
      </c>
      <c r="I37" s="40">
        <v>29.1</v>
      </c>
      <c r="J37" s="40">
        <v>28.8</v>
      </c>
      <c r="K37" s="40">
        <v>27.6</v>
      </c>
      <c r="L37" s="40">
        <v>26.8</v>
      </c>
      <c r="M37" s="40">
        <v>26.2</v>
      </c>
      <c r="N37" s="40">
        <v>26</v>
      </c>
      <c r="O37" s="41">
        <f t="shared" si="0"/>
        <v>30.9</v>
      </c>
      <c r="P37" s="42">
        <f t="shared" si="1"/>
        <v>26</v>
      </c>
      <c r="Q37" s="45">
        <f t="shared" si="2"/>
        <v>28.215384615384615</v>
      </c>
      <c r="T37" s="44">
        <v>23</v>
      </c>
      <c r="U37" s="40">
        <v>24.1</v>
      </c>
      <c r="V37" s="40">
        <v>23.9</v>
      </c>
      <c r="W37" s="40">
        <v>24.8</v>
      </c>
      <c r="X37" s="40">
        <v>25.5</v>
      </c>
      <c r="Y37" s="40">
        <v>25.3</v>
      </c>
      <c r="Z37" s="40">
        <v>25.6</v>
      </c>
      <c r="AA37" s="40">
        <v>25.7</v>
      </c>
      <c r="AB37" s="40">
        <v>25</v>
      </c>
      <c r="AC37" s="40">
        <v>25.6</v>
      </c>
      <c r="AD37" s="40">
        <v>25.1</v>
      </c>
      <c r="AE37" s="40">
        <v>24.8</v>
      </c>
      <c r="AF37" s="40">
        <v>24.4</v>
      </c>
      <c r="AG37" s="40">
        <v>24.2</v>
      </c>
      <c r="AH37" s="41">
        <f t="shared" si="3"/>
        <v>25.7</v>
      </c>
      <c r="AI37" s="42">
        <f t="shared" si="4"/>
        <v>23.9</v>
      </c>
      <c r="AJ37" s="45">
        <f t="shared" si="5"/>
        <v>24.92307692307692</v>
      </c>
      <c r="AM37" s="44">
        <v>23</v>
      </c>
      <c r="AN37" s="40">
        <v>23.003657859506184</v>
      </c>
      <c r="AO37" s="40">
        <v>22.268559142983406</v>
      </c>
      <c r="AP37" s="40">
        <v>23.011327145203094</v>
      </c>
      <c r="AQ37" s="40">
        <v>23.819337756018118</v>
      </c>
      <c r="AR37" s="40">
        <v>23.238220957061539</v>
      </c>
      <c r="AS37" s="40">
        <v>23.479887102847229</v>
      </c>
      <c r="AT37" s="40">
        <v>23.364279163022189</v>
      </c>
      <c r="AU37" s="40">
        <v>23.091443449890949</v>
      </c>
      <c r="AV37" s="40">
        <v>24.148033521051371</v>
      </c>
      <c r="AW37" s="40">
        <v>23.92349895424092</v>
      </c>
      <c r="AX37" s="40">
        <v>23.829794165744062</v>
      </c>
      <c r="AY37" s="40">
        <v>23.501662544126386</v>
      </c>
      <c r="AZ37" s="40">
        <v>23.293034575471221</v>
      </c>
      <c r="BA37" s="41">
        <f t="shared" si="6"/>
        <v>24.148033521051371</v>
      </c>
      <c r="BB37" s="42">
        <f t="shared" si="7"/>
        <v>22.268559142983406</v>
      </c>
      <c r="BC37" s="45">
        <f t="shared" si="8"/>
        <v>23.382518179782053</v>
      </c>
    </row>
    <row r="38" spans="1:55" s="2" customFormat="1" ht="14.25" customHeight="1" x14ac:dyDescent="0.25">
      <c r="A38" s="44">
        <v>24</v>
      </c>
      <c r="B38" s="40">
        <v>25.5</v>
      </c>
      <c r="C38" s="40">
        <v>26.6</v>
      </c>
      <c r="D38" s="40">
        <v>27</v>
      </c>
      <c r="E38" s="40">
        <v>27.6</v>
      </c>
      <c r="F38" s="40">
        <v>30</v>
      </c>
      <c r="G38" s="40">
        <v>30.1</v>
      </c>
      <c r="H38" s="40">
        <v>29.2</v>
      </c>
      <c r="I38" s="40">
        <v>26.1</v>
      </c>
      <c r="J38" s="40">
        <v>25.6</v>
      </c>
      <c r="K38" s="40">
        <v>24.5</v>
      </c>
      <c r="L38" s="40">
        <v>24.6</v>
      </c>
      <c r="M38" s="40">
        <v>24</v>
      </c>
      <c r="N38" s="40">
        <v>23.6</v>
      </c>
      <c r="O38" s="41">
        <f t="shared" si="0"/>
        <v>30.1</v>
      </c>
      <c r="P38" s="42">
        <f t="shared" si="1"/>
        <v>23.6</v>
      </c>
      <c r="Q38" s="45">
        <f t="shared" si="2"/>
        <v>26.492307692307691</v>
      </c>
      <c r="T38" s="44">
        <v>24</v>
      </c>
      <c r="U38" s="40">
        <v>23.3</v>
      </c>
      <c r="V38" s="40">
        <v>23.8</v>
      </c>
      <c r="W38" s="40">
        <v>24.6</v>
      </c>
      <c r="X38" s="40">
        <v>25</v>
      </c>
      <c r="Y38" s="40">
        <v>25</v>
      </c>
      <c r="Z38" s="40">
        <v>25.1</v>
      </c>
      <c r="AA38" s="40">
        <v>25.4</v>
      </c>
      <c r="AB38" s="40">
        <v>23.8</v>
      </c>
      <c r="AC38" s="40">
        <v>23.8</v>
      </c>
      <c r="AD38" s="40">
        <v>23.4</v>
      </c>
      <c r="AE38" s="40">
        <v>23.6</v>
      </c>
      <c r="AF38" s="40">
        <v>23</v>
      </c>
      <c r="AG38" s="40">
        <v>22.8</v>
      </c>
      <c r="AH38" s="41">
        <f t="shared" si="3"/>
        <v>25.4</v>
      </c>
      <c r="AI38" s="42">
        <f t="shared" si="4"/>
        <v>22.8</v>
      </c>
      <c r="AJ38" s="45">
        <f t="shared" si="5"/>
        <v>24.046153846153853</v>
      </c>
      <c r="AM38" s="44">
        <v>24</v>
      </c>
      <c r="AN38" s="40">
        <v>22.15940523961633</v>
      </c>
      <c r="AO38" s="40">
        <v>22.401579926224102</v>
      </c>
      <c r="AP38" s="40">
        <v>23.439555090650348</v>
      </c>
      <c r="AQ38" s="40">
        <v>23.773101758937997</v>
      </c>
      <c r="AR38" s="40">
        <v>22.670362668359488</v>
      </c>
      <c r="AS38" s="40">
        <v>22.782741762943349</v>
      </c>
      <c r="AT38" s="40">
        <v>23.665869730219789</v>
      </c>
      <c r="AU38" s="40">
        <v>22.640002457234171</v>
      </c>
      <c r="AV38" s="40">
        <v>22.875450234951316</v>
      </c>
      <c r="AW38" s="40">
        <v>22.789387257958612</v>
      </c>
      <c r="AX38" s="40">
        <v>23.041286800704647</v>
      </c>
      <c r="AY38" s="40">
        <v>22.426257580226199</v>
      </c>
      <c r="AZ38" s="40">
        <v>22.317767571519479</v>
      </c>
      <c r="BA38" s="41">
        <f t="shared" si="6"/>
        <v>23.773101758937997</v>
      </c>
      <c r="BB38" s="42">
        <f t="shared" si="7"/>
        <v>22.15940523961633</v>
      </c>
      <c r="BC38" s="45">
        <f t="shared" si="8"/>
        <v>22.84482831381122</v>
      </c>
    </row>
    <row r="39" spans="1:55" s="2" customFormat="1" ht="14.25" customHeight="1" x14ac:dyDescent="0.25">
      <c r="A39" s="44">
        <v>25</v>
      </c>
      <c r="B39" s="40">
        <v>24.2</v>
      </c>
      <c r="C39" s="40">
        <v>27.4</v>
      </c>
      <c r="D39" s="40">
        <v>28.2</v>
      </c>
      <c r="E39" s="40">
        <v>28.8</v>
      </c>
      <c r="F39" s="40">
        <v>29.9</v>
      </c>
      <c r="G39" s="40">
        <v>26.6</v>
      </c>
      <c r="H39" s="40">
        <v>29.8</v>
      </c>
      <c r="I39" s="40">
        <v>27.8</v>
      </c>
      <c r="J39" s="40">
        <v>25.2</v>
      </c>
      <c r="K39" s="40">
        <v>24.6</v>
      </c>
      <c r="L39" s="40">
        <v>24.4</v>
      </c>
      <c r="M39" s="40">
        <v>24.2</v>
      </c>
      <c r="N39" s="40">
        <v>24</v>
      </c>
      <c r="O39" s="41">
        <f t="shared" si="0"/>
        <v>29.9</v>
      </c>
      <c r="P39" s="42">
        <f t="shared" si="1"/>
        <v>24</v>
      </c>
      <c r="Q39" s="45">
        <f t="shared" si="2"/>
        <v>26.546153846153842</v>
      </c>
      <c r="T39" s="44">
        <v>25</v>
      </c>
      <c r="U39" s="40">
        <v>23.2</v>
      </c>
      <c r="V39" s="40">
        <v>24</v>
      </c>
      <c r="W39" s="40">
        <v>24.6</v>
      </c>
      <c r="X39" s="40">
        <v>24.6</v>
      </c>
      <c r="Y39" s="40">
        <v>24.6</v>
      </c>
      <c r="Z39" s="40">
        <v>24.9</v>
      </c>
      <c r="AA39" s="40">
        <v>25.2</v>
      </c>
      <c r="AB39" s="40">
        <v>24.4</v>
      </c>
      <c r="AC39" s="40">
        <v>24.2</v>
      </c>
      <c r="AD39" s="40">
        <v>24</v>
      </c>
      <c r="AE39" s="40">
        <v>24</v>
      </c>
      <c r="AF39" s="40">
        <v>23.8</v>
      </c>
      <c r="AG39" s="40">
        <v>23.4</v>
      </c>
      <c r="AH39" s="41">
        <f t="shared" si="3"/>
        <v>25.2</v>
      </c>
      <c r="AI39" s="42">
        <f t="shared" si="4"/>
        <v>23.2</v>
      </c>
      <c r="AJ39" s="45">
        <f t="shared" si="5"/>
        <v>24.223076923076921</v>
      </c>
      <c r="AM39" s="44">
        <v>25</v>
      </c>
      <c r="AN39" s="40">
        <v>22.631329178936141</v>
      </c>
      <c r="AO39" s="40">
        <v>22.328850061942795</v>
      </c>
      <c r="AP39" s="40">
        <v>22.886439940964369</v>
      </c>
      <c r="AQ39" s="40">
        <v>22.603699197462753</v>
      </c>
      <c r="AR39" s="40">
        <v>22.07406509164646</v>
      </c>
      <c r="AS39" s="40">
        <v>24.066773325049194</v>
      </c>
      <c r="AT39" s="40">
        <v>23.081131949841016</v>
      </c>
      <c r="AU39" s="40">
        <v>22.763008641813652</v>
      </c>
      <c r="AV39" s="40">
        <v>23.655772475405435</v>
      </c>
      <c r="AW39" s="40">
        <v>23.631733166285724</v>
      </c>
      <c r="AX39" s="40">
        <v>23.721458312857198</v>
      </c>
      <c r="AY39" s="40">
        <v>23.519536764728979</v>
      </c>
      <c r="AZ39" s="40">
        <v>23.022986804446777</v>
      </c>
      <c r="BA39" s="41">
        <f t="shared" si="6"/>
        <v>24.066773325049194</v>
      </c>
      <c r="BB39" s="42">
        <f t="shared" si="7"/>
        <v>22.07406509164646</v>
      </c>
      <c r="BC39" s="45">
        <f t="shared" si="8"/>
        <v>23.075906531644652</v>
      </c>
    </row>
    <row r="40" spans="1:55" s="2" customFormat="1" ht="14.25" customHeight="1" x14ac:dyDescent="0.25">
      <c r="A40" s="44">
        <v>26</v>
      </c>
      <c r="B40" s="40">
        <v>22.7</v>
      </c>
      <c r="C40" s="40">
        <v>23</v>
      </c>
      <c r="D40" s="40">
        <v>23.7</v>
      </c>
      <c r="E40" s="40">
        <v>24.7</v>
      </c>
      <c r="F40" s="40">
        <v>25</v>
      </c>
      <c r="G40" s="40">
        <v>27</v>
      </c>
      <c r="H40" s="40">
        <v>27.2</v>
      </c>
      <c r="I40" s="40">
        <v>27.4</v>
      </c>
      <c r="J40" s="40">
        <v>26.4</v>
      </c>
      <c r="K40" s="40">
        <v>25.2</v>
      </c>
      <c r="L40" s="40">
        <v>24.6</v>
      </c>
      <c r="M40" s="40">
        <v>24.4</v>
      </c>
      <c r="N40" s="40">
        <v>23.8</v>
      </c>
      <c r="O40" s="41">
        <f t="shared" si="0"/>
        <v>27.4</v>
      </c>
      <c r="P40" s="42">
        <f t="shared" si="1"/>
        <v>22.7</v>
      </c>
      <c r="Q40" s="45">
        <f t="shared" si="2"/>
        <v>25.007692307692309</v>
      </c>
      <c r="T40" s="44">
        <v>26</v>
      </c>
      <c r="U40" s="40">
        <v>22.3</v>
      </c>
      <c r="V40" s="40">
        <v>22.6</v>
      </c>
      <c r="W40" s="40">
        <v>23.1</v>
      </c>
      <c r="X40" s="40">
        <v>23.3</v>
      </c>
      <c r="Y40" s="40">
        <v>23.2</v>
      </c>
      <c r="Z40" s="40">
        <v>24</v>
      </c>
      <c r="AA40" s="40">
        <v>24.4</v>
      </c>
      <c r="AB40" s="40">
        <v>24.4</v>
      </c>
      <c r="AC40" s="40">
        <v>23.8</v>
      </c>
      <c r="AD40" s="40">
        <v>23.6</v>
      </c>
      <c r="AE40" s="40">
        <v>23.4</v>
      </c>
      <c r="AF40" s="40">
        <v>23.2</v>
      </c>
      <c r="AG40" s="40">
        <v>22</v>
      </c>
      <c r="AH40" s="41">
        <f t="shared" si="3"/>
        <v>24.4</v>
      </c>
      <c r="AI40" s="42">
        <f t="shared" si="4"/>
        <v>22</v>
      </c>
      <c r="AJ40" s="45">
        <f t="shared" si="5"/>
        <v>23.330769230769231</v>
      </c>
      <c r="AM40" s="44">
        <v>26</v>
      </c>
      <c r="AN40" s="40">
        <v>22.004376786320208</v>
      </c>
      <c r="AO40" s="40">
        <v>22.307518003209246</v>
      </c>
      <c r="AP40" s="40">
        <v>22.718493760265002</v>
      </c>
      <c r="AQ40" s="40">
        <v>22.54430162625011</v>
      </c>
      <c r="AR40" s="40">
        <v>22.248227889936057</v>
      </c>
      <c r="AS40" s="40">
        <v>22.520565860984291</v>
      </c>
      <c r="AT40" s="40">
        <v>23.043390041601409</v>
      </c>
      <c r="AU40" s="40">
        <v>22.950390620266091</v>
      </c>
      <c r="AV40" s="40">
        <v>22.497311086300893</v>
      </c>
      <c r="AW40" s="40">
        <v>22.760888764461736</v>
      </c>
      <c r="AX40" s="40">
        <v>22.742318927283165</v>
      </c>
      <c r="AY40" s="40">
        <v>22.536281516172753</v>
      </c>
      <c r="AZ40" s="40">
        <v>20.990565546323438</v>
      </c>
      <c r="BA40" s="41">
        <f t="shared" si="6"/>
        <v>23.043390041601409</v>
      </c>
      <c r="BB40" s="42">
        <f t="shared" si="7"/>
        <v>20.990565546323438</v>
      </c>
      <c r="BC40" s="45">
        <f t="shared" si="8"/>
        <v>22.451125417644185</v>
      </c>
    </row>
    <row r="41" spans="1:55" s="2" customFormat="1" ht="14.25" customHeight="1" x14ac:dyDescent="0.25">
      <c r="A41" s="44">
        <v>27</v>
      </c>
      <c r="B41" s="40">
        <v>24.1</v>
      </c>
      <c r="C41" s="40">
        <v>25</v>
      </c>
      <c r="D41" s="40">
        <v>27</v>
      </c>
      <c r="E41" s="40">
        <v>27.2</v>
      </c>
      <c r="F41" s="40">
        <v>27.9</v>
      </c>
      <c r="G41" s="40">
        <v>28</v>
      </c>
      <c r="H41" s="40">
        <v>28.4</v>
      </c>
      <c r="I41" s="40">
        <v>27.8</v>
      </c>
      <c r="J41" s="40">
        <v>27</v>
      </c>
      <c r="K41" s="40">
        <v>26.2</v>
      </c>
      <c r="L41" s="40">
        <v>25.3</v>
      </c>
      <c r="M41" s="40">
        <v>24.6</v>
      </c>
      <c r="N41" s="40">
        <v>24.3</v>
      </c>
      <c r="O41" s="41">
        <f t="shared" si="0"/>
        <v>28.4</v>
      </c>
      <c r="P41" s="42">
        <f t="shared" si="1"/>
        <v>24.1</v>
      </c>
      <c r="Q41" s="45">
        <f t="shared" si="2"/>
        <v>26.369230769230775</v>
      </c>
      <c r="T41" s="44">
        <v>27</v>
      </c>
      <c r="U41" s="40">
        <v>22.6</v>
      </c>
      <c r="V41" s="40">
        <v>23</v>
      </c>
      <c r="W41" s="40">
        <v>24</v>
      </c>
      <c r="X41" s="40">
        <v>24</v>
      </c>
      <c r="Y41" s="40">
        <v>23.8</v>
      </c>
      <c r="Z41" s="40">
        <v>24.2</v>
      </c>
      <c r="AA41" s="40">
        <v>24.2</v>
      </c>
      <c r="AB41" s="40">
        <v>23.8</v>
      </c>
      <c r="AC41" s="40">
        <v>23.4</v>
      </c>
      <c r="AD41" s="40">
        <v>22.8</v>
      </c>
      <c r="AE41" s="40">
        <v>22.5</v>
      </c>
      <c r="AF41" s="40">
        <v>22.4</v>
      </c>
      <c r="AG41" s="40">
        <v>22.6</v>
      </c>
      <c r="AH41" s="41">
        <f t="shared" si="3"/>
        <v>24.2</v>
      </c>
      <c r="AI41" s="42">
        <f t="shared" si="4"/>
        <v>22.4</v>
      </c>
      <c r="AJ41" s="45">
        <f t="shared" si="5"/>
        <v>23.330769230769231</v>
      </c>
      <c r="AM41" s="44">
        <v>27</v>
      </c>
      <c r="AN41" s="40">
        <v>21.769421969366949</v>
      </c>
      <c r="AO41" s="40">
        <v>21.940827013458751</v>
      </c>
      <c r="AP41" s="40">
        <v>22.520565860984291</v>
      </c>
      <c r="AQ41" s="40">
        <v>22.424951840849836</v>
      </c>
      <c r="AR41" s="40">
        <v>21.767160181952669</v>
      </c>
      <c r="AS41" s="40">
        <v>22.354583733692817</v>
      </c>
      <c r="AT41" s="40">
        <v>22.161158941710486</v>
      </c>
      <c r="AU41" s="40">
        <v>21.816730172619572</v>
      </c>
      <c r="AV41" s="40">
        <v>21.575871494878008</v>
      </c>
      <c r="AW41" s="40">
        <v>21.020779142687349</v>
      </c>
      <c r="AX41" s="40">
        <v>21.005185363742992</v>
      </c>
      <c r="AY41" s="40">
        <v>21.206827006453103</v>
      </c>
      <c r="AZ41" s="40">
        <v>21.669906178489494</v>
      </c>
      <c r="BA41" s="41">
        <f t="shared" si="6"/>
        <v>22.520565860984291</v>
      </c>
      <c r="BB41" s="42">
        <f t="shared" si="7"/>
        <v>21.005185363742992</v>
      </c>
      <c r="BC41" s="45">
        <f t="shared" si="8"/>
        <v>21.787228376991258</v>
      </c>
    </row>
    <row r="42" spans="1:55" s="2" customFormat="1" ht="14.25" customHeight="1" x14ac:dyDescent="0.25">
      <c r="A42" s="44">
        <v>28</v>
      </c>
      <c r="B42" s="40">
        <v>24.4</v>
      </c>
      <c r="C42" s="40">
        <v>25.6</v>
      </c>
      <c r="D42" s="40">
        <v>27.2</v>
      </c>
      <c r="E42" s="40">
        <v>27.4</v>
      </c>
      <c r="F42" s="40">
        <v>27.6</v>
      </c>
      <c r="G42" s="40">
        <v>29</v>
      </c>
      <c r="H42" s="40">
        <v>28.8</v>
      </c>
      <c r="I42" s="40">
        <v>29.1</v>
      </c>
      <c r="J42" s="40">
        <v>28.2</v>
      </c>
      <c r="K42" s="40">
        <v>27</v>
      </c>
      <c r="L42" s="40">
        <v>25.8</v>
      </c>
      <c r="M42" s="40">
        <v>25.1</v>
      </c>
      <c r="N42" s="40">
        <v>24.5</v>
      </c>
      <c r="O42" s="41">
        <f t="shared" ref="O42:O43" si="9">MAX(B42:N42)</f>
        <v>29.1</v>
      </c>
      <c r="P42" s="42">
        <f t="shared" ref="P42:P43" si="10">MIN(B42:N42)</f>
        <v>24.4</v>
      </c>
      <c r="Q42" s="45">
        <f t="shared" ref="Q42:Q43" si="11">AVERAGE(B42:N42)</f>
        <v>26.9</v>
      </c>
      <c r="T42" s="44">
        <v>28</v>
      </c>
      <c r="U42" s="40">
        <v>22.1</v>
      </c>
      <c r="V42" s="40">
        <v>22.5</v>
      </c>
      <c r="W42" s="40">
        <v>23</v>
      </c>
      <c r="X42" s="40">
        <v>23.6</v>
      </c>
      <c r="Y42" s="40">
        <v>23.4</v>
      </c>
      <c r="Z42" s="40">
        <v>24.2</v>
      </c>
      <c r="AA42" s="40">
        <v>23.5</v>
      </c>
      <c r="AB42" s="40">
        <v>23.8</v>
      </c>
      <c r="AC42" s="40">
        <v>23.2</v>
      </c>
      <c r="AD42" s="40">
        <v>22.5</v>
      </c>
      <c r="AE42" s="40">
        <v>22</v>
      </c>
      <c r="AF42" s="40">
        <v>21.8</v>
      </c>
      <c r="AG42" s="40">
        <v>21.7</v>
      </c>
      <c r="AH42" s="41">
        <f t="shared" si="3"/>
        <v>24.2</v>
      </c>
      <c r="AI42" s="42">
        <f t="shared" si="4"/>
        <v>21.7</v>
      </c>
      <c r="AJ42" s="45">
        <f t="shared" si="5"/>
        <v>22.869230769230764</v>
      </c>
      <c r="AM42" s="44">
        <v>28</v>
      </c>
      <c r="AN42" s="40">
        <v>20.836514572366013</v>
      </c>
      <c r="AO42" s="40">
        <v>20.849441138378989</v>
      </c>
      <c r="AP42" s="40">
        <v>20.826420938155657</v>
      </c>
      <c r="AQ42" s="40">
        <v>21.695530782643495</v>
      </c>
      <c r="AR42" s="40">
        <v>21.272559563855115</v>
      </c>
      <c r="AS42" s="40">
        <v>21.867237103039482</v>
      </c>
      <c r="AT42" s="40">
        <v>20.818121940520413</v>
      </c>
      <c r="AU42" s="40">
        <v>21.161844682373939</v>
      </c>
      <c r="AV42" s="40">
        <v>20.632388082150648</v>
      </c>
      <c r="AW42" s="40">
        <v>20.104845969519076</v>
      </c>
      <c r="AX42" s="40">
        <v>19.925865459971195</v>
      </c>
      <c r="AY42" s="40">
        <v>19.978562929739009</v>
      </c>
      <c r="AZ42" s="40">
        <v>20.141626920303015</v>
      </c>
      <c r="BA42" s="41">
        <f t="shared" si="6"/>
        <v>21.867237103039482</v>
      </c>
      <c r="BB42" s="42">
        <f t="shared" si="7"/>
        <v>19.925865459971195</v>
      </c>
      <c r="BC42" s="45">
        <f t="shared" si="8"/>
        <v>20.777766160232002</v>
      </c>
    </row>
    <row r="43" spans="1:55" s="2" customFormat="1" ht="14.25" customHeight="1" x14ac:dyDescent="0.25">
      <c r="A43" s="44">
        <v>29</v>
      </c>
      <c r="B43" s="40">
        <v>24.5</v>
      </c>
      <c r="C43" s="40">
        <v>25.8</v>
      </c>
      <c r="D43" s="40">
        <v>26.6</v>
      </c>
      <c r="E43" s="40">
        <v>27.6</v>
      </c>
      <c r="F43" s="40">
        <v>27.6</v>
      </c>
      <c r="G43" s="40">
        <v>28</v>
      </c>
      <c r="H43" s="40">
        <v>26.4</v>
      </c>
      <c r="I43" s="40">
        <v>26.1</v>
      </c>
      <c r="J43" s="40">
        <v>25.7</v>
      </c>
      <c r="K43" s="40">
        <v>25.4</v>
      </c>
      <c r="L43" s="40">
        <v>24.8</v>
      </c>
      <c r="M43" s="40">
        <v>24.6</v>
      </c>
      <c r="N43" s="40">
        <v>24</v>
      </c>
      <c r="O43" s="41">
        <f t="shared" si="9"/>
        <v>28</v>
      </c>
      <c r="P43" s="42">
        <f t="shared" si="10"/>
        <v>24</v>
      </c>
      <c r="Q43" s="45">
        <f t="shared" si="11"/>
        <v>25.930769230769233</v>
      </c>
      <c r="T43" s="44">
        <v>29</v>
      </c>
      <c r="U43" s="40">
        <v>22.2</v>
      </c>
      <c r="V43" s="40">
        <v>23</v>
      </c>
      <c r="W43" s="40">
        <v>23.8</v>
      </c>
      <c r="X43" s="40">
        <v>23.4</v>
      </c>
      <c r="Y43" s="40">
        <v>24.2</v>
      </c>
      <c r="Z43" s="40">
        <v>24.4</v>
      </c>
      <c r="AA43" s="40">
        <v>24.4</v>
      </c>
      <c r="AB43" s="40">
        <v>23.2</v>
      </c>
      <c r="AC43" s="40">
        <v>22.6</v>
      </c>
      <c r="AD43" s="40">
        <v>23.1</v>
      </c>
      <c r="AE43" s="40">
        <v>22.4</v>
      </c>
      <c r="AF43" s="40">
        <v>22.2</v>
      </c>
      <c r="AG43" s="40">
        <v>22.1</v>
      </c>
      <c r="AH43" s="41">
        <f t="shared" si="3"/>
        <v>24.4</v>
      </c>
      <c r="AI43" s="42">
        <f t="shared" si="4"/>
        <v>22.1</v>
      </c>
      <c r="AJ43" s="45">
        <f t="shared" si="5"/>
        <v>23.153846153846153</v>
      </c>
      <c r="AM43" s="44">
        <v>29</v>
      </c>
      <c r="AN43" s="40">
        <v>20.942923038603617</v>
      </c>
      <c r="AO43" s="40">
        <v>21.543235108904849</v>
      </c>
      <c r="AP43" s="40">
        <v>22.401579926224102</v>
      </c>
      <c r="AQ43" s="40">
        <v>21.272559563855115</v>
      </c>
      <c r="AR43" s="40">
        <v>22.546041617755499</v>
      </c>
      <c r="AS43" s="40">
        <v>22.668616177039841</v>
      </c>
      <c r="AT43" s="40">
        <v>23.41088917767016</v>
      </c>
      <c r="AU43" s="40">
        <v>21.708384753354814</v>
      </c>
      <c r="AV43" s="40">
        <v>20.958052958135458</v>
      </c>
      <c r="AW43" s="40">
        <v>21.898761722620449</v>
      </c>
      <c r="AX43" s="40">
        <v>21.104262444031402</v>
      </c>
      <c r="AY43" s="40">
        <v>20.890980177197481</v>
      </c>
      <c r="AZ43" s="40">
        <v>21.044023775352823</v>
      </c>
      <c r="BA43" s="41">
        <f t="shared" si="6"/>
        <v>23.41088917767016</v>
      </c>
      <c r="BB43" s="42">
        <f t="shared" si="7"/>
        <v>20.890980177197481</v>
      </c>
      <c r="BC43" s="45">
        <f t="shared" si="8"/>
        <v>21.722331572365043</v>
      </c>
    </row>
    <row r="44" spans="1:55" s="2" customFormat="1" ht="14.25" customHeight="1" x14ac:dyDescent="0.25">
      <c r="A44" s="44">
        <v>29</v>
      </c>
      <c r="B44" s="40">
        <v>24.1</v>
      </c>
      <c r="C44" s="40">
        <v>24.8</v>
      </c>
      <c r="D44" s="40">
        <v>25.6</v>
      </c>
      <c r="E44" s="40">
        <v>26</v>
      </c>
      <c r="F44" s="40">
        <v>25.5</v>
      </c>
      <c r="G44" s="40">
        <v>26</v>
      </c>
      <c r="H44" s="40">
        <v>26.8</v>
      </c>
      <c r="I44" s="40">
        <v>26</v>
      </c>
      <c r="J44" s="40">
        <v>25.8</v>
      </c>
      <c r="K44" s="40">
        <v>25.6</v>
      </c>
      <c r="L44" s="40">
        <v>25.4</v>
      </c>
      <c r="M44" s="40">
        <v>25.2</v>
      </c>
      <c r="N44" s="40">
        <v>24.6</v>
      </c>
      <c r="O44" s="41">
        <f t="shared" si="0"/>
        <v>26.8</v>
      </c>
      <c r="P44" s="42">
        <f t="shared" si="1"/>
        <v>24.1</v>
      </c>
      <c r="Q44" s="45">
        <f t="shared" si="2"/>
        <v>25.492307692307694</v>
      </c>
      <c r="T44" s="44">
        <v>30</v>
      </c>
      <c r="U44" s="40">
        <v>22.1</v>
      </c>
      <c r="V44" s="40">
        <v>22.4</v>
      </c>
      <c r="W44" s="40">
        <v>22.7</v>
      </c>
      <c r="X44" s="40">
        <v>22.6</v>
      </c>
      <c r="Y44" s="40">
        <v>22.3</v>
      </c>
      <c r="Z44" s="40">
        <v>22.3</v>
      </c>
      <c r="AA44" s="40">
        <v>22.9</v>
      </c>
      <c r="AB44" s="40">
        <v>22.4</v>
      </c>
      <c r="AC44" s="40">
        <v>22.4</v>
      </c>
      <c r="AD44" s="40">
        <v>22.2</v>
      </c>
      <c r="AE44" s="40">
        <v>22.2</v>
      </c>
      <c r="AF44" s="40">
        <v>22.2</v>
      </c>
      <c r="AG44" s="40">
        <v>22.4</v>
      </c>
      <c r="AH44" s="41">
        <f t="shared" si="3"/>
        <v>22.9</v>
      </c>
      <c r="AI44" s="42">
        <f t="shared" si="4"/>
        <v>22.1</v>
      </c>
      <c r="AJ44" s="45">
        <f t="shared" si="5"/>
        <v>22.392307692307689</v>
      </c>
      <c r="AM44" s="44">
        <v>30</v>
      </c>
      <c r="AN44" s="40">
        <v>20.992362950550941</v>
      </c>
      <c r="AO44" s="40">
        <v>21.104262444031402</v>
      </c>
      <c r="AP44" s="40">
        <v>21.169380824731029</v>
      </c>
      <c r="AQ44" s="40">
        <v>20.801911119096491</v>
      </c>
      <c r="AR44" s="40">
        <v>20.579223547855836</v>
      </c>
      <c r="AS44" s="40">
        <v>20.312839846532047</v>
      </c>
      <c r="AT44" s="40">
        <v>20.8715632924911</v>
      </c>
      <c r="AU44" s="40">
        <v>20.476712998006196</v>
      </c>
      <c r="AV44" s="40">
        <v>20.582787736949729</v>
      </c>
      <c r="AW44" s="40">
        <v>20.363404791773689</v>
      </c>
      <c r="AX44" s="40">
        <v>20.470126704639974</v>
      </c>
      <c r="AY44" s="40">
        <v>20.576237796236388</v>
      </c>
      <c r="AZ44" s="40">
        <v>21.206827006453103</v>
      </c>
      <c r="BA44" s="41">
        <f t="shared" si="6"/>
        <v>21.206827006453103</v>
      </c>
      <c r="BB44" s="42">
        <f t="shared" si="7"/>
        <v>20.312839846532047</v>
      </c>
      <c r="BC44" s="45">
        <f t="shared" si="8"/>
        <v>20.731357004565229</v>
      </c>
    </row>
    <row r="45" spans="1:55" s="2" customFormat="1" ht="14.25" customHeight="1" thickBot="1" x14ac:dyDescent="0.3">
      <c r="A45" s="44">
        <v>30</v>
      </c>
      <c r="B45" s="40">
        <v>25.3</v>
      </c>
      <c r="C45" s="40">
        <v>26.4</v>
      </c>
      <c r="D45" s="40">
        <v>27.2</v>
      </c>
      <c r="E45" s="40">
        <v>28.2</v>
      </c>
      <c r="F45" s="40">
        <v>28.7</v>
      </c>
      <c r="G45" s="40">
        <v>30</v>
      </c>
      <c r="H45" s="40">
        <v>30.2</v>
      </c>
      <c r="I45" s="40">
        <v>29.6</v>
      </c>
      <c r="J45" s="40">
        <v>28.6</v>
      </c>
      <c r="K45" s="40">
        <v>27.6</v>
      </c>
      <c r="L45" s="40">
        <v>26.6</v>
      </c>
      <c r="M45" s="40">
        <v>26</v>
      </c>
      <c r="N45" s="40">
        <v>25.2</v>
      </c>
      <c r="O45" s="62">
        <f t="shared" si="0"/>
        <v>30.2</v>
      </c>
      <c r="P45" s="63">
        <f t="shared" si="1"/>
        <v>25.2</v>
      </c>
      <c r="Q45" s="61">
        <f t="shared" si="2"/>
        <v>27.661538461538463</v>
      </c>
      <c r="T45" s="44">
        <v>31</v>
      </c>
      <c r="U45" s="40">
        <v>22.6</v>
      </c>
      <c r="V45" s="40">
        <v>23.2</v>
      </c>
      <c r="W45" s="40">
        <v>23.2</v>
      </c>
      <c r="X45" s="40">
        <v>23.7</v>
      </c>
      <c r="Y45" s="40">
        <v>24.4</v>
      </c>
      <c r="Z45" s="40">
        <v>24.8</v>
      </c>
      <c r="AA45" s="40">
        <v>25</v>
      </c>
      <c r="AB45" s="40">
        <v>24.6</v>
      </c>
      <c r="AC45" s="40">
        <v>24</v>
      </c>
      <c r="AD45" s="40">
        <v>23.4</v>
      </c>
      <c r="AE45" s="40">
        <v>23</v>
      </c>
      <c r="AF45" s="40">
        <v>23</v>
      </c>
      <c r="AG45" s="40">
        <v>23</v>
      </c>
      <c r="AH45" s="62">
        <f t="shared" si="3"/>
        <v>25</v>
      </c>
      <c r="AI45" s="63">
        <f t="shared" si="4"/>
        <v>22.6</v>
      </c>
      <c r="AJ45" s="61">
        <f t="shared" si="5"/>
        <v>23.684615384615384</v>
      </c>
      <c r="AM45" s="44">
        <v>31</v>
      </c>
      <c r="AN45" s="40">
        <v>21.164225573583479</v>
      </c>
      <c r="AO45" s="40">
        <v>21.558416450479999</v>
      </c>
      <c r="AP45" s="40">
        <v>21.152517335305355</v>
      </c>
      <c r="AQ45" s="40">
        <v>21.455551530472214</v>
      </c>
      <c r="AR45" s="40">
        <v>22.33447262077301</v>
      </c>
      <c r="AS45" s="40">
        <v>22.34934818078785</v>
      </c>
      <c r="AT45" s="40">
        <v>22.575500907686056</v>
      </c>
      <c r="AU45" s="40">
        <v>22.219995210731696</v>
      </c>
      <c r="AV45" s="40">
        <v>21.741688210998174</v>
      </c>
      <c r="AW45" s="40">
        <v>21.272559563855115</v>
      </c>
      <c r="AX45" s="40">
        <v>21.137007191369257</v>
      </c>
      <c r="AY45" s="40">
        <v>21.442503423907144</v>
      </c>
      <c r="AZ45" s="40">
        <v>21.842217111651138</v>
      </c>
      <c r="BA45" s="62">
        <f t="shared" si="6"/>
        <v>22.575500907686056</v>
      </c>
      <c r="BB45" s="63">
        <f t="shared" si="7"/>
        <v>21.137007191369257</v>
      </c>
      <c r="BC45" s="61">
        <f t="shared" si="8"/>
        <v>21.711231023969269</v>
      </c>
    </row>
    <row r="46" spans="1:55" s="2" customFormat="1" ht="14.25" customHeight="1" thickTop="1" x14ac:dyDescent="0.25">
      <c r="A46" s="49" t="s">
        <v>25</v>
      </c>
      <c r="B46" s="50">
        <f t="shared" ref="B46:N46" si="12">MAX(B15:B45)</f>
        <v>26.3</v>
      </c>
      <c r="C46" s="50">
        <f t="shared" si="12"/>
        <v>27.4</v>
      </c>
      <c r="D46" s="50">
        <f t="shared" si="12"/>
        <v>28.6</v>
      </c>
      <c r="E46" s="50">
        <f t="shared" si="12"/>
        <v>29.8</v>
      </c>
      <c r="F46" s="50">
        <f t="shared" si="12"/>
        <v>30.2</v>
      </c>
      <c r="G46" s="50">
        <f t="shared" si="12"/>
        <v>30.4</v>
      </c>
      <c r="H46" s="50">
        <f t="shared" si="12"/>
        <v>31.5</v>
      </c>
      <c r="I46" s="50">
        <f t="shared" si="12"/>
        <v>31.9</v>
      </c>
      <c r="J46" s="50">
        <f t="shared" si="12"/>
        <v>31</v>
      </c>
      <c r="K46" s="50">
        <f t="shared" si="12"/>
        <v>29.4</v>
      </c>
      <c r="L46" s="50">
        <f t="shared" si="12"/>
        <v>28</v>
      </c>
      <c r="M46" s="50">
        <f t="shared" si="12"/>
        <v>27.2</v>
      </c>
      <c r="N46" s="50">
        <f t="shared" si="12"/>
        <v>26.5</v>
      </c>
      <c r="O46" s="58">
        <f t="shared" si="0"/>
        <v>31.9</v>
      </c>
      <c r="P46" s="64">
        <f t="shared" si="1"/>
        <v>26.3</v>
      </c>
      <c r="Q46" s="59">
        <f t="shared" si="2"/>
        <v>29.092307692307692</v>
      </c>
      <c r="T46" s="49" t="s">
        <v>25</v>
      </c>
      <c r="U46" s="50">
        <f t="shared" ref="U46:AG46" si="13">MAX(U15:U45)</f>
        <v>24.8</v>
      </c>
      <c r="V46" s="50">
        <f t="shared" si="13"/>
        <v>24.8</v>
      </c>
      <c r="W46" s="50">
        <f t="shared" si="13"/>
        <v>25.3</v>
      </c>
      <c r="X46" s="50">
        <f t="shared" si="13"/>
        <v>25.5</v>
      </c>
      <c r="Y46" s="50">
        <f t="shared" si="13"/>
        <v>25.7</v>
      </c>
      <c r="Z46" s="50">
        <f t="shared" si="13"/>
        <v>25.7</v>
      </c>
      <c r="AA46" s="50">
        <f t="shared" si="13"/>
        <v>26</v>
      </c>
      <c r="AB46" s="50">
        <f t="shared" si="13"/>
        <v>26.1</v>
      </c>
      <c r="AC46" s="50">
        <f t="shared" si="13"/>
        <v>25.9</v>
      </c>
      <c r="AD46" s="50">
        <f t="shared" si="13"/>
        <v>25.2</v>
      </c>
      <c r="AE46" s="50">
        <f t="shared" si="13"/>
        <v>25.1</v>
      </c>
      <c r="AF46" s="50">
        <f t="shared" si="13"/>
        <v>24.9</v>
      </c>
      <c r="AG46" s="50">
        <f t="shared" si="13"/>
        <v>24.9</v>
      </c>
      <c r="AH46" s="58">
        <f t="shared" si="3"/>
        <v>26.1</v>
      </c>
      <c r="AI46" s="64">
        <f t="shared" si="4"/>
        <v>24.8</v>
      </c>
      <c r="AJ46" s="59">
        <f t="shared" si="5"/>
        <v>25.376923076923074</v>
      </c>
      <c r="AM46" s="49" t="s">
        <v>25</v>
      </c>
      <c r="AN46" s="50">
        <f t="shared" ref="AN46:AZ46" si="14">MAX(AN15:AN45)</f>
        <v>24.269737574447021</v>
      </c>
      <c r="AO46" s="50">
        <f t="shared" si="14"/>
        <v>24.051033335618328</v>
      </c>
      <c r="AP46" s="50">
        <f t="shared" si="14"/>
        <v>24.301383345836562</v>
      </c>
      <c r="AQ46" s="50">
        <f t="shared" si="14"/>
        <v>24.629832170371774</v>
      </c>
      <c r="AR46" s="50">
        <f t="shared" si="14"/>
        <v>24.485968604311463</v>
      </c>
      <c r="AS46" s="50">
        <f t="shared" si="14"/>
        <v>24.751230598214192</v>
      </c>
      <c r="AT46" s="50">
        <f t="shared" si="14"/>
        <v>24.645631305674684</v>
      </c>
      <c r="AU46" s="50">
        <f t="shared" si="14"/>
        <v>24.83284948699842</v>
      </c>
      <c r="AV46" s="50">
        <f t="shared" si="14"/>
        <v>24.471093539118453</v>
      </c>
      <c r="AW46" s="50">
        <f t="shared" si="14"/>
        <v>24.533682885158957</v>
      </c>
      <c r="AX46" s="50">
        <f t="shared" si="14"/>
        <v>24.533682885158957</v>
      </c>
      <c r="AY46" s="50">
        <f t="shared" si="14"/>
        <v>24.328707157103771</v>
      </c>
      <c r="AZ46" s="50">
        <f t="shared" si="14"/>
        <v>24.413615028458729</v>
      </c>
      <c r="BA46" s="58">
        <f t="shared" si="6"/>
        <v>24.83284948699842</v>
      </c>
      <c r="BB46" s="64">
        <f t="shared" si="7"/>
        <v>24.051033335618328</v>
      </c>
      <c r="BC46" s="59">
        <f t="shared" si="8"/>
        <v>24.480649839728564</v>
      </c>
    </row>
    <row r="47" spans="1:55" s="2" customFormat="1" ht="14.25" customHeight="1" x14ac:dyDescent="0.25">
      <c r="A47" s="44" t="s">
        <v>26</v>
      </c>
      <c r="B47" s="53">
        <f t="shared" ref="B47:N47" si="15">MIN(B15:B45)</f>
        <v>22.7</v>
      </c>
      <c r="C47" s="53">
        <f t="shared" si="15"/>
        <v>23</v>
      </c>
      <c r="D47" s="53">
        <f t="shared" si="15"/>
        <v>23.7</v>
      </c>
      <c r="E47" s="53">
        <f t="shared" si="15"/>
        <v>23.8</v>
      </c>
      <c r="F47" s="53">
        <f t="shared" si="15"/>
        <v>23.6</v>
      </c>
      <c r="G47" s="53">
        <f t="shared" si="15"/>
        <v>23.7</v>
      </c>
      <c r="H47" s="53">
        <f t="shared" si="15"/>
        <v>23.2</v>
      </c>
      <c r="I47" s="53">
        <f t="shared" si="15"/>
        <v>23.4</v>
      </c>
      <c r="J47" s="53">
        <f t="shared" si="15"/>
        <v>22.4</v>
      </c>
      <c r="K47" s="53">
        <f t="shared" si="15"/>
        <v>22.3</v>
      </c>
      <c r="L47" s="53">
        <f t="shared" si="15"/>
        <v>22.6</v>
      </c>
      <c r="M47" s="53">
        <f t="shared" si="15"/>
        <v>22.7</v>
      </c>
      <c r="N47" s="53">
        <f t="shared" si="15"/>
        <v>22.4</v>
      </c>
      <c r="O47" s="41">
        <f t="shared" si="0"/>
        <v>23.8</v>
      </c>
      <c r="P47" s="42">
        <f t="shared" si="1"/>
        <v>22.3</v>
      </c>
      <c r="Q47" s="45">
        <f t="shared" si="2"/>
        <v>23.03846153846154</v>
      </c>
      <c r="T47" s="44" t="s">
        <v>26</v>
      </c>
      <c r="U47" s="53">
        <f t="shared" ref="U47:AG47" si="16">MIN(U15:U45)</f>
        <v>22.1</v>
      </c>
      <c r="V47" s="53">
        <f t="shared" si="16"/>
        <v>22.4</v>
      </c>
      <c r="W47" s="53">
        <f t="shared" si="16"/>
        <v>22.7</v>
      </c>
      <c r="X47" s="53">
        <f t="shared" si="16"/>
        <v>22.6</v>
      </c>
      <c r="Y47" s="53">
        <f t="shared" si="16"/>
        <v>22.3</v>
      </c>
      <c r="Z47" s="53">
        <f t="shared" si="16"/>
        <v>22.3</v>
      </c>
      <c r="AA47" s="53">
        <f t="shared" si="16"/>
        <v>22.9</v>
      </c>
      <c r="AB47" s="53">
        <f t="shared" si="16"/>
        <v>22.4</v>
      </c>
      <c r="AC47" s="53">
        <f t="shared" si="16"/>
        <v>22.2</v>
      </c>
      <c r="AD47" s="53">
        <f t="shared" si="16"/>
        <v>22.1</v>
      </c>
      <c r="AE47" s="53">
        <f t="shared" si="16"/>
        <v>22</v>
      </c>
      <c r="AF47" s="53">
        <f t="shared" si="16"/>
        <v>21.8</v>
      </c>
      <c r="AG47" s="53">
        <f t="shared" si="16"/>
        <v>21.7</v>
      </c>
      <c r="AH47" s="41">
        <f t="shared" si="3"/>
        <v>22.9</v>
      </c>
      <c r="AI47" s="42">
        <f t="shared" si="4"/>
        <v>21.7</v>
      </c>
      <c r="AJ47" s="45">
        <f t="shared" si="5"/>
        <v>22.26923076923077</v>
      </c>
      <c r="AM47" s="44" t="s">
        <v>26</v>
      </c>
      <c r="AN47" s="53">
        <f t="shared" ref="AN47:AZ47" si="17">MIN(AN15:AN45)</f>
        <v>20.836514572366013</v>
      </c>
      <c r="AO47" s="53">
        <f t="shared" si="17"/>
        <v>20.849441138378989</v>
      </c>
      <c r="AP47" s="53">
        <f t="shared" si="17"/>
        <v>20.826420938155657</v>
      </c>
      <c r="AQ47" s="53">
        <f t="shared" si="17"/>
        <v>20.801911119096491</v>
      </c>
      <c r="AR47" s="53">
        <f t="shared" si="17"/>
        <v>20.579223547855836</v>
      </c>
      <c r="AS47" s="53">
        <f t="shared" si="17"/>
        <v>20.312839846532047</v>
      </c>
      <c r="AT47" s="53">
        <f t="shared" si="17"/>
        <v>20.818121940520413</v>
      </c>
      <c r="AU47" s="53">
        <f t="shared" si="17"/>
        <v>20.476712998006196</v>
      </c>
      <c r="AV47" s="53">
        <f t="shared" si="17"/>
        <v>20.582787736949729</v>
      </c>
      <c r="AW47" s="53">
        <f t="shared" si="17"/>
        <v>20.104845969519076</v>
      </c>
      <c r="AX47" s="53">
        <f t="shared" si="17"/>
        <v>19.925865459971195</v>
      </c>
      <c r="AY47" s="53">
        <f t="shared" si="17"/>
        <v>19.978562929739009</v>
      </c>
      <c r="AZ47" s="53">
        <f t="shared" si="17"/>
        <v>20.141626920303015</v>
      </c>
      <c r="BA47" s="41">
        <f t="shared" si="6"/>
        <v>20.849441138378989</v>
      </c>
      <c r="BB47" s="42">
        <f t="shared" si="7"/>
        <v>19.925865459971195</v>
      </c>
      <c r="BC47" s="45">
        <f t="shared" si="8"/>
        <v>20.479605778261053</v>
      </c>
    </row>
    <row r="48" spans="1:55" s="2" customFormat="1" ht="14.25" customHeight="1" thickBot="1" x14ac:dyDescent="0.3">
      <c r="A48" s="56" t="s">
        <v>27</v>
      </c>
      <c r="B48" s="47">
        <f t="shared" ref="B48:N48" si="18">AVERAGE(B15:B45)</f>
        <v>24.319354838709678</v>
      </c>
      <c r="C48" s="47">
        <f t="shared" si="18"/>
        <v>25.238709677419358</v>
      </c>
      <c r="D48" s="47">
        <f t="shared" si="18"/>
        <v>26.374193548387105</v>
      </c>
      <c r="E48" s="47">
        <f t="shared" si="18"/>
        <v>27.112903225806459</v>
      </c>
      <c r="F48" s="47">
        <f t="shared" si="18"/>
        <v>27.851612903225806</v>
      </c>
      <c r="G48" s="47">
        <f t="shared" si="18"/>
        <v>27.874193548387098</v>
      </c>
      <c r="H48" s="47">
        <f t="shared" si="18"/>
        <v>27.803225806451611</v>
      </c>
      <c r="I48" s="47">
        <f t="shared" si="18"/>
        <v>27.361290322580647</v>
      </c>
      <c r="J48" s="47">
        <f t="shared" si="18"/>
        <v>26.793548387096774</v>
      </c>
      <c r="K48" s="47">
        <f t="shared" si="18"/>
        <v>26.051612903225809</v>
      </c>
      <c r="L48" s="47">
        <f t="shared" si="18"/>
        <v>25.316129032258058</v>
      </c>
      <c r="M48" s="47">
        <f t="shared" si="18"/>
        <v>24.883870967741945</v>
      </c>
      <c r="N48" s="47">
        <f t="shared" si="18"/>
        <v>24.487096774193546</v>
      </c>
      <c r="O48" s="65">
        <f t="shared" si="0"/>
        <v>27.874193548387098</v>
      </c>
      <c r="P48" s="66">
        <f t="shared" si="1"/>
        <v>24.319354838709678</v>
      </c>
      <c r="Q48" s="60">
        <f t="shared" si="2"/>
        <v>26.266749379652609</v>
      </c>
      <c r="T48" s="56" t="s">
        <v>27</v>
      </c>
      <c r="U48" s="47">
        <f t="shared" ref="U48:AG48" si="19">AVERAGE(U15:U45)</f>
        <v>23.293548387096774</v>
      </c>
      <c r="V48" s="47">
        <f t="shared" si="19"/>
        <v>23.654838709677414</v>
      </c>
      <c r="W48" s="47">
        <f t="shared" si="19"/>
        <v>24.116129032258065</v>
      </c>
      <c r="X48" s="47">
        <f t="shared" si="19"/>
        <v>24.341935483870973</v>
      </c>
      <c r="Y48" s="47">
        <f t="shared" si="19"/>
        <v>24.577419354838707</v>
      </c>
      <c r="Z48" s="47">
        <f t="shared" si="19"/>
        <v>24.603225806451615</v>
      </c>
      <c r="AA48" s="47">
        <f t="shared" si="19"/>
        <v>24.722580645161294</v>
      </c>
      <c r="AB48" s="47">
        <f t="shared" si="19"/>
        <v>24.387096774193544</v>
      </c>
      <c r="AC48" s="47">
        <f t="shared" si="19"/>
        <v>24.196774193548389</v>
      </c>
      <c r="AD48" s="47">
        <f t="shared" si="19"/>
        <v>23.874193548387098</v>
      </c>
      <c r="AE48" s="47">
        <f t="shared" si="19"/>
        <v>23.693548387096776</v>
      </c>
      <c r="AF48" s="47">
        <f t="shared" si="19"/>
        <v>23.487096774193546</v>
      </c>
      <c r="AG48" s="47">
        <f t="shared" si="19"/>
        <v>23.361290322580647</v>
      </c>
      <c r="AH48" s="65">
        <f t="shared" si="3"/>
        <v>24.722580645161294</v>
      </c>
      <c r="AI48" s="66">
        <f t="shared" si="4"/>
        <v>23.293548387096774</v>
      </c>
      <c r="AJ48" s="60">
        <f t="shared" si="5"/>
        <v>24.023821339950373</v>
      </c>
      <c r="AM48" s="56" t="s">
        <v>27</v>
      </c>
      <c r="AN48" s="47">
        <f t="shared" ref="AN48:AZ48" si="20">AVERAGE(AN15:AN45)</f>
        <v>22.706848272816249</v>
      </c>
      <c r="AO48" s="47">
        <f t="shared" si="20"/>
        <v>22.817480109798122</v>
      </c>
      <c r="AP48" s="47">
        <f t="shared" si="20"/>
        <v>22.987215598640251</v>
      </c>
      <c r="AQ48" s="47">
        <f t="shared" si="20"/>
        <v>22.988301481832892</v>
      </c>
      <c r="AR48" s="47">
        <f t="shared" si="20"/>
        <v>23.011311614873151</v>
      </c>
      <c r="AS48" s="47">
        <f t="shared" si="20"/>
        <v>23.040857981078307</v>
      </c>
      <c r="AT48" s="47">
        <f t="shared" si="20"/>
        <v>23.257387243247361</v>
      </c>
      <c r="AU48" s="47">
        <f t="shared" si="20"/>
        <v>22.944812769955867</v>
      </c>
      <c r="AV48" s="47">
        <f t="shared" si="20"/>
        <v>22.912030197088658</v>
      </c>
      <c r="AW48" s="47">
        <f t="shared" si="20"/>
        <v>22.762410431620648</v>
      </c>
      <c r="AX48" s="47">
        <f t="shared" si="20"/>
        <v>22.831454738189496</v>
      </c>
      <c r="AY48" s="47">
        <f t="shared" si="20"/>
        <v>22.727748676129732</v>
      </c>
      <c r="AZ48" s="47">
        <f t="shared" si="20"/>
        <v>22.729665307033223</v>
      </c>
      <c r="BA48" s="65">
        <f t="shared" si="6"/>
        <v>23.257387243247361</v>
      </c>
      <c r="BB48" s="66">
        <f t="shared" si="7"/>
        <v>22.706848272816249</v>
      </c>
      <c r="BC48" s="60">
        <f t="shared" si="8"/>
        <v>22.901348032484918</v>
      </c>
    </row>
    <row r="49" spans="1:53" s="2" customFormat="1" ht="13.8" thickTop="1" x14ac:dyDescent="0.25">
      <c r="A49" s="1"/>
      <c r="T49" s="1"/>
      <c r="AM49" s="1"/>
    </row>
    <row r="50" spans="1:53" s="2" customFormat="1" ht="13.2" x14ac:dyDescent="0.25">
      <c r="A50" s="1"/>
      <c r="C50" s="1" t="str">
        <f>[7]QFF!C42</f>
        <v>Mengetahui,</v>
      </c>
      <c r="T50" s="1"/>
      <c r="V50" s="1" t="str">
        <f>C50</f>
        <v>Mengetahui,</v>
      </c>
      <c r="AM50" s="1"/>
      <c r="AO50" s="1" t="str">
        <f>V50</f>
        <v>Mengetahui,</v>
      </c>
    </row>
    <row r="51" spans="1:53" s="2" customFormat="1" ht="13.2" x14ac:dyDescent="0.25">
      <c r="A51" s="1"/>
      <c r="C51" s="1" t="str">
        <f>[7]QFF!C43</f>
        <v>Kepala Stasiun Klimatologi Kelas IV</v>
      </c>
      <c r="N51" s="1" t="s">
        <v>55</v>
      </c>
      <c r="T51" s="1"/>
      <c r="V51" s="1" t="str">
        <f>C51</f>
        <v>Kepala Stasiun Klimatologi Kelas IV</v>
      </c>
      <c r="AG51" s="1" t="str">
        <f>N51</f>
        <v>Yogyakarta, 04 November 2022</v>
      </c>
      <c r="AM51" s="1"/>
      <c r="AO51" s="1" t="str">
        <f>V51</f>
        <v>Kepala Stasiun Klimatologi Kelas IV</v>
      </c>
      <c r="AZ51" s="1" t="str">
        <f>AG51</f>
        <v>Yogyakarta, 04 November 2022</v>
      </c>
    </row>
    <row r="52" spans="1:53" s="2" customFormat="1" ht="13.2" x14ac:dyDescent="0.25">
      <c r="A52" s="1"/>
      <c r="C52" s="1" t="str">
        <f>[7]QFF!C44</f>
        <v>Sleman Yogyakarta</v>
      </c>
      <c r="N52" s="1" t="s">
        <v>54</v>
      </c>
      <c r="T52" s="1"/>
      <c r="V52" s="1" t="str">
        <f>C52</f>
        <v>Sleman Yogyakarta</v>
      </c>
      <c r="AF52" s="108" t="str">
        <f>N52</f>
        <v>Pengolah</v>
      </c>
      <c r="AG52" s="108"/>
      <c r="AH52" s="108"/>
      <c r="AM52" s="1"/>
      <c r="AO52" s="1" t="str">
        <f>V52</f>
        <v>Sleman Yogyakarta</v>
      </c>
      <c r="AY52" s="108" t="str">
        <f>AF52</f>
        <v>Pengolah</v>
      </c>
      <c r="AZ52" s="108"/>
      <c r="BA52" s="108"/>
    </row>
    <row r="53" spans="1:53" s="2" customFormat="1" ht="13.2" x14ac:dyDescent="0.25">
      <c r="A53" s="1"/>
      <c r="C53" s="1"/>
      <c r="N53" s="1"/>
      <c r="T53" s="1"/>
      <c r="V53" s="1"/>
      <c r="AG53" s="1"/>
      <c r="AM53" s="1"/>
      <c r="AO53" s="1"/>
      <c r="AZ53" s="1"/>
    </row>
    <row r="54" spans="1:53" s="2" customFormat="1" ht="13.2" x14ac:dyDescent="0.25">
      <c r="A54" s="1"/>
      <c r="C54" s="1"/>
      <c r="N54" s="1"/>
      <c r="T54" s="1"/>
      <c r="V54" s="1"/>
      <c r="AG54" s="1"/>
      <c r="AM54" s="1"/>
      <c r="AO54" s="1"/>
      <c r="AZ54" s="1"/>
    </row>
    <row r="55" spans="1:53" s="2" customFormat="1" ht="13.2" x14ac:dyDescent="0.25">
      <c r="A55" s="1"/>
      <c r="C55" s="1"/>
      <c r="N55" s="1"/>
      <c r="T55" s="1"/>
      <c r="V55" s="1"/>
      <c r="AG55" s="1"/>
      <c r="AM55" s="1"/>
      <c r="AO55" s="1"/>
      <c r="AZ55" s="1"/>
    </row>
    <row r="56" spans="1:53" s="2" customFormat="1" ht="13.2" x14ac:dyDescent="0.25">
      <c r="A56" s="1"/>
      <c r="C56" s="1"/>
      <c r="N56" s="1"/>
      <c r="T56" s="1"/>
      <c r="V56" s="1"/>
      <c r="AG56" s="1"/>
      <c r="AM56" s="1"/>
      <c r="AO56" s="1"/>
      <c r="AZ56" s="1"/>
    </row>
    <row r="57" spans="1:53" s="2" customFormat="1" ht="13.2" x14ac:dyDescent="0.25">
      <c r="A57" s="1"/>
      <c r="C57" s="30" t="str">
        <f>[7]QFF!C49</f>
        <v>RENI KRANINGTYAS, SP, M.Si</v>
      </c>
      <c r="N57" s="30" t="str">
        <f>[7]QFF!N49</f>
        <v xml:space="preserve">TIM PEMBUAT LAPORAN </v>
      </c>
      <c r="T57" s="1"/>
      <c r="V57" s="30" t="str">
        <f>C57</f>
        <v>RENI KRANINGTYAS, SP, M.Si</v>
      </c>
      <c r="AG57" s="30" t="str">
        <f>N57</f>
        <v xml:space="preserve">TIM PEMBUAT LAPORAN </v>
      </c>
      <c r="AM57" s="1"/>
      <c r="AO57" s="30" t="str">
        <f>V57</f>
        <v>RENI KRANINGTYAS, SP, M.Si</v>
      </c>
      <c r="AZ57" s="30" t="str">
        <f>AG57</f>
        <v xml:space="preserve">TIM PEMBUAT LAPORAN </v>
      </c>
    </row>
    <row r="58" spans="1:53" s="2" customFormat="1" ht="13.2" x14ac:dyDescent="0.25">
      <c r="A58" s="1"/>
      <c r="C58" s="1" t="str">
        <f>[7]QFF!C50</f>
        <v>NIP.  19740203 199703 2 001</v>
      </c>
      <c r="N58" s="1" t="str">
        <f>[7]QFF!N50</f>
        <v xml:space="preserve">PETUGAS OPERASIONAL </v>
      </c>
      <c r="T58" s="1"/>
      <c r="V58" s="1" t="str">
        <f>C58</f>
        <v>NIP.  19740203 199703 2 001</v>
      </c>
      <c r="AG58" s="1" t="str">
        <f>N58</f>
        <v xml:space="preserve">PETUGAS OPERASIONAL </v>
      </c>
      <c r="AM58" s="1"/>
      <c r="AO58" s="1" t="str">
        <f>V58</f>
        <v>NIP.  19740203 199703 2 001</v>
      </c>
      <c r="AZ58" s="1" t="str">
        <f>AG58</f>
        <v xml:space="preserve">PETUGAS OPERASIONAL </v>
      </c>
    </row>
    <row r="59" spans="1:53" s="2" customFormat="1" ht="13.2" x14ac:dyDescent="0.25">
      <c r="A59" s="1"/>
      <c r="T59" s="1"/>
      <c r="AM59" s="1"/>
    </row>
  </sheetData>
  <mergeCells count="71">
    <mergeCell ref="AF52:AH52"/>
    <mergeCell ref="AY52:BA52"/>
    <mergeCell ref="A1:Q1"/>
    <mergeCell ref="T1:AJ1"/>
    <mergeCell ref="AM1:BC1"/>
    <mergeCell ref="A2:Q2"/>
    <mergeCell ref="T2:AJ2"/>
    <mergeCell ref="AM2:BC2"/>
    <mergeCell ref="A3:Q3"/>
    <mergeCell ref="T3:AJ3"/>
    <mergeCell ref="AM3:BC3"/>
    <mergeCell ref="A4:Q4"/>
    <mergeCell ref="T4:AJ4"/>
    <mergeCell ref="AM4:BC4"/>
    <mergeCell ref="F13:F14"/>
    <mergeCell ref="A6:Q6"/>
    <mergeCell ref="T6:AJ6"/>
    <mergeCell ref="AM6:BC6"/>
    <mergeCell ref="A7:Q7"/>
    <mergeCell ref="T7:AJ7"/>
    <mergeCell ref="AM7:BC7"/>
    <mergeCell ref="A13:A14"/>
    <mergeCell ref="B13:B14"/>
    <mergeCell ref="C13:C14"/>
    <mergeCell ref="D13:D14"/>
    <mergeCell ref="E13:E14"/>
    <mergeCell ref="T13:T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F13:AF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T13:AT14"/>
    <mergeCell ref="AG13:AG14"/>
    <mergeCell ref="AH13:AH14"/>
    <mergeCell ref="AI13:AI14"/>
    <mergeCell ref="AJ13:AJ14"/>
    <mergeCell ref="AM13:AM14"/>
    <mergeCell ref="AN13:AN14"/>
    <mergeCell ref="AO13:AO14"/>
    <mergeCell ref="AP13:AP14"/>
    <mergeCell ref="AQ13:AQ14"/>
    <mergeCell ref="AR13:AR14"/>
    <mergeCell ref="AS13:AS14"/>
    <mergeCell ref="BA13:BA14"/>
    <mergeCell ref="BB13:BB14"/>
    <mergeCell ref="BC13:BC14"/>
    <mergeCell ref="AU13:AU14"/>
    <mergeCell ref="AV13:AV14"/>
    <mergeCell ref="AW13:AW14"/>
    <mergeCell ref="AX13:AX14"/>
    <mergeCell ref="AY13:AY14"/>
    <mergeCell ref="AZ13:AZ1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7A75-82C6-4E0F-80EB-C4FFA6A08635}">
  <sheetPr>
    <tabColor theme="9" tint="-0.249977111117893"/>
  </sheetPr>
  <dimension ref="A1:BE58"/>
  <sheetViews>
    <sheetView topLeftCell="AC1" workbookViewId="0">
      <selection activeCell="AV28" sqref="AV28"/>
    </sheetView>
  </sheetViews>
  <sheetFormatPr defaultRowHeight="14.4" x14ac:dyDescent="0.3"/>
  <sheetData>
    <row r="1" spans="1:57" x14ac:dyDescent="0.3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T1" s="104" t="s">
        <v>33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M1" s="104" t="s">
        <v>33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</row>
    <row r="2" spans="1:57" x14ac:dyDescent="0.3">
      <c r="A2" s="104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T2" s="104" t="s">
        <v>34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M2" s="104" t="s">
        <v>34</v>
      </c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</row>
    <row r="3" spans="1:57" x14ac:dyDescent="0.3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T3" s="105" t="s">
        <v>35</v>
      </c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M3" s="105" t="s">
        <v>35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</row>
    <row r="4" spans="1:57" ht="15" thickBot="1" x14ac:dyDescent="0.35">
      <c r="A4" s="106" t="s">
        <v>36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T4" s="106" t="s">
        <v>36</v>
      </c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M4" s="106" t="s">
        <v>36</v>
      </c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</row>
    <row r="5" spans="1:57" ht="6.75" customHeight="1" x14ac:dyDescent="0.3">
      <c r="A5" s="34"/>
      <c r="B5" s="34"/>
      <c r="C5" s="34"/>
      <c r="D5" s="34"/>
      <c r="E5" s="34"/>
      <c r="F5" s="34"/>
      <c r="T5" s="34"/>
      <c r="U5" s="34"/>
      <c r="V5" s="34"/>
      <c r="W5" s="34"/>
      <c r="X5" s="34"/>
      <c r="Y5" s="34"/>
      <c r="AM5" s="34"/>
      <c r="AN5" s="34"/>
      <c r="AO5" s="34"/>
      <c r="AP5" s="34"/>
      <c r="AQ5" s="34"/>
      <c r="AR5" s="34"/>
    </row>
    <row r="6" spans="1:57" x14ac:dyDescent="0.3">
      <c r="A6" s="107" t="s">
        <v>45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T6" s="107" t="s">
        <v>47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M6" s="107" t="s">
        <v>48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</row>
    <row r="7" spans="1:57" ht="14.25" customHeight="1" x14ac:dyDescent="0.3">
      <c r="A7" s="103" t="s">
        <v>52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T7" s="103" t="str">
        <f>A7</f>
        <v>BULAN  : NOVEMBER 2022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M7" s="103" t="str">
        <f>T7</f>
        <v>BULAN  : NOVEMBER 2022</v>
      </c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7" ht="7.5" customHeight="1" x14ac:dyDescent="0.3"/>
    <row r="9" spans="1:57" x14ac:dyDescent="0.3">
      <c r="A9" s="35" t="s">
        <v>37</v>
      </c>
      <c r="B9" s="35"/>
      <c r="C9" s="36" t="s">
        <v>38</v>
      </c>
      <c r="T9" s="35" t="s">
        <v>37</v>
      </c>
      <c r="U9" s="35"/>
      <c r="V9" s="36" t="s">
        <v>38</v>
      </c>
      <c r="AM9" s="35" t="s">
        <v>37</v>
      </c>
      <c r="AN9" s="35"/>
      <c r="AO9" s="36" t="s">
        <v>38</v>
      </c>
    </row>
    <row r="10" spans="1:57" x14ac:dyDescent="0.3">
      <c r="A10" t="s">
        <v>39</v>
      </c>
      <c r="B10" s="35"/>
      <c r="C10" t="s">
        <v>40</v>
      </c>
      <c r="T10" t="s">
        <v>39</v>
      </c>
      <c r="U10" s="35"/>
      <c r="V10" t="s">
        <v>40</v>
      </c>
      <c r="AM10" t="s">
        <v>39</v>
      </c>
      <c r="AN10" s="35"/>
      <c r="AO10" t="s">
        <v>40</v>
      </c>
    </row>
    <row r="11" spans="1:57" x14ac:dyDescent="0.3">
      <c r="A11" t="s">
        <v>41</v>
      </c>
      <c r="C11" t="s">
        <v>42</v>
      </c>
      <c r="P11" s="37" t="s">
        <v>43</v>
      </c>
      <c r="Q11" s="38" t="s">
        <v>44</v>
      </c>
      <c r="T11" t="s">
        <v>41</v>
      </c>
      <c r="V11" t="s">
        <v>42</v>
      </c>
      <c r="AI11" s="37" t="s">
        <v>43</v>
      </c>
      <c r="AJ11" s="38" t="s">
        <v>44</v>
      </c>
      <c r="AM11" t="s">
        <v>41</v>
      </c>
      <c r="AO11" t="s">
        <v>42</v>
      </c>
      <c r="BB11" s="37" t="s">
        <v>43</v>
      </c>
      <c r="BC11" s="38" t="s">
        <v>44</v>
      </c>
    </row>
    <row r="12" spans="1:57" s="2" customFormat="1" ht="9" customHeight="1" thickBot="1" x14ac:dyDescent="0.3">
      <c r="A12" s="1"/>
      <c r="F12" s="3"/>
      <c r="G12" s="3"/>
      <c r="H12" s="3"/>
      <c r="I12" s="3"/>
      <c r="J12" s="3"/>
      <c r="K12" s="3"/>
      <c r="L12" s="3"/>
      <c r="T12" s="1"/>
      <c r="Y12" s="3"/>
      <c r="Z12" s="3"/>
      <c r="AA12" s="3"/>
      <c r="AB12" s="3"/>
      <c r="AC12" s="3"/>
      <c r="AD12" s="3"/>
      <c r="AE12" s="3"/>
      <c r="AM12" s="1"/>
      <c r="AR12" s="3"/>
      <c r="AS12" s="3"/>
      <c r="AT12" s="3"/>
      <c r="AU12" s="3"/>
      <c r="AV12" s="3"/>
      <c r="AW12" s="3"/>
      <c r="AX12" s="3"/>
    </row>
    <row r="13" spans="1:57" s="2" customFormat="1" ht="14.25" customHeight="1" thickTop="1" x14ac:dyDescent="0.25">
      <c r="A13" s="99" t="s">
        <v>8</v>
      </c>
      <c r="B13" s="101" t="s">
        <v>9</v>
      </c>
      <c r="C13" s="101" t="s">
        <v>10</v>
      </c>
      <c r="D13" s="101" t="s">
        <v>11</v>
      </c>
      <c r="E13" s="101" t="s">
        <v>12</v>
      </c>
      <c r="F13" s="101" t="s">
        <v>13</v>
      </c>
      <c r="G13" s="101" t="s">
        <v>14</v>
      </c>
      <c r="H13" s="101" t="s">
        <v>15</v>
      </c>
      <c r="I13" s="101" t="s">
        <v>16</v>
      </c>
      <c r="J13" s="101" t="s">
        <v>17</v>
      </c>
      <c r="K13" s="101" t="s">
        <v>18</v>
      </c>
      <c r="L13" s="101" t="s">
        <v>19</v>
      </c>
      <c r="M13" s="101" t="s">
        <v>20</v>
      </c>
      <c r="N13" s="101" t="s">
        <v>21</v>
      </c>
      <c r="O13" s="97" t="s">
        <v>22</v>
      </c>
      <c r="P13" s="97" t="s">
        <v>23</v>
      </c>
      <c r="Q13" s="101" t="s">
        <v>24</v>
      </c>
      <c r="T13" s="99" t="s">
        <v>8</v>
      </c>
      <c r="U13" s="101" t="s">
        <v>9</v>
      </c>
      <c r="V13" s="101" t="s">
        <v>10</v>
      </c>
      <c r="W13" s="101" t="s">
        <v>11</v>
      </c>
      <c r="X13" s="101" t="s">
        <v>12</v>
      </c>
      <c r="Y13" s="101" t="s">
        <v>13</v>
      </c>
      <c r="Z13" s="101" t="s">
        <v>14</v>
      </c>
      <c r="AA13" s="101" t="s">
        <v>15</v>
      </c>
      <c r="AB13" s="101" t="s">
        <v>16</v>
      </c>
      <c r="AC13" s="101" t="s">
        <v>17</v>
      </c>
      <c r="AD13" s="101" t="s">
        <v>18</v>
      </c>
      <c r="AE13" s="101" t="s">
        <v>19</v>
      </c>
      <c r="AF13" s="101" t="s">
        <v>20</v>
      </c>
      <c r="AG13" s="101" t="s">
        <v>21</v>
      </c>
      <c r="AH13" s="97" t="s">
        <v>22</v>
      </c>
      <c r="AI13" s="97" t="s">
        <v>23</v>
      </c>
      <c r="AJ13" s="101" t="s">
        <v>24</v>
      </c>
      <c r="AM13" s="99" t="s">
        <v>8</v>
      </c>
      <c r="AN13" s="101" t="s">
        <v>9</v>
      </c>
      <c r="AO13" s="101" t="s">
        <v>10</v>
      </c>
      <c r="AP13" s="101" t="s">
        <v>11</v>
      </c>
      <c r="AQ13" s="101" t="s">
        <v>12</v>
      </c>
      <c r="AR13" s="101" t="s">
        <v>13</v>
      </c>
      <c r="AS13" s="101" t="s">
        <v>14</v>
      </c>
      <c r="AT13" s="101" t="s">
        <v>15</v>
      </c>
      <c r="AU13" s="101" t="s">
        <v>16</v>
      </c>
      <c r="AV13" s="101" t="s">
        <v>17</v>
      </c>
      <c r="AW13" s="101" t="s">
        <v>18</v>
      </c>
      <c r="AX13" s="101" t="s">
        <v>19</v>
      </c>
      <c r="AY13" s="101" t="s">
        <v>20</v>
      </c>
      <c r="AZ13" s="101" t="s">
        <v>21</v>
      </c>
      <c r="BA13" s="97" t="s">
        <v>22</v>
      </c>
      <c r="BB13" s="97" t="s">
        <v>23</v>
      </c>
      <c r="BC13" s="101" t="s">
        <v>24</v>
      </c>
    </row>
    <row r="14" spans="1:57" s="2" customFormat="1" ht="14.25" customHeight="1" thickBot="1" x14ac:dyDescent="0.3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98"/>
      <c r="P14" s="98"/>
      <c r="Q14" s="102"/>
      <c r="R14" s="8"/>
      <c r="S14" s="8"/>
      <c r="T14" s="100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98"/>
      <c r="AI14" s="98"/>
      <c r="AJ14" s="102"/>
      <c r="AK14" s="8"/>
      <c r="AL14" s="8"/>
      <c r="AM14" s="100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98"/>
      <c r="BB14" s="98"/>
      <c r="BC14" s="102"/>
      <c r="BD14" s="8"/>
      <c r="BE14" s="8"/>
    </row>
    <row r="15" spans="1:57" s="2" customFormat="1" ht="14.25" customHeight="1" thickTop="1" x14ac:dyDescent="0.25">
      <c r="A15" s="39">
        <v>1</v>
      </c>
      <c r="B15" s="40">
        <v>24.2</v>
      </c>
      <c r="C15" s="40">
        <v>25.4</v>
      </c>
      <c r="D15" s="40">
        <v>25.6</v>
      </c>
      <c r="E15" s="40">
        <v>26.6</v>
      </c>
      <c r="F15" s="40">
        <v>28</v>
      </c>
      <c r="G15" s="40">
        <v>25.5</v>
      </c>
      <c r="H15" s="40">
        <v>24.8</v>
      </c>
      <c r="I15" s="40">
        <v>25</v>
      </c>
      <c r="J15" s="40">
        <v>24.6</v>
      </c>
      <c r="K15" s="40">
        <v>24.4</v>
      </c>
      <c r="L15" s="40">
        <v>24</v>
      </c>
      <c r="M15" s="40">
        <v>23.7</v>
      </c>
      <c r="N15" s="40">
        <v>23.2</v>
      </c>
      <c r="O15" s="58">
        <f>MAX(B15:N15)</f>
        <v>28</v>
      </c>
      <c r="P15" s="64">
        <f>MIN(B15:N15)</f>
        <v>23.2</v>
      </c>
      <c r="Q15" s="59">
        <f>AVERAGE(B15:N15)</f>
        <v>25</v>
      </c>
      <c r="T15" s="39">
        <v>1</v>
      </c>
      <c r="U15" s="40">
        <v>22.7</v>
      </c>
      <c r="V15" s="40">
        <v>23.2</v>
      </c>
      <c r="W15" s="40">
        <v>23.8</v>
      </c>
      <c r="X15" s="40">
        <v>23.8</v>
      </c>
      <c r="Y15" s="40">
        <v>24.3</v>
      </c>
      <c r="Z15" s="40">
        <v>24.2</v>
      </c>
      <c r="AA15" s="40">
        <v>24</v>
      </c>
      <c r="AB15" s="40">
        <v>24.1</v>
      </c>
      <c r="AC15" s="40">
        <v>23.8</v>
      </c>
      <c r="AD15" s="40">
        <v>23.6</v>
      </c>
      <c r="AE15" s="40">
        <v>23.2</v>
      </c>
      <c r="AF15" s="40">
        <v>22.8</v>
      </c>
      <c r="AG15" s="40">
        <v>22.6</v>
      </c>
      <c r="AH15" s="58">
        <f>MAX(U15:AG15)</f>
        <v>24.3</v>
      </c>
      <c r="AI15" s="64">
        <f>MIN(U15:AG15)</f>
        <v>22.6</v>
      </c>
      <c r="AJ15" s="59">
        <f>AVERAGE(U15:AG15)</f>
        <v>23.54615384615385</v>
      </c>
      <c r="AM15" s="39">
        <v>1</v>
      </c>
      <c r="AN15" s="40">
        <v>21.87338092655364</v>
      </c>
      <c r="AO15" s="40">
        <v>22.053712651913379</v>
      </c>
      <c r="AP15" s="40">
        <v>22.875450234951316</v>
      </c>
      <c r="AQ15" s="40">
        <v>22.401579926224102</v>
      </c>
      <c r="AR15" s="40">
        <v>22.511967446185952</v>
      </c>
      <c r="AS15" s="40">
        <v>23.520555948119188</v>
      </c>
      <c r="AT15" s="40">
        <v>23.541582806104632</v>
      </c>
      <c r="AU15" s="40">
        <v>23.598495867136165</v>
      </c>
      <c r="AV15" s="40">
        <v>23.337733422817518</v>
      </c>
      <c r="AW15" s="40">
        <v>23.133837025841927</v>
      </c>
      <c r="AX15" s="40">
        <v>22.725900467116261</v>
      </c>
      <c r="AY15" s="40">
        <v>22.269507301736514</v>
      </c>
      <c r="AZ15" s="40">
        <v>22.210821758183659</v>
      </c>
      <c r="BA15" s="58">
        <f>MAX(AN15:AZ15)</f>
        <v>23.598495867136165</v>
      </c>
      <c r="BB15" s="64">
        <f>MIN(AN15:AZ15)</f>
        <v>21.87338092655364</v>
      </c>
      <c r="BC15" s="59">
        <f>AVERAGE(AN15:AZ15)</f>
        <v>22.773425060221864</v>
      </c>
    </row>
    <row r="16" spans="1:57" s="2" customFormat="1" ht="14.25" customHeight="1" x14ac:dyDescent="0.25">
      <c r="A16" s="44">
        <v>2</v>
      </c>
      <c r="B16" s="40">
        <v>24.4</v>
      </c>
      <c r="C16" s="40">
        <v>25.6</v>
      </c>
      <c r="D16" s="40">
        <v>27.4</v>
      </c>
      <c r="E16" s="40">
        <v>28.2</v>
      </c>
      <c r="F16" s="40">
        <v>29</v>
      </c>
      <c r="G16" s="40">
        <v>29.3</v>
      </c>
      <c r="H16" s="40">
        <v>29.9</v>
      </c>
      <c r="I16" s="40">
        <v>30</v>
      </c>
      <c r="J16" s="40">
        <v>29.6</v>
      </c>
      <c r="K16" s="40">
        <v>28.4</v>
      </c>
      <c r="L16" s="40">
        <v>26.2</v>
      </c>
      <c r="M16" s="40">
        <v>25.6</v>
      </c>
      <c r="N16" s="40">
        <v>25.7</v>
      </c>
      <c r="O16" s="54">
        <f t="shared" ref="O16:O47" si="0">MAX(B16:N16)</f>
        <v>30</v>
      </c>
      <c r="P16" s="67">
        <f t="shared" ref="P16:P47" si="1">MIN(B16:N16)</f>
        <v>24.4</v>
      </c>
      <c r="Q16" s="45">
        <f t="shared" ref="Q16:Q47" si="2">AVERAGE(B16:N16)</f>
        <v>27.638461538461538</v>
      </c>
      <c r="T16" s="44">
        <v>2</v>
      </c>
      <c r="U16" s="40">
        <v>23.8</v>
      </c>
      <c r="V16" s="40">
        <v>24.1</v>
      </c>
      <c r="W16" s="40">
        <v>24.4</v>
      </c>
      <c r="X16" s="40">
        <v>24.7</v>
      </c>
      <c r="Y16" s="40">
        <v>25.2</v>
      </c>
      <c r="Z16" s="40">
        <v>25.4</v>
      </c>
      <c r="AA16" s="40">
        <v>25.2</v>
      </c>
      <c r="AB16" s="40">
        <v>25.3</v>
      </c>
      <c r="AC16" s="40">
        <v>25.1</v>
      </c>
      <c r="AD16" s="40">
        <v>24.6</v>
      </c>
      <c r="AE16" s="40">
        <v>24.6</v>
      </c>
      <c r="AF16" s="40">
        <v>24.6</v>
      </c>
      <c r="AG16" s="40">
        <v>24.7</v>
      </c>
      <c r="AH16" s="54">
        <f t="shared" ref="AH16:AH44" si="3">MAX(U16:AG16)</f>
        <v>25.4</v>
      </c>
      <c r="AI16" s="67">
        <f t="shared" ref="AI16:AI44" si="4">MIN(U16:AG16)</f>
        <v>23.8</v>
      </c>
      <c r="AJ16" s="45">
        <f t="shared" ref="AJ16:AJ44" si="5">AVERAGE(U16:AG16)</f>
        <v>24.746153846153849</v>
      </c>
      <c r="AM16" s="44">
        <v>2</v>
      </c>
      <c r="AN16" s="40">
        <v>23.42885263958334</v>
      </c>
      <c r="AO16" s="40">
        <v>23.326270560299388</v>
      </c>
      <c r="AP16" s="40">
        <v>22.950390620266091</v>
      </c>
      <c r="AQ16" s="40">
        <v>23.041711914959809</v>
      </c>
      <c r="AR16" s="40">
        <v>23.447926951785295</v>
      </c>
      <c r="AS16" s="40">
        <v>23.620924488861387</v>
      </c>
      <c r="AT16" s="40">
        <v>23.034779498613435</v>
      </c>
      <c r="AU16" s="40">
        <v>23.146169992834317</v>
      </c>
      <c r="AV16" s="40">
        <v>23.016448789361732</v>
      </c>
      <c r="AW16" s="40">
        <v>22.792662448856582</v>
      </c>
      <c r="AX16" s="40">
        <v>23.799543842618871</v>
      </c>
      <c r="AY16" s="40">
        <v>24.06513901073685</v>
      </c>
      <c r="AZ16" s="40">
        <v>24.167445267370841</v>
      </c>
      <c r="BA16" s="54">
        <f t="shared" ref="BA16:BA44" si="6">MAX(AN16:AZ16)</f>
        <v>24.167445267370841</v>
      </c>
      <c r="BB16" s="67">
        <f t="shared" ref="BB16:BB44" si="7">MIN(AN16:AZ16)</f>
        <v>22.792662448856582</v>
      </c>
      <c r="BC16" s="45">
        <f t="shared" ref="BC16:BC44" si="8">AVERAGE(AN16:AZ16)</f>
        <v>23.372174309703688</v>
      </c>
    </row>
    <row r="17" spans="1:55" s="2" customFormat="1" ht="14.25" customHeight="1" x14ac:dyDescent="0.25">
      <c r="A17" s="44">
        <v>3</v>
      </c>
      <c r="B17" s="40">
        <v>26</v>
      </c>
      <c r="C17" s="40">
        <v>27.6</v>
      </c>
      <c r="D17" s="40">
        <v>28.3</v>
      </c>
      <c r="E17" s="40">
        <v>29.4</v>
      </c>
      <c r="F17" s="40">
        <v>29.6</v>
      </c>
      <c r="G17" s="40">
        <v>30.9</v>
      </c>
      <c r="H17" s="40">
        <v>31.5</v>
      </c>
      <c r="I17" s="40">
        <v>28.6</v>
      </c>
      <c r="J17" s="40">
        <v>27.6</v>
      </c>
      <c r="K17" s="40">
        <v>27.2</v>
      </c>
      <c r="L17" s="40">
        <v>27.3</v>
      </c>
      <c r="M17" s="40">
        <v>26</v>
      </c>
      <c r="N17" s="40">
        <v>26.1</v>
      </c>
      <c r="O17" s="54">
        <f t="shared" si="0"/>
        <v>31.5</v>
      </c>
      <c r="P17" s="67">
        <f t="shared" si="1"/>
        <v>26</v>
      </c>
      <c r="Q17" s="45">
        <f t="shared" si="2"/>
        <v>28.161538461538463</v>
      </c>
      <c r="T17" s="44">
        <v>3</v>
      </c>
      <c r="U17" s="40">
        <v>24.8</v>
      </c>
      <c r="V17" s="40">
        <v>25.2</v>
      </c>
      <c r="W17" s="40">
        <v>25.4</v>
      </c>
      <c r="X17" s="40">
        <v>25.8</v>
      </c>
      <c r="Y17" s="40">
        <v>25.9</v>
      </c>
      <c r="Z17" s="40">
        <v>26.1</v>
      </c>
      <c r="AA17" s="40">
        <v>26.7</v>
      </c>
      <c r="AB17" s="40">
        <v>26.6</v>
      </c>
      <c r="AC17" s="40">
        <v>26.2</v>
      </c>
      <c r="AD17" s="40">
        <v>25.4</v>
      </c>
      <c r="AE17" s="40">
        <v>25.5</v>
      </c>
      <c r="AF17" s="40">
        <v>25</v>
      </c>
      <c r="AG17" s="40">
        <v>25.5</v>
      </c>
      <c r="AH17" s="54">
        <f t="shared" si="3"/>
        <v>26.7</v>
      </c>
      <c r="AI17" s="67">
        <f t="shared" si="4"/>
        <v>24.8</v>
      </c>
      <c r="AJ17" s="45">
        <f t="shared" si="5"/>
        <v>25.699999999999996</v>
      </c>
      <c r="AM17" s="44">
        <v>3</v>
      </c>
      <c r="AN17" s="40">
        <v>24.182556068191992</v>
      </c>
      <c r="AO17" s="40">
        <v>24.073265773758312</v>
      </c>
      <c r="AP17" s="40">
        <v>24.065674695827873</v>
      </c>
      <c r="AQ17" s="40">
        <v>24.188619083047605</v>
      </c>
      <c r="AR17" s="40">
        <v>24.253296819562983</v>
      </c>
      <c r="AS17" s="40">
        <v>23.990519372126936</v>
      </c>
      <c r="AT17" s="40">
        <v>24.655334127386521</v>
      </c>
      <c r="AU17" s="40">
        <v>25.709266684195939</v>
      </c>
      <c r="AV17" s="40">
        <v>25.538230165142721</v>
      </c>
      <c r="AW17" s="40">
        <v>24.543223533077562</v>
      </c>
      <c r="AX17" s="40">
        <v>24.647239440719584</v>
      </c>
      <c r="AY17" s="40">
        <v>24.474280736128826</v>
      </c>
      <c r="AZ17" s="40">
        <v>25.152277439395075</v>
      </c>
      <c r="BA17" s="54">
        <f t="shared" si="6"/>
        <v>25.709266684195939</v>
      </c>
      <c r="BB17" s="67">
        <f t="shared" si="7"/>
        <v>23.990519372126936</v>
      </c>
      <c r="BC17" s="45">
        <f t="shared" si="8"/>
        <v>24.574906456812453</v>
      </c>
    </row>
    <row r="18" spans="1:55" s="2" customFormat="1" ht="14.25" customHeight="1" x14ac:dyDescent="0.25">
      <c r="A18" s="44">
        <v>4</v>
      </c>
      <c r="B18" s="40">
        <v>23.8</v>
      </c>
      <c r="C18" s="40">
        <v>25</v>
      </c>
      <c r="D18" s="40">
        <v>27</v>
      </c>
      <c r="E18" s="40">
        <v>27.9</v>
      </c>
      <c r="F18" s="40">
        <v>29.5</v>
      </c>
      <c r="G18" s="40">
        <v>29.2</v>
      </c>
      <c r="H18" s="40">
        <v>28.6</v>
      </c>
      <c r="I18" s="40">
        <v>28.6</v>
      </c>
      <c r="J18" s="40">
        <v>27.4</v>
      </c>
      <c r="K18" s="40">
        <v>26.8</v>
      </c>
      <c r="L18" s="40">
        <v>26.2</v>
      </c>
      <c r="M18" s="40">
        <v>26</v>
      </c>
      <c r="N18" s="40">
        <v>25.5</v>
      </c>
      <c r="O18" s="54">
        <f t="shared" si="0"/>
        <v>29.5</v>
      </c>
      <c r="P18" s="67">
        <f t="shared" si="1"/>
        <v>23.8</v>
      </c>
      <c r="Q18" s="45">
        <f t="shared" si="2"/>
        <v>27.038461538461533</v>
      </c>
      <c r="T18" s="44">
        <v>4</v>
      </c>
      <c r="U18" s="40">
        <v>23.1</v>
      </c>
      <c r="V18" s="40">
        <v>23.8</v>
      </c>
      <c r="W18" s="40">
        <v>24.3</v>
      </c>
      <c r="X18" s="40">
        <v>24.7</v>
      </c>
      <c r="Y18" s="40">
        <v>25.5</v>
      </c>
      <c r="Z18" s="40">
        <v>25.6</v>
      </c>
      <c r="AA18" s="40">
        <v>25.3</v>
      </c>
      <c r="AB18" s="40">
        <v>25.7</v>
      </c>
      <c r="AC18" s="40">
        <v>25.5</v>
      </c>
      <c r="AD18" s="40">
        <v>25.4</v>
      </c>
      <c r="AE18" s="40">
        <v>25.1</v>
      </c>
      <c r="AF18" s="40">
        <v>24.8</v>
      </c>
      <c r="AG18" s="40">
        <v>24.6</v>
      </c>
      <c r="AH18" s="54">
        <f t="shared" si="3"/>
        <v>25.7</v>
      </c>
      <c r="AI18" s="67">
        <f t="shared" si="4"/>
        <v>23.1</v>
      </c>
      <c r="AJ18" s="45">
        <f t="shared" si="5"/>
        <v>24.876923076923081</v>
      </c>
      <c r="AM18" s="44">
        <v>4</v>
      </c>
      <c r="AN18" s="40">
        <v>22.671249090819082</v>
      </c>
      <c r="AO18" s="40">
        <v>23.154171566343187</v>
      </c>
      <c r="AP18" s="40">
        <v>22.983124403430299</v>
      </c>
      <c r="AQ18" s="40">
        <v>23.180375201803859</v>
      </c>
      <c r="AR18" s="40">
        <v>23.685270573398039</v>
      </c>
      <c r="AS18" s="40">
        <v>23.972138646793855</v>
      </c>
      <c r="AT18" s="40">
        <v>23.781347522481425</v>
      </c>
      <c r="AU18" s="40">
        <v>24.385449493437868</v>
      </c>
      <c r="AV18" s="40">
        <v>24.604547228249363</v>
      </c>
      <c r="AW18" s="40">
        <v>24.713966644909622</v>
      </c>
      <c r="AX18" s="40">
        <v>24.533682885158957</v>
      </c>
      <c r="AY18" s="40">
        <v>24.182556068191992</v>
      </c>
      <c r="AZ18" s="40">
        <v>24.109047616405501</v>
      </c>
      <c r="BA18" s="54">
        <f t="shared" si="6"/>
        <v>24.713966644909622</v>
      </c>
      <c r="BB18" s="67">
        <f t="shared" si="7"/>
        <v>22.671249090819082</v>
      </c>
      <c r="BC18" s="45">
        <f t="shared" si="8"/>
        <v>23.842840533955627</v>
      </c>
    </row>
    <row r="19" spans="1:55" s="2" customFormat="1" ht="14.25" customHeight="1" x14ac:dyDescent="0.25">
      <c r="A19" s="44">
        <v>5</v>
      </c>
      <c r="B19" s="40">
        <v>26</v>
      </c>
      <c r="C19" s="40">
        <v>27.4</v>
      </c>
      <c r="D19" s="40">
        <v>28.2</v>
      </c>
      <c r="E19" s="40">
        <v>29.2</v>
      </c>
      <c r="F19" s="40">
        <v>30.2</v>
      </c>
      <c r="G19" s="40">
        <v>30.6</v>
      </c>
      <c r="H19" s="40">
        <v>31</v>
      </c>
      <c r="I19" s="40">
        <v>30</v>
      </c>
      <c r="J19" s="40">
        <v>27.2</v>
      </c>
      <c r="K19" s="40">
        <v>26.2</v>
      </c>
      <c r="L19" s="40">
        <v>25.3</v>
      </c>
      <c r="M19" s="40">
        <v>25.4</v>
      </c>
      <c r="N19" s="40">
        <v>25.4</v>
      </c>
      <c r="O19" s="54">
        <f t="shared" si="0"/>
        <v>31</v>
      </c>
      <c r="P19" s="67">
        <f t="shared" si="1"/>
        <v>25.3</v>
      </c>
      <c r="Q19" s="45">
        <f t="shared" si="2"/>
        <v>27.853846153846153</v>
      </c>
      <c r="T19" s="44">
        <v>5</v>
      </c>
      <c r="U19" s="40">
        <v>23.8</v>
      </c>
      <c r="V19" s="40">
        <v>25</v>
      </c>
      <c r="W19" s="40">
        <v>25.6</v>
      </c>
      <c r="X19" s="40">
        <v>26</v>
      </c>
      <c r="Y19" s="40">
        <v>26.4</v>
      </c>
      <c r="Z19" s="40">
        <v>26.4</v>
      </c>
      <c r="AA19" s="40">
        <v>26.6</v>
      </c>
      <c r="AB19" s="40">
        <v>26.3</v>
      </c>
      <c r="AC19" s="40">
        <v>25.7</v>
      </c>
      <c r="AD19" s="40">
        <v>24.9</v>
      </c>
      <c r="AE19" s="40">
        <v>24</v>
      </c>
      <c r="AF19" s="40">
        <v>24.4</v>
      </c>
      <c r="AG19" s="40">
        <v>24.7</v>
      </c>
      <c r="AH19" s="54">
        <f t="shared" si="3"/>
        <v>26.6</v>
      </c>
      <c r="AI19" s="67">
        <f t="shared" si="4"/>
        <v>23.8</v>
      </c>
      <c r="AJ19" s="45">
        <f t="shared" si="5"/>
        <v>25.369230769230764</v>
      </c>
      <c r="AM19" s="44">
        <v>5</v>
      </c>
      <c r="AN19" s="40">
        <v>22.687327425827569</v>
      </c>
      <c r="AO19" s="40">
        <v>23.862170856686003</v>
      </c>
      <c r="AP19" s="40">
        <v>24.408876700109047</v>
      </c>
      <c r="AQ19" s="40">
        <v>24.576869446846047</v>
      </c>
      <c r="AR19" s="40">
        <v>24.752159288910839</v>
      </c>
      <c r="AS19" s="40">
        <v>24.581744907935423</v>
      </c>
      <c r="AT19" s="40">
        <v>24.715454083602051</v>
      </c>
      <c r="AU19" s="40">
        <v>24.686387394383534</v>
      </c>
      <c r="AV19" s="40">
        <v>24.981339883062354</v>
      </c>
      <c r="AW19" s="40">
        <v>24.241794125726216</v>
      </c>
      <c r="AX19" s="40">
        <v>23.314317799816159</v>
      </c>
      <c r="AY19" s="40">
        <v>23.860484247779919</v>
      </c>
      <c r="AZ19" s="40">
        <v>24.298170923584721</v>
      </c>
      <c r="BA19" s="54">
        <f t="shared" si="6"/>
        <v>24.981339883062354</v>
      </c>
      <c r="BB19" s="67">
        <f t="shared" si="7"/>
        <v>22.687327425827569</v>
      </c>
      <c r="BC19" s="45">
        <f t="shared" si="8"/>
        <v>24.228238237251528</v>
      </c>
    </row>
    <row r="20" spans="1:55" s="2" customFormat="1" ht="14.25" customHeight="1" x14ac:dyDescent="0.25">
      <c r="A20" s="44">
        <v>6</v>
      </c>
      <c r="B20" s="40">
        <v>25.4</v>
      </c>
      <c r="C20" s="40">
        <v>25.9</v>
      </c>
      <c r="D20" s="40">
        <v>26.8</v>
      </c>
      <c r="E20" s="40">
        <v>28.1</v>
      </c>
      <c r="F20" s="40">
        <v>28.7</v>
      </c>
      <c r="G20" s="40">
        <v>28.7</v>
      </c>
      <c r="H20" s="40">
        <v>28.1</v>
      </c>
      <c r="I20" s="40">
        <v>25</v>
      </c>
      <c r="J20" s="40">
        <v>25.2</v>
      </c>
      <c r="K20" s="40">
        <v>25.2</v>
      </c>
      <c r="L20" s="40">
        <v>24</v>
      </c>
      <c r="M20" s="40">
        <v>23.8</v>
      </c>
      <c r="N20" s="40">
        <v>23.4</v>
      </c>
      <c r="O20" s="54">
        <f t="shared" si="0"/>
        <v>28.7</v>
      </c>
      <c r="P20" s="67">
        <f t="shared" si="1"/>
        <v>23.4</v>
      </c>
      <c r="Q20" s="45">
        <f t="shared" si="2"/>
        <v>26.023076923076921</v>
      </c>
      <c r="T20" s="44">
        <v>6</v>
      </c>
      <c r="U20" s="40">
        <v>24.3</v>
      </c>
      <c r="V20" s="40">
        <v>24.4</v>
      </c>
      <c r="W20" s="40">
        <v>24.9</v>
      </c>
      <c r="X20" s="40">
        <v>25.2</v>
      </c>
      <c r="Y20" s="40">
        <v>25.3</v>
      </c>
      <c r="Z20" s="40">
        <v>25.8</v>
      </c>
      <c r="AA20" s="40">
        <v>25.7</v>
      </c>
      <c r="AB20" s="40">
        <v>24</v>
      </c>
      <c r="AC20" s="40">
        <v>24</v>
      </c>
      <c r="AD20" s="40">
        <v>24</v>
      </c>
      <c r="AE20" s="40">
        <v>23.6</v>
      </c>
      <c r="AF20" s="40">
        <v>23.4</v>
      </c>
      <c r="AG20" s="40">
        <v>23</v>
      </c>
      <c r="AH20" s="54">
        <f t="shared" si="3"/>
        <v>25.8</v>
      </c>
      <c r="AI20" s="67">
        <f t="shared" si="4"/>
        <v>23</v>
      </c>
      <c r="AJ20" s="45">
        <f t="shared" si="5"/>
        <v>24.430769230769229</v>
      </c>
      <c r="AM20" s="44">
        <v>6</v>
      </c>
      <c r="AN20" s="40">
        <v>23.713411285061852</v>
      </c>
      <c r="AO20" s="40">
        <v>23.637014841394823</v>
      </c>
      <c r="AP20" s="40">
        <v>23.978657648020917</v>
      </c>
      <c r="AQ20" s="40">
        <v>23.852279656438707</v>
      </c>
      <c r="AR20" s="40">
        <v>23.736674745985745</v>
      </c>
      <c r="AS20" s="40">
        <v>24.491957637503688</v>
      </c>
      <c r="AT20" s="40">
        <v>24.600398758140273</v>
      </c>
      <c r="AU20" s="40">
        <v>23.451002870250118</v>
      </c>
      <c r="AV20" s="40">
        <v>23.359988927625103</v>
      </c>
      <c r="AW20" s="40">
        <v>23.359988927625103</v>
      </c>
      <c r="AX20" s="40">
        <v>23.317592460646107</v>
      </c>
      <c r="AY20" s="40">
        <v>23.115625074420976</v>
      </c>
      <c r="AZ20" s="40">
        <v>22.71161972509778</v>
      </c>
      <c r="BA20" s="54">
        <f t="shared" si="6"/>
        <v>24.600398758140273</v>
      </c>
      <c r="BB20" s="67">
        <f t="shared" si="7"/>
        <v>22.71161972509778</v>
      </c>
      <c r="BC20" s="45">
        <f t="shared" si="8"/>
        <v>23.640477889093169</v>
      </c>
    </row>
    <row r="21" spans="1:55" s="2" customFormat="1" ht="14.25" customHeight="1" x14ac:dyDescent="0.25">
      <c r="A21" s="44">
        <v>7</v>
      </c>
      <c r="B21" s="40">
        <v>24.6</v>
      </c>
      <c r="C21" s="40">
        <v>25.8</v>
      </c>
      <c r="D21" s="40">
        <v>27.1</v>
      </c>
      <c r="E21" s="40">
        <v>27.9</v>
      </c>
      <c r="F21" s="40">
        <v>28.1</v>
      </c>
      <c r="G21" s="40">
        <v>28.7</v>
      </c>
      <c r="H21" s="40">
        <v>28.7</v>
      </c>
      <c r="I21" s="40">
        <v>26</v>
      </c>
      <c r="J21" s="40">
        <v>26.2</v>
      </c>
      <c r="K21" s="40">
        <v>26</v>
      </c>
      <c r="L21" s="40">
        <v>23</v>
      </c>
      <c r="M21" s="40">
        <v>23</v>
      </c>
      <c r="N21" s="40">
        <v>23</v>
      </c>
      <c r="O21" s="54">
        <f t="shared" si="0"/>
        <v>28.7</v>
      </c>
      <c r="P21" s="67">
        <f t="shared" si="1"/>
        <v>23</v>
      </c>
      <c r="Q21" s="45">
        <f t="shared" si="2"/>
        <v>26.007692307692306</v>
      </c>
      <c r="T21" s="44">
        <v>7</v>
      </c>
      <c r="U21" s="40">
        <v>23.2</v>
      </c>
      <c r="V21" s="40">
        <v>24</v>
      </c>
      <c r="W21" s="40">
        <v>24.5</v>
      </c>
      <c r="X21" s="40">
        <v>25</v>
      </c>
      <c r="Y21" s="40">
        <v>24.7</v>
      </c>
      <c r="Z21" s="40">
        <v>25</v>
      </c>
      <c r="AA21" s="40">
        <v>24.5</v>
      </c>
      <c r="AB21" s="40">
        <v>24.3</v>
      </c>
      <c r="AC21" s="40">
        <v>24.6</v>
      </c>
      <c r="AD21" s="40">
        <v>24.7</v>
      </c>
      <c r="AE21" s="40">
        <v>22.2</v>
      </c>
      <c r="AF21" s="40">
        <v>22.4</v>
      </c>
      <c r="AG21" s="40">
        <v>22.6</v>
      </c>
      <c r="AH21" s="54">
        <f t="shared" si="3"/>
        <v>25</v>
      </c>
      <c r="AI21" s="67">
        <f t="shared" si="4"/>
        <v>22.2</v>
      </c>
      <c r="AJ21" s="45">
        <f t="shared" si="5"/>
        <v>23.976923076923075</v>
      </c>
      <c r="AM21" s="44">
        <v>7</v>
      </c>
      <c r="AN21" s="40">
        <v>22.440752283690482</v>
      </c>
      <c r="AO21" s="40">
        <v>23.084297681296647</v>
      </c>
      <c r="AP21" s="40">
        <v>23.242228744545454</v>
      </c>
      <c r="AQ21" s="40">
        <v>23.638712100099621</v>
      </c>
      <c r="AR21" s="40">
        <v>23.088045882264225</v>
      </c>
      <c r="AS21" s="40">
        <v>23.275625347336408</v>
      </c>
      <c r="AT21" s="40">
        <v>22.493170810159956</v>
      </c>
      <c r="AU21" s="40">
        <v>23.442835009620829</v>
      </c>
      <c r="AV21" s="40">
        <v>23.799543842618871</v>
      </c>
      <c r="AW21" s="40">
        <v>24.035818987438628</v>
      </c>
      <c r="AX21" s="40">
        <v>21.705187487436806</v>
      </c>
      <c r="AY21" s="40">
        <v>22.007687145573005</v>
      </c>
      <c r="AZ21" s="40">
        <v>22.307518003209246</v>
      </c>
      <c r="BA21" s="54">
        <f t="shared" si="6"/>
        <v>24.035818987438628</v>
      </c>
      <c r="BB21" s="67">
        <f t="shared" si="7"/>
        <v>21.705187487436806</v>
      </c>
      <c r="BC21" s="45">
        <f t="shared" si="8"/>
        <v>22.966263332714632</v>
      </c>
    </row>
    <row r="22" spans="1:55" s="2" customFormat="1" ht="14.25" customHeight="1" x14ac:dyDescent="0.25">
      <c r="A22" s="44">
        <v>8</v>
      </c>
      <c r="B22" s="40">
        <v>23.4</v>
      </c>
      <c r="C22" s="40">
        <v>25.6</v>
      </c>
      <c r="D22" s="40">
        <v>26.6</v>
      </c>
      <c r="E22" s="40">
        <v>28.6</v>
      </c>
      <c r="F22" s="40">
        <v>29.4</v>
      </c>
      <c r="G22" s="40">
        <v>30.8</v>
      </c>
      <c r="H22" s="40">
        <v>30.8</v>
      </c>
      <c r="I22" s="40">
        <v>24.5</v>
      </c>
      <c r="J22" s="40">
        <v>22.7</v>
      </c>
      <c r="K22" s="40">
        <v>23</v>
      </c>
      <c r="L22" s="40">
        <v>23.5</v>
      </c>
      <c r="M22" s="40">
        <v>23.2</v>
      </c>
      <c r="N22" s="40">
        <v>23.3</v>
      </c>
      <c r="O22" s="54">
        <f t="shared" si="0"/>
        <v>30.8</v>
      </c>
      <c r="P22" s="67">
        <f t="shared" si="1"/>
        <v>22.7</v>
      </c>
      <c r="Q22" s="45">
        <f t="shared" si="2"/>
        <v>25.799999999999997</v>
      </c>
      <c r="T22" s="44">
        <v>8</v>
      </c>
      <c r="U22" s="40">
        <v>23</v>
      </c>
      <c r="V22" s="40">
        <v>24</v>
      </c>
      <c r="W22" s="40">
        <v>24.4</v>
      </c>
      <c r="X22" s="40">
        <v>25.4</v>
      </c>
      <c r="Y22" s="40">
        <v>25.3</v>
      </c>
      <c r="Z22" s="40">
        <v>25.5</v>
      </c>
      <c r="AA22" s="40">
        <v>25.5</v>
      </c>
      <c r="AB22" s="40">
        <v>23.2</v>
      </c>
      <c r="AC22" s="40">
        <v>22.2</v>
      </c>
      <c r="AD22" s="40">
        <v>22.6</v>
      </c>
      <c r="AE22" s="40">
        <v>23</v>
      </c>
      <c r="AF22" s="40">
        <v>22.9</v>
      </c>
      <c r="AG22" s="40">
        <v>22.9</v>
      </c>
      <c r="AH22" s="54">
        <f t="shared" si="3"/>
        <v>25.5</v>
      </c>
      <c r="AI22" s="67">
        <f t="shared" si="4"/>
        <v>22.2</v>
      </c>
      <c r="AJ22" s="45">
        <f t="shared" si="5"/>
        <v>23.838461538461537</v>
      </c>
      <c r="AM22" s="44">
        <v>8</v>
      </c>
      <c r="AN22" s="40">
        <v>22.71161972509778</v>
      </c>
      <c r="AO22" s="40">
        <v>23.17664094358928</v>
      </c>
      <c r="AP22" s="40">
        <v>23.319679814146195</v>
      </c>
      <c r="AQ22" s="40">
        <v>23.933335820614669</v>
      </c>
      <c r="AR22" s="40">
        <v>23.420993532505424</v>
      </c>
      <c r="AS22" s="40">
        <v>23.093131946882178</v>
      </c>
      <c r="AT22" s="40">
        <v>23.093131946882178</v>
      </c>
      <c r="AU22" s="40">
        <v>22.488577424234201</v>
      </c>
      <c r="AV22" s="40">
        <v>21.853980689424866</v>
      </c>
      <c r="AW22" s="40">
        <v>22.307518003209246</v>
      </c>
      <c r="AX22" s="40">
        <v>22.664358131383011</v>
      </c>
      <c r="AY22" s="40">
        <v>22.657999359828803</v>
      </c>
      <c r="AZ22" s="40">
        <v>22.61060343742562</v>
      </c>
      <c r="BA22" s="54">
        <f t="shared" si="6"/>
        <v>23.933335820614669</v>
      </c>
      <c r="BB22" s="67">
        <f t="shared" si="7"/>
        <v>21.853980689424866</v>
      </c>
      <c r="BC22" s="45">
        <f t="shared" si="8"/>
        <v>22.871659290401801</v>
      </c>
    </row>
    <row r="23" spans="1:55" s="2" customFormat="1" ht="14.25" customHeight="1" x14ac:dyDescent="0.25">
      <c r="A23" s="44">
        <v>9</v>
      </c>
      <c r="B23" s="40">
        <v>24.5</v>
      </c>
      <c r="C23" s="40">
        <v>25.7</v>
      </c>
      <c r="D23" s="40">
        <v>27.6</v>
      </c>
      <c r="E23" s="40">
        <v>29.7</v>
      </c>
      <c r="F23" s="40">
        <v>29.8</v>
      </c>
      <c r="G23" s="40">
        <v>29.5</v>
      </c>
      <c r="H23" s="40">
        <v>27.8</v>
      </c>
      <c r="I23" s="40">
        <v>24.2</v>
      </c>
      <c r="J23" s="40">
        <v>23.9</v>
      </c>
      <c r="K23" s="40">
        <v>24.6</v>
      </c>
      <c r="L23" s="40">
        <v>24.5</v>
      </c>
      <c r="M23" s="40">
        <v>24.5</v>
      </c>
      <c r="N23" s="40">
        <v>24.4</v>
      </c>
      <c r="O23" s="54">
        <f t="shared" si="0"/>
        <v>29.8</v>
      </c>
      <c r="P23" s="67">
        <f t="shared" si="1"/>
        <v>23.9</v>
      </c>
      <c r="Q23" s="45">
        <f t="shared" si="2"/>
        <v>26.207692307692305</v>
      </c>
      <c r="T23" s="44">
        <v>9</v>
      </c>
      <c r="U23" s="40">
        <v>23.8</v>
      </c>
      <c r="V23" s="40">
        <v>24.2</v>
      </c>
      <c r="W23" s="40">
        <v>25</v>
      </c>
      <c r="X23" s="40">
        <v>25.4</v>
      </c>
      <c r="Y23" s="40">
        <v>25.4</v>
      </c>
      <c r="Z23" s="40">
        <v>25.1</v>
      </c>
      <c r="AA23" s="40">
        <v>25.2</v>
      </c>
      <c r="AB23" s="40">
        <v>23.8</v>
      </c>
      <c r="AC23" s="40">
        <v>23.2</v>
      </c>
      <c r="AD23" s="40">
        <v>23.7</v>
      </c>
      <c r="AE23" s="40">
        <v>23.5</v>
      </c>
      <c r="AF23" s="40">
        <v>23.8</v>
      </c>
      <c r="AG23" s="40">
        <v>23.9</v>
      </c>
      <c r="AH23" s="54">
        <f t="shared" si="3"/>
        <v>25.4</v>
      </c>
      <c r="AI23" s="67">
        <f t="shared" si="4"/>
        <v>23.2</v>
      </c>
      <c r="AJ23" s="45">
        <f t="shared" si="5"/>
        <v>24.307692307692303</v>
      </c>
      <c r="AM23" s="44">
        <v>9</v>
      </c>
      <c r="AN23" s="40">
        <v>23.383347698406446</v>
      </c>
      <c r="AO23" s="40">
        <v>23.42987425288819</v>
      </c>
      <c r="AP23" s="40">
        <v>23.773101758937997</v>
      </c>
      <c r="AQ23" s="40">
        <v>23.440073628016837</v>
      </c>
      <c r="AR23" s="40">
        <v>23.394590685489504</v>
      </c>
      <c r="AS23" s="40">
        <v>23.062845771566085</v>
      </c>
      <c r="AT23" s="40">
        <v>23.985178287701391</v>
      </c>
      <c r="AU23" s="40">
        <v>23.519536764728979</v>
      </c>
      <c r="AV23" s="40">
        <v>22.773009070791701</v>
      </c>
      <c r="AW23" s="40">
        <v>23.189820548177124</v>
      </c>
      <c r="AX23" s="40">
        <v>22.938820313690236</v>
      </c>
      <c r="AY23" s="40">
        <v>23.383347698406446</v>
      </c>
      <c r="AZ23" s="40">
        <v>23.575452280634117</v>
      </c>
      <c r="BA23" s="54">
        <f t="shared" si="6"/>
        <v>23.985178287701391</v>
      </c>
      <c r="BB23" s="67">
        <f t="shared" si="7"/>
        <v>22.773009070791701</v>
      </c>
      <c r="BC23" s="45">
        <f t="shared" si="8"/>
        <v>23.372999904571927</v>
      </c>
    </row>
    <row r="24" spans="1:55" s="2" customFormat="1" ht="14.25" customHeight="1" x14ac:dyDescent="0.25">
      <c r="A24" s="44">
        <v>10</v>
      </c>
      <c r="B24" s="40">
        <v>24.6</v>
      </c>
      <c r="C24" s="40">
        <v>26.5</v>
      </c>
      <c r="D24" s="40">
        <v>28</v>
      </c>
      <c r="E24" s="40">
        <v>29.3</v>
      </c>
      <c r="F24" s="40">
        <v>30.5</v>
      </c>
      <c r="G24" s="40">
        <v>31.4</v>
      </c>
      <c r="H24" s="40">
        <v>30.6</v>
      </c>
      <c r="I24" s="40">
        <v>30.3</v>
      </c>
      <c r="J24" s="40">
        <v>28.1</v>
      </c>
      <c r="K24" s="40">
        <v>27.2</v>
      </c>
      <c r="L24" s="40">
        <v>25.8</v>
      </c>
      <c r="M24" s="40">
        <v>25.8</v>
      </c>
      <c r="N24" s="40">
        <v>25</v>
      </c>
      <c r="O24" s="54">
        <f t="shared" si="0"/>
        <v>31.4</v>
      </c>
      <c r="P24" s="67">
        <f t="shared" si="1"/>
        <v>24.6</v>
      </c>
      <c r="Q24" s="45">
        <f t="shared" si="2"/>
        <v>27.930769230769233</v>
      </c>
      <c r="T24" s="44">
        <v>10</v>
      </c>
      <c r="U24" s="40">
        <v>23.6</v>
      </c>
      <c r="V24" s="40">
        <v>24.2</v>
      </c>
      <c r="W24" s="40">
        <v>24.6</v>
      </c>
      <c r="X24" s="40">
        <v>25.2</v>
      </c>
      <c r="Y24" s="40">
        <v>25.9</v>
      </c>
      <c r="Z24" s="40">
        <v>26.2</v>
      </c>
      <c r="AA24" s="40">
        <v>26.2</v>
      </c>
      <c r="AB24" s="40">
        <v>25.3</v>
      </c>
      <c r="AC24" s="40">
        <v>24.7</v>
      </c>
      <c r="AD24" s="40">
        <v>24.6</v>
      </c>
      <c r="AE24" s="40">
        <v>23.5</v>
      </c>
      <c r="AF24" s="40">
        <v>23.8</v>
      </c>
      <c r="AG24" s="40">
        <v>23.8</v>
      </c>
      <c r="AH24" s="54">
        <f t="shared" si="3"/>
        <v>26.2</v>
      </c>
      <c r="AI24" s="67">
        <f t="shared" si="4"/>
        <v>23.5</v>
      </c>
      <c r="AJ24" s="45">
        <f t="shared" si="5"/>
        <v>24.738461538461539</v>
      </c>
      <c r="AM24" s="44">
        <v>10</v>
      </c>
      <c r="AN24" s="40">
        <v>23.041286800704647</v>
      </c>
      <c r="AO24" s="40">
        <v>23.062751389564443</v>
      </c>
      <c r="AP24" s="40">
        <v>22.979754663101517</v>
      </c>
      <c r="AQ24" s="40">
        <v>23.311208565766815</v>
      </c>
      <c r="AR24" s="40">
        <v>23.85743191577928</v>
      </c>
      <c r="AS24" s="40">
        <v>23.925167750037577</v>
      </c>
      <c r="AT24" s="40">
        <v>24.276221836805156</v>
      </c>
      <c r="AU24" s="40">
        <v>23.007249584663022</v>
      </c>
      <c r="AV24" s="40">
        <v>23.088045882264225</v>
      </c>
      <c r="AW24" s="40">
        <v>23.348482445095115</v>
      </c>
      <c r="AX24" s="40">
        <v>22.322554705614401</v>
      </c>
      <c r="AY24" s="40">
        <v>22.781622980972795</v>
      </c>
      <c r="AZ24" s="40">
        <v>23.154171566343187</v>
      </c>
      <c r="BA24" s="54">
        <f t="shared" si="6"/>
        <v>24.276221836805156</v>
      </c>
      <c r="BB24" s="67">
        <f t="shared" si="7"/>
        <v>22.322554705614401</v>
      </c>
      <c r="BC24" s="45">
        <f t="shared" si="8"/>
        <v>23.242765391285545</v>
      </c>
    </row>
    <row r="25" spans="1:55" s="2" customFormat="1" ht="14.25" customHeight="1" x14ac:dyDescent="0.25">
      <c r="A25" s="44">
        <v>11</v>
      </c>
      <c r="B25" s="40">
        <v>25.1</v>
      </c>
      <c r="C25" s="40">
        <v>26.9</v>
      </c>
      <c r="D25" s="40">
        <v>25.9</v>
      </c>
      <c r="E25" s="40">
        <v>27.5</v>
      </c>
      <c r="F25" s="40">
        <v>28.3</v>
      </c>
      <c r="G25" s="40">
        <v>29.4</v>
      </c>
      <c r="H25" s="40">
        <v>27.6</v>
      </c>
      <c r="I25" s="40">
        <v>28.6</v>
      </c>
      <c r="J25" s="40">
        <v>27</v>
      </c>
      <c r="K25" s="40">
        <v>26.6</v>
      </c>
      <c r="L25" s="40">
        <v>26</v>
      </c>
      <c r="M25" s="40">
        <v>25.6</v>
      </c>
      <c r="N25" s="40">
        <v>25.2</v>
      </c>
      <c r="O25" s="54">
        <f t="shared" si="0"/>
        <v>29.4</v>
      </c>
      <c r="P25" s="67">
        <f t="shared" si="1"/>
        <v>25.1</v>
      </c>
      <c r="Q25" s="45">
        <f t="shared" si="2"/>
        <v>26.900000000000002</v>
      </c>
      <c r="T25" s="44">
        <v>11</v>
      </c>
      <c r="U25" s="40">
        <v>24.1</v>
      </c>
      <c r="V25" s="40">
        <v>24.6</v>
      </c>
      <c r="W25" s="40">
        <v>24</v>
      </c>
      <c r="X25" s="40">
        <v>25</v>
      </c>
      <c r="Y25" s="40">
        <v>24.8</v>
      </c>
      <c r="Z25" s="40">
        <v>25.5</v>
      </c>
      <c r="AA25" s="40">
        <v>24.5</v>
      </c>
      <c r="AB25" s="40">
        <v>24.8</v>
      </c>
      <c r="AC25" s="40">
        <v>24.2</v>
      </c>
      <c r="AD25" s="40">
        <v>24.2</v>
      </c>
      <c r="AE25" s="40">
        <v>24</v>
      </c>
      <c r="AF25" s="40">
        <v>23.6</v>
      </c>
      <c r="AG25" s="40">
        <v>23.8</v>
      </c>
      <c r="AH25" s="54">
        <f t="shared" si="3"/>
        <v>25.5</v>
      </c>
      <c r="AI25" s="67">
        <f t="shared" si="4"/>
        <v>23.6</v>
      </c>
      <c r="AJ25" s="45">
        <f t="shared" si="5"/>
        <v>24.392307692307693</v>
      </c>
      <c r="AM25" s="44">
        <v>11</v>
      </c>
      <c r="AN25" s="40">
        <v>23.553394953907592</v>
      </c>
      <c r="AO25" s="40">
        <v>23.4849281634764</v>
      </c>
      <c r="AP25" s="40">
        <v>23.037956678897412</v>
      </c>
      <c r="AQ25" s="40">
        <v>23.817688356652798</v>
      </c>
      <c r="AR25" s="40">
        <v>23.15021314722178</v>
      </c>
      <c r="AS25" s="40">
        <v>23.730064595387521</v>
      </c>
      <c r="AT25" s="40">
        <v>23.011318918850375</v>
      </c>
      <c r="AU25" s="40">
        <v>23.011327145203094</v>
      </c>
      <c r="AV25" s="40">
        <v>22.829633194937365</v>
      </c>
      <c r="AW25" s="40">
        <v>23.016356945678069</v>
      </c>
      <c r="AX25" s="40">
        <v>22.991501967304046</v>
      </c>
      <c r="AY25" s="40">
        <v>22.571617917695416</v>
      </c>
      <c r="AZ25" s="40">
        <v>23.061719670002304</v>
      </c>
      <c r="BA25" s="54">
        <f t="shared" si="6"/>
        <v>23.817688356652798</v>
      </c>
      <c r="BB25" s="67">
        <f t="shared" si="7"/>
        <v>22.571617917695416</v>
      </c>
      <c r="BC25" s="45">
        <f t="shared" si="8"/>
        <v>23.174440127324164</v>
      </c>
    </row>
    <row r="26" spans="1:55" s="2" customFormat="1" ht="14.25" customHeight="1" x14ac:dyDescent="0.25">
      <c r="A26" s="44">
        <v>12</v>
      </c>
      <c r="B26" s="40">
        <v>25</v>
      </c>
      <c r="C26" s="40">
        <v>27</v>
      </c>
      <c r="D26" s="40">
        <v>28.4</v>
      </c>
      <c r="E26" s="40">
        <v>29.5</v>
      </c>
      <c r="F26" s="40">
        <v>30</v>
      </c>
      <c r="G26" s="40">
        <v>30.4</v>
      </c>
      <c r="H26" s="40">
        <v>30.8</v>
      </c>
      <c r="I26" s="40">
        <v>29.6</v>
      </c>
      <c r="J26" s="40">
        <v>28.6</v>
      </c>
      <c r="K26" s="40">
        <v>23.4</v>
      </c>
      <c r="L26" s="40">
        <v>23</v>
      </c>
      <c r="M26" s="40">
        <v>22.8</v>
      </c>
      <c r="N26" s="40">
        <v>22.8</v>
      </c>
      <c r="O26" s="54">
        <f t="shared" si="0"/>
        <v>30.8</v>
      </c>
      <c r="P26" s="67">
        <f t="shared" si="1"/>
        <v>22.8</v>
      </c>
      <c r="Q26" s="45">
        <f t="shared" si="2"/>
        <v>27.023076923076925</v>
      </c>
      <c r="T26" s="44">
        <v>12</v>
      </c>
      <c r="U26" s="40">
        <v>23.5</v>
      </c>
      <c r="V26" s="40">
        <v>24</v>
      </c>
      <c r="W26" s="40">
        <v>24.1</v>
      </c>
      <c r="X26" s="40">
        <v>24.6</v>
      </c>
      <c r="Y26" s="40">
        <v>25</v>
      </c>
      <c r="Z26" s="40">
        <v>25.3</v>
      </c>
      <c r="AA26" s="40">
        <v>25.4</v>
      </c>
      <c r="AB26" s="40">
        <v>26</v>
      </c>
      <c r="AC26" s="40">
        <v>25</v>
      </c>
      <c r="AD26" s="40">
        <v>23.2</v>
      </c>
      <c r="AE26" s="40">
        <v>22.8</v>
      </c>
      <c r="AF26" s="40">
        <v>22.6</v>
      </c>
      <c r="AG26" s="40">
        <v>22.6</v>
      </c>
      <c r="AH26" s="54">
        <f t="shared" si="3"/>
        <v>26</v>
      </c>
      <c r="AI26" s="67">
        <f t="shared" si="4"/>
        <v>22.6</v>
      </c>
      <c r="AJ26" s="45">
        <f t="shared" si="5"/>
        <v>24.161538461538463</v>
      </c>
      <c r="AM26" s="44">
        <v>12</v>
      </c>
      <c r="AN26" s="40">
        <v>22.704170413916749</v>
      </c>
      <c r="AO26" s="40">
        <v>22.520565860984291</v>
      </c>
      <c r="AP26" s="40">
        <v>22.001387478295754</v>
      </c>
      <c r="AQ26" s="40">
        <v>22.268387984669609</v>
      </c>
      <c r="AR26" s="40">
        <v>22.670362668359488</v>
      </c>
      <c r="AS26" s="40">
        <v>22.960715346435535</v>
      </c>
      <c r="AT26" s="40">
        <v>22.933659924886598</v>
      </c>
      <c r="AU26" s="40">
        <v>24.404887683239696</v>
      </c>
      <c r="AV26" s="40">
        <v>23.321392650725961</v>
      </c>
      <c r="AW26" s="40">
        <v>23.006806764540162</v>
      </c>
      <c r="AX26" s="40">
        <v>22.604760645934597</v>
      </c>
      <c r="AY26" s="40">
        <v>22.403719944769762</v>
      </c>
      <c r="AZ26" s="40">
        <v>22.403719944769762</v>
      </c>
      <c r="BA26" s="54">
        <f t="shared" si="6"/>
        <v>24.404887683239696</v>
      </c>
      <c r="BB26" s="67">
        <f t="shared" si="7"/>
        <v>22.001387478295754</v>
      </c>
      <c r="BC26" s="45">
        <f t="shared" si="8"/>
        <v>22.784964408579075</v>
      </c>
    </row>
    <row r="27" spans="1:55" s="2" customFormat="1" ht="14.25" customHeight="1" x14ac:dyDescent="0.25">
      <c r="A27" s="44">
        <v>13</v>
      </c>
      <c r="B27" s="40">
        <v>25.2</v>
      </c>
      <c r="C27" s="40">
        <v>26.3</v>
      </c>
      <c r="D27" s="40">
        <v>27.1</v>
      </c>
      <c r="E27" s="40">
        <v>26.2</v>
      </c>
      <c r="F27" s="40">
        <v>25.9</v>
      </c>
      <c r="G27" s="40">
        <v>26.3</v>
      </c>
      <c r="H27" s="40">
        <v>26.2</v>
      </c>
      <c r="I27" s="40">
        <v>25.2</v>
      </c>
      <c r="J27" s="40">
        <v>25.4</v>
      </c>
      <c r="K27" s="40">
        <v>25.7</v>
      </c>
      <c r="L27" s="40">
        <v>25.3</v>
      </c>
      <c r="M27" s="40">
        <v>25</v>
      </c>
      <c r="N27" s="40">
        <v>24.6</v>
      </c>
      <c r="O27" s="54">
        <f t="shared" si="0"/>
        <v>27.1</v>
      </c>
      <c r="P27" s="67">
        <f t="shared" si="1"/>
        <v>24.6</v>
      </c>
      <c r="Q27" s="45">
        <f t="shared" si="2"/>
        <v>25.723076923076924</v>
      </c>
      <c r="T27" s="44">
        <v>13</v>
      </c>
      <c r="U27" s="40">
        <v>24.4</v>
      </c>
      <c r="V27" s="40">
        <v>24.2</v>
      </c>
      <c r="W27" s="40">
        <v>24.5</v>
      </c>
      <c r="X27" s="40">
        <v>25</v>
      </c>
      <c r="Y27" s="40">
        <v>24.7</v>
      </c>
      <c r="Z27" s="40">
        <v>25</v>
      </c>
      <c r="AA27" s="40">
        <v>25</v>
      </c>
      <c r="AB27" s="40">
        <v>24.4</v>
      </c>
      <c r="AC27" s="40">
        <v>24.7</v>
      </c>
      <c r="AD27" s="40">
        <v>24.8</v>
      </c>
      <c r="AE27" s="40">
        <v>24</v>
      </c>
      <c r="AF27" s="40">
        <v>24.1</v>
      </c>
      <c r="AG27" s="40">
        <v>23.9</v>
      </c>
      <c r="AH27" s="54">
        <f t="shared" si="3"/>
        <v>25</v>
      </c>
      <c r="AI27" s="67">
        <f t="shared" si="4"/>
        <v>23.9</v>
      </c>
      <c r="AJ27" s="45">
        <f t="shared" si="5"/>
        <v>24.515384615384619</v>
      </c>
      <c r="AM27" s="44">
        <v>13</v>
      </c>
      <c r="AN27" s="40">
        <v>23.949143190637258</v>
      </c>
      <c r="AO27" s="40">
        <v>23.155200700166329</v>
      </c>
      <c r="AP27" s="40">
        <v>23.242228744545454</v>
      </c>
      <c r="AQ27" s="40">
        <v>24.388027271235554</v>
      </c>
      <c r="AR27" s="40">
        <v>24.079795308325551</v>
      </c>
      <c r="AS27" s="40">
        <v>24.344754353874922</v>
      </c>
      <c r="AT27" s="40">
        <v>24.388027271235554</v>
      </c>
      <c r="AU27" s="40">
        <v>23.949143190637258</v>
      </c>
      <c r="AV27" s="40">
        <v>24.298170923584721</v>
      </c>
      <c r="AW27" s="40">
        <v>24.313179702823806</v>
      </c>
      <c r="AX27" s="40">
        <v>23.314317799816159</v>
      </c>
      <c r="AY27" s="40">
        <v>23.598495867136165</v>
      </c>
      <c r="AZ27" s="40">
        <v>23.485034624299676</v>
      </c>
      <c r="BA27" s="54">
        <f t="shared" si="6"/>
        <v>24.388027271235554</v>
      </c>
      <c r="BB27" s="67">
        <f t="shared" si="7"/>
        <v>23.155200700166329</v>
      </c>
      <c r="BC27" s="45">
        <f t="shared" si="8"/>
        <v>23.885039919101416</v>
      </c>
    </row>
    <row r="28" spans="1:55" s="2" customFormat="1" ht="14.25" customHeight="1" x14ac:dyDescent="0.25">
      <c r="A28" s="44">
        <v>14</v>
      </c>
      <c r="B28" s="40">
        <v>25.3</v>
      </c>
      <c r="C28" s="40">
        <v>27.2</v>
      </c>
      <c r="D28" s="40">
        <v>28.3</v>
      </c>
      <c r="E28" s="40">
        <v>29.1</v>
      </c>
      <c r="F28" s="40">
        <v>29.4</v>
      </c>
      <c r="G28" s="40">
        <v>25</v>
      </c>
      <c r="H28" s="40">
        <v>25.9</v>
      </c>
      <c r="I28" s="40">
        <v>27.3</v>
      </c>
      <c r="J28" s="40">
        <v>25.3</v>
      </c>
      <c r="K28" s="40">
        <v>23.1</v>
      </c>
      <c r="L28" s="40">
        <v>23.2</v>
      </c>
      <c r="M28" s="40">
        <v>23.2</v>
      </c>
      <c r="N28" s="40">
        <v>23.3</v>
      </c>
      <c r="O28" s="54">
        <f t="shared" si="0"/>
        <v>29.4</v>
      </c>
      <c r="P28" s="67">
        <f t="shared" si="1"/>
        <v>23.1</v>
      </c>
      <c r="Q28" s="45">
        <f t="shared" si="2"/>
        <v>25.815384615384616</v>
      </c>
      <c r="T28" s="44">
        <v>14</v>
      </c>
      <c r="U28" s="40">
        <v>24</v>
      </c>
      <c r="V28" s="40">
        <v>25</v>
      </c>
      <c r="W28" s="40">
        <v>25.2</v>
      </c>
      <c r="X28" s="40">
        <v>25.6</v>
      </c>
      <c r="Y28" s="40">
        <v>25.5</v>
      </c>
      <c r="Z28" s="40">
        <v>24.6</v>
      </c>
      <c r="AA28" s="40">
        <v>24.6</v>
      </c>
      <c r="AB28" s="40">
        <v>25.2</v>
      </c>
      <c r="AC28" s="40">
        <v>25</v>
      </c>
      <c r="AD28" s="40">
        <v>23</v>
      </c>
      <c r="AE28" s="40">
        <v>23.1</v>
      </c>
      <c r="AF28" s="40">
        <v>23</v>
      </c>
      <c r="AG28" s="40">
        <v>23.1</v>
      </c>
      <c r="AH28" s="54">
        <f t="shared" si="3"/>
        <v>25.6</v>
      </c>
      <c r="AI28" s="67">
        <f t="shared" si="4"/>
        <v>23</v>
      </c>
      <c r="AJ28" s="45">
        <f t="shared" si="5"/>
        <v>24.376923076923081</v>
      </c>
      <c r="AM28" s="44">
        <v>14</v>
      </c>
      <c r="AN28" s="40">
        <v>23.314317799816159</v>
      </c>
      <c r="AO28" s="40">
        <v>23.950825647173037</v>
      </c>
      <c r="AP28" s="40">
        <v>23.763162961272254</v>
      </c>
      <c r="AQ28" s="40">
        <v>24.016264553017553</v>
      </c>
      <c r="AR28" s="40">
        <v>23.730064595387521</v>
      </c>
      <c r="AS28" s="40">
        <v>24.327089608406908</v>
      </c>
      <c r="AT28" s="40">
        <v>23.932803813122124</v>
      </c>
      <c r="AU28" s="40">
        <v>24.204639702085988</v>
      </c>
      <c r="AV28" s="40">
        <v>24.773146906430899</v>
      </c>
      <c r="AW28" s="40">
        <v>22.852698999072828</v>
      </c>
      <c r="AX28" s="40">
        <v>22.952960958471188</v>
      </c>
      <c r="AY28" s="40">
        <v>22.805789529148537</v>
      </c>
      <c r="AZ28" s="40">
        <v>22.906299592291269</v>
      </c>
      <c r="BA28" s="54">
        <f t="shared" si="6"/>
        <v>24.773146906430899</v>
      </c>
      <c r="BB28" s="67">
        <f t="shared" si="7"/>
        <v>22.805789529148537</v>
      </c>
      <c r="BC28" s="45">
        <f t="shared" si="8"/>
        <v>23.656158820438172</v>
      </c>
    </row>
    <row r="29" spans="1:55" s="2" customFormat="1" ht="14.25" customHeight="1" x14ac:dyDescent="0.25">
      <c r="A29" s="44">
        <v>15</v>
      </c>
      <c r="B29" s="40">
        <v>24.8</v>
      </c>
      <c r="C29" s="40">
        <v>25.4</v>
      </c>
      <c r="D29" s="40">
        <v>27.6</v>
      </c>
      <c r="E29" s="40">
        <v>28.6</v>
      </c>
      <c r="F29" s="40">
        <v>29.6</v>
      </c>
      <c r="G29" s="40">
        <v>29</v>
      </c>
      <c r="H29" s="40">
        <v>30.6</v>
      </c>
      <c r="I29" s="40">
        <v>30.4</v>
      </c>
      <c r="J29" s="40">
        <v>29.8</v>
      </c>
      <c r="K29" s="40">
        <v>27.2</v>
      </c>
      <c r="L29" s="40">
        <v>27</v>
      </c>
      <c r="M29" s="40">
        <v>26.4</v>
      </c>
      <c r="N29" s="40">
        <v>26</v>
      </c>
      <c r="O29" s="54">
        <f t="shared" si="0"/>
        <v>30.6</v>
      </c>
      <c r="P29" s="67">
        <f t="shared" si="1"/>
        <v>24.8</v>
      </c>
      <c r="Q29" s="45">
        <f t="shared" si="2"/>
        <v>27.876923076923074</v>
      </c>
      <c r="T29" s="44">
        <v>15</v>
      </c>
      <c r="U29" s="40">
        <v>23.8</v>
      </c>
      <c r="V29" s="40">
        <v>24</v>
      </c>
      <c r="W29" s="40">
        <v>25</v>
      </c>
      <c r="X29" s="40">
        <v>25.6</v>
      </c>
      <c r="Y29" s="40">
        <v>25.6</v>
      </c>
      <c r="Z29" s="40">
        <v>25.4</v>
      </c>
      <c r="AA29" s="40">
        <v>26</v>
      </c>
      <c r="AB29" s="40">
        <v>25.3</v>
      </c>
      <c r="AC29" s="40">
        <v>25.4</v>
      </c>
      <c r="AD29" s="40">
        <v>25.1</v>
      </c>
      <c r="AE29" s="40">
        <v>25.2</v>
      </c>
      <c r="AF29" s="40">
        <v>24.6</v>
      </c>
      <c r="AG29" s="40">
        <v>24.8</v>
      </c>
      <c r="AH29" s="54">
        <f t="shared" si="3"/>
        <v>26</v>
      </c>
      <c r="AI29" s="67">
        <f t="shared" si="4"/>
        <v>23.8</v>
      </c>
      <c r="AJ29" s="45">
        <f t="shared" si="5"/>
        <v>25.061538461538468</v>
      </c>
      <c r="AM29" s="44">
        <v>15</v>
      </c>
      <c r="AN29" s="40">
        <v>23.246174595512937</v>
      </c>
      <c r="AO29" s="40">
        <v>23.268536476619335</v>
      </c>
      <c r="AP29" s="40">
        <v>23.773101758937997</v>
      </c>
      <c r="AQ29" s="40">
        <v>24.235377202799327</v>
      </c>
      <c r="AR29" s="40">
        <v>23.79460686035754</v>
      </c>
      <c r="AS29" s="40">
        <v>23.755443039226666</v>
      </c>
      <c r="AT29" s="40">
        <v>23.968044880142624</v>
      </c>
      <c r="AU29" s="40">
        <v>22.960715346435535</v>
      </c>
      <c r="AV29" s="40">
        <v>23.394590685489504</v>
      </c>
      <c r="AW29" s="40">
        <v>24.099834434995177</v>
      </c>
      <c r="AX29" s="40">
        <v>24.335116740668042</v>
      </c>
      <c r="AY29" s="40">
        <v>23.710183186275557</v>
      </c>
      <c r="AZ29" s="40">
        <v>24.182556068191992</v>
      </c>
      <c r="BA29" s="54">
        <f t="shared" si="6"/>
        <v>24.335116740668042</v>
      </c>
      <c r="BB29" s="67">
        <f t="shared" si="7"/>
        <v>22.960715346435535</v>
      </c>
      <c r="BC29" s="45">
        <f t="shared" si="8"/>
        <v>23.748021636588639</v>
      </c>
    </row>
    <row r="30" spans="1:55" s="2" customFormat="1" ht="14.25" customHeight="1" x14ac:dyDescent="0.25">
      <c r="A30" s="44">
        <v>16</v>
      </c>
      <c r="B30" s="40">
        <v>24.8</v>
      </c>
      <c r="C30" s="40">
        <v>26</v>
      </c>
      <c r="D30" s="40">
        <v>27.2</v>
      </c>
      <c r="E30" s="40">
        <v>28.5</v>
      </c>
      <c r="F30" s="40">
        <v>29.2</v>
      </c>
      <c r="G30" s="40">
        <v>30.2</v>
      </c>
      <c r="H30" s="40">
        <v>29.8</v>
      </c>
      <c r="I30" s="40">
        <v>24</v>
      </c>
      <c r="J30" s="40">
        <v>24.2</v>
      </c>
      <c r="K30" s="40">
        <v>24.2</v>
      </c>
      <c r="L30" s="40">
        <v>23.8</v>
      </c>
      <c r="M30" s="40">
        <v>24</v>
      </c>
      <c r="N30" s="40">
        <v>23.8</v>
      </c>
      <c r="O30" s="54">
        <f t="shared" si="0"/>
        <v>30.2</v>
      </c>
      <c r="P30" s="67">
        <f t="shared" si="1"/>
        <v>23.8</v>
      </c>
      <c r="Q30" s="45">
        <f t="shared" si="2"/>
        <v>26.130769230769229</v>
      </c>
      <c r="T30" s="44">
        <v>16</v>
      </c>
      <c r="U30" s="40">
        <v>24</v>
      </c>
      <c r="V30" s="40">
        <v>24.5</v>
      </c>
      <c r="W30" s="40">
        <v>24.8</v>
      </c>
      <c r="X30" s="40">
        <v>25.2</v>
      </c>
      <c r="Y30" s="40">
        <v>25.2</v>
      </c>
      <c r="Z30" s="40">
        <v>26</v>
      </c>
      <c r="AA30" s="40">
        <v>26.2</v>
      </c>
      <c r="AB30" s="40">
        <v>23.2</v>
      </c>
      <c r="AC30" s="40">
        <v>23.6</v>
      </c>
      <c r="AD30" s="40">
        <v>23.6</v>
      </c>
      <c r="AE30" s="40">
        <v>23.2</v>
      </c>
      <c r="AF30" s="40">
        <v>23.4</v>
      </c>
      <c r="AG30" s="40">
        <v>23.5</v>
      </c>
      <c r="AH30" s="54">
        <f t="shared" si="3"/>
        <v>26.2</v>
      </c>
      <c r="AI30" s="67">
        <f t="shared" si="4"/>
        <v>23.2</v>
      </c>
      <c r="AJ30" s="45">
        <f t="shared" si="5"/>
        <v>24.338461538461534</v>
      </c>
      <c r="AM30" s="44">
        <v>16</v>
      </c>
      <c r="AN30" s="40">
        <v>23.541582806104632</v>
      </c>
      <c r="AO30" s="40">
        <v>23.740552061033789</v>
      </c>
      <c r="AP30" s="40">
        <v>23.650934676208223</v>
      </c>
      <c r="AQ30" s="40">
        <v>23.673627291087026</v>
      </c>
      <c r="AR30" s="40">
        <v>23.356890846549941</v>
      </c>
      <c r="AS30" s="40">
        <v>24.14398223668147</v>
      </c>
      <c r="AT30" s="40">
        <v>24.62094772066326</v>
      </c>
      <c r="AU30" s="40">
        <v>22.725900467116261</v>
      </c>
      <c r="AV30" s="40">
        <v>23.225937351919136</v>
      </c>
      <c r="AW30" s="40">
        <v>23.225937351919136</v>
      </c>
      <c r="AX30" s="40">
        <v>22.82000049036704</v>
      </c>
      <c r="AY30" s="40">
        <v>23.022986804446777</v>
      </c>
      <c r="AZ30" s="40">
        <v>23.262516829141774</v>
      </c>
      <c r="BA30" s="54">
        <f t="shared" si="6"/>
        <v>24.62094772066326</v>
      </c>
      <c r="BB30" s="67">
        <f t="shared" si="7"/>
        <v>22.725900467116261</v>
      </c>
      <c r="BC30" s="45">
        <f t="shared" si="8"/>
        <v>23.462445917941416</v>
      </c>
    </row>
    <row r="31" spans="1:55" s="2" customFormat="1" ht="14.25" customHeight="1" x14ac:dyDescent="0.25">
      <c r="A31" s="44">
        <v>17</v>
      </c>
      <c r="B31" s="40">
        <v>25</v>
      </c>
      <c r="C31" s="40">
        <v>27</v>
      </c>
      <c r="D31" s="40">
        <v>28.6</v>
      </c>
      <c r="E31" s="40">
        <v>29.4</v>
      </c>
      <c r="F31" s="40">
        <v>30.2</v>
      </c>
      <c r="G31" s="40">
        <v>30.1</v>
      </c>
      <c r="H31" s="40">
        <v>29</v>
      </c>
      <c r="I31" s="40">
        <v>24.1</v>
      </c>
      <c r="J31" s="40">
        <v>23.9</v>
      </c>
      <c r="K31" s="40">
        <v>24</v>
      </c>
      <c r="L31" s="40">
        <v>24</v>
      </c>
      <c r="M31" s="40">
        <v>24</v>
      </c>
      <c r="N31" s="40">
        <v>24</v>
      </c>
      <c r="O31" s="54">
        <f t="shared" si="0"/>
        <v>30.2</v>
      </c>
      <c r="P31" s="67">
        <f t="shared" si="1"/>
        <v>23.9</v>
      </c>
      <c r="Q31" s="45">
        <f t="shared" si="2"/>
        <v>26.407692307692304</v>
      </c>
      <c r="T31" s="44">
        <v>17</v>
      </c>
      <c r="U31" s="40">
        <v>24.2</v>
      </c>
      <c r="V31" s="40">
        <v>25</v>
      </c>
      <c r="W31" s="40">
        <v>25.4</v>
      </c>
      <c r="X31" s="40">
        <v>25.8</v>
      </c>
      <c r="Y31" s="40">
        <v>25.8</v>
      </c>
      <c r="Z31" s="40">
        <v>25.8</v>
      </c>
      <c r="AA31" s="40">
        <v>26</v>
      </c>
      <c r="AB31" s="40">
        <v>23.5</v>
      </c>
      <c r="AC31" s="40">
        <v>23.5</v>
      </c>
      <c r="AD31" s="40">
        <v>23.5</v>
      </c>
      <c r="AE31" s="40">
        <v>23.5</v>
      </c>
      <c r="AF31" s="40">
        <v>23.5</v>
      </c>
      <c r="AG31" s="40">
        <v>23.6</v>
      </c>
      <c r="AH31" s="54">
        <f t="shared" si="3"/>
        <v>26</v>
      </c>
      <c r="AI31" s="67">
        <f t="shared" si="4"/>
        <v>23.5</v>
      </c>
      <c r="AJ31" s="45">
        <f t="shared" si="5"/>
        <v>24.54615384615385</v>
      </c>
      <c r="AM31" s="44">
        <v>17</v>
      </c>
      <c r="AN31" s="40">
        <v>23.745385843105907</v>
      </c>
      <c r="AO31" s="40">
        <v>24.039070257543216</v>
      </c>
      <c r="AP31" s="40">
        <v>23.933335820614669</v>
      </c>
      <c r="AQ31" s="40">
        <v>24.188619083047605</v>
      </c>
      <c r="AR31" s="40">
        <v>23.835945395479477</v>
      </c>
      <c r="AS31" s="40">
        <v>23.880387817946321</v>
      </c>
      <c r="AT31" s="40">
        <v>24.662285046101083</v>
      </c>
      <c r="AU31" s="40">
        <v>23.12446651714588</v>
      </c>
      <c r="AV31" s="40">
        <v>23.21661167338706</v>
      </c>
      <c r="AW31" s="40">
        <v>23.170595097320081</v>
      </c>
      <c r="AX31" s="40">
        <v>23.170595097320081</v>
      </c>
      <c r="AY31" s="40">
        <v>23.170595097320081</v>
      </c>
      <c r="AZ31" s="40">
        <v>23.317592460646107</v>
      </c>
      <c r="BA31" s="54">
        <f t="shared" si="6"/>
        <v>24.662285046101083</v>
      </c>
      <c r="BB31" s="67">
        <f t="shared" si="7"/>
        <v>23.12446651714588</v>
      </c>
      <c r="BC31" s="45">
        <f t="shared" si="8"/>
        <v>23.650421938998274</v>
      </c>
    </row>
    <row r="32" spans="1:55" s="2" customFormat="1" ht="14.25" customHeight="1" x14ac:dyDescent="0.25">
      <c r="A32" s="44">
        <v>18</v>
      </c>
      <c r="B32" s="40">
        <v>24</v>
      </c>
      <c r="C32" s="40">
        <v>26.6</v>
      </c>
      <c r="D32" s="40">
        <v>27.8</v>
      </c>
      <c r="E32" s="40">
        <v>29.2</v>
      </c>
      <c r="F32" s="40">
        <v>30.2</v>
      </c>
      <c r="G32" s="40">
        <v>30.5</v>
      </c>
      <c r="H32" s="40">
        <v>31</v>
      </c>
      <c r="I32" s="40">
        <v>30.4</v>
      </c>
      <c r="J32" s="40">
        <v>30</v>
      </c>
      <c r="K32" s="40">
        <v>29</v>
      </c>
      <c r="L32" s="40">
        <v>27.4</v>
      </c>
      <c r="M32" s="40">
        <v>26.2</v>
      </c>
      <c r="N32" s="40">
        <v>26</v>
      </c>
      <c r="O32" s="54">
        <f t="shared" si="0"/>
        <v>31</v>
      </c>
      <c r="P32" s="67">
        <f t="shared" si="1"/>
        <v>24</v>
      </c>
      <c r="Q32" s="45">
        <f t="shared" si="2"/>
        <v>28.330769230769231</v>
      </c>
      <c r="T32" s="44">
        <v>18</v>
      </c>
      <c r="U32" s="40">
        <v>23</v>
      </c>
      <c r="V32" s="40">
        <v>24.4</v>
      </c>
      <c r="W32" s="40">
        <v>24.8</v>
      </c>
      <c r="X32" s="40">
        <v>25.9</v>
      </c>
      <c r="Y32" s="40">
        <v>25.1</v>
      </c>
      <c r="Z32" s="40">
        <v>25.4</v>
      </c>
      <c r="AA32" s="40">
        <v>25.7</v>
      </c>
      <c r="AB32" s="40">
        <v>25.8</v>
      </c>
      <c r="AC32" s="40">
        <v>25.6</v>
      </c>
      <c r="AD32" s="40">
        <v>25.4</v>
      </c>
      <c r="AE32" s="40">
        <v>25</v>
      </c>
      <c r="AF32" s="40">
        <v>25</v>
      </c>
      <c r="AG32" s="40">
        <v>25</v>
      </c>
      <c r="AH32" s="54">
        <f t="shared" si="3"/>
        <v>25.9</v>
      </c>
      <c r="AI32" s="67">
        <f t="shared" si="4"/>
        <v>23</v>
      </c>
      <c r="AJ32" s="45">
        <f t="shared" si="5"/>
        <v>25.084615384615386</v>
      </c>
      <c r="AM32" s="44">
        <v>18</v>
      </c>
      <c r="AN32" s="40">
        <v>22.426257580226199</v>
      </c>
      <c r="AO32" s="40">
        <v>23.319679814146195</v>
      </c>
      <c r="AP32" s="40">
        <v>23.379452040413032</v>
      </c>
      <c r="AQ32" s="40">
        <v>24.426638316096405</v>
      </c>
      <c r="AR32" s="40">
        <v>22.735651632091447</v>
      </c>
      <c r="AS32" s="40">
        <v>23.073120255376931</v>
      </c>
      <c r="AT32" s="40">
        <v>23.318613134823512</v>
      </c>
      <c r="AU32" s="40">
        <v>23.746748358606883</v>
      </c>
      <c r="AV32" s="40">
        <v>23.615405006377451</v>
      </c>
      <c r="AW32" s="40">
        <v>23.755443039226666</v>
      </c>
      <c r="AX32" s="40">
        <v>23.862170856686003</v>
      </c>
      <c r="AY32" s="40">
        <v>24.388027271235554</v>
      </c>
      <c r="AZ32" s="40">
        <v>24.474280736128826</v>
      </c>
      <c r="BA32" s="54">
        <f t="shared" si="6"/>
        <v>24.474280736128826</v>
      </c>
      <c r="BB32" s="67">
        <f t="shared" si="7"/>
        <v>22.426257580226199</v>
      </c>
      <c r="BC32" s="45">
        <f t="shared" si="8"/>
        <v>23.578576003187315</v>
      </c>
    </row>
    <row r="33" spans="1:55" s="2" customFormat="1" ht="14.25" customHeight="1" x14ac:dyDescent="0.25">
      <c r="A33" s="44">
        <v>19</v>
      </c>
      <c r="B33" s="40">
        <v>22.4</v>
      </c>
      <c r="C33" s="40">
        <v>23</v>
      </c>
      <c r="D33" s="40">
        <v>25</v>
      </c>
      <c r="E33" s="40">
        <v>26</v>
      </c>
      <c r="F33" s="40">
        <v>28</v>
      </c>
      <c r="G33" s="40">
        <v>29.8</v>
      </c>
      <c r="H33" s="40">
        <v>30</v>
      </c>
      <c r="I33" s="40">
        <v>29.8</v>
      </c>
      <c r="J33" s="40">
        <v>29.2</v>
      </c>
      <c r="K33" s="40">
        <v>29.2</v>
      </c>
      <c r="L33" s="40">
        <v>28.8</v>
      </c>
      <c r="M33" s="40">
        <v>27.4</v>
      </c>
      <c r="N33" s="40">
        <v>27</v>
      </c>
      <c r="O33" s="54">
        <f t="shared" si="0"/>
        <v>30</v>
      </c>
      <c r="P33" s="67">
        <f t="shared" si="1"/>
        <v>22.4</v>
      </c>
      <c r="Q33" s="45">
        <f t="shared" si="2"/>
        <v>27.353846153846156</v>
      </c>
      <c r="T33" s="44">
        <v>19</v>
      </c>
      <c r="U33" s="40">
        <v>21.6</v>
      </c>
      <c r="V33" s="40">
        <v>22</v>
      </c>
      <c r="W33" s="40">
        <v>22.8</v>
      </c>
      <c r="X33" s="40">
        <v>23.4</v>
      </c>
      <c r="Y33" s="40">
        <v>24</v>
      </c>
      <c r="Z33" s="40">
        <v>24.4</v>
      </c>
      <c r="AA33" s="40">
        <v>24.6</v>
      </c>
      <c r="AB33" s="40">
        <v>25</v>
      </c>
      <c r="AC33" s="40">
        <v>24.8</v>
      </c>
      <c r="AD33" s="40">
        <v>25.2</v>
      </c>
      <c r="AE33" s="40">
        <v>24.8</v>
      </c>
      <c r="AF33" s="40">
        <v>23.8</v>
      </c>
      <c r="AG33" s="40">
        <v>24.1</v>
      </c>
      <c r="AH33" s="54">
        <f t="shared" si="3"/>
        <v>25.2</v>
      </c>
      <c r="AI33" s="67">
        <f t="shared" si="4"/>
        <v>21.6</v>
      </c>
      <c r="AJ33" s="45">
        <f t="shared" si="5"/>
        <v>23.88461538461539</v>
      </c>
      <c r="AM33" s="44">
        <v>19</v>
      </c>
      <c r="AN33" s="40">
        <v>21.09213250543441</v>
      </c>
      <c r="AO33" s="40">
        <v>21.399934936046588</v>
      </c>
      <c r="AP33" s="40">
        <v>21.630572531215108</v>
      </c>
      <c r="AQ33" s="40">
        <v>22.070718744685575</v>
      </c>
      <c r="AR33" s="40">
        <v>22.037563837182521</v>
      </c>
      <c r="AS33" s="40">
        <v>21.797098187157214</v>
      </c>
      <c r="AT33" s="40">
        <v>22.025168782248613</v>
      </c>
      <c r="AU33" s="40">
        <v>22.764750111093644</v>
      </c>
      <c r="AV33" s="40">
        <v>22.730458944972405</v>
      </c>
      <c r="AW33" s="40">
        <v>23.356890846549941</v>
      </c>
      <c r="AX33" s="40">
        <v>22.918167167153779</v>
      </c>
      <c r="AY33" s="40">
        <v>22.013710163189856</v>
      </c>
      <c r="AZ33" s="40">
        <v>22.67545063457851</v>
      </c>
      <c r="BA33" s="54">
        <f t="shared" si="6"/>
        <v>23.356890846549941</v>
      </c>
      <c r="BB33" s="67">
        <f t="shared" si="7"/>
        <v>21.09213250543441</v>
      </c>
      <c r="BC33" s="45">
        <f t="shared" si="8"/>
        <v>22.19327826088524</v>
      </c>
    </row>
    <row r="34" spans="1:55" s="2" customFormat="1" ht="14.25" customHeight="1" x14ac:dyDescent="0.25">
      <c r="A34" s="44">
        <v>20</v>
      </c>
      <c r="B34" s="40">
        <v>24.3</v>
      </c>
      <c r="C34" s="40">
        <v>25.4</v>
      </c>
      <c r="D34" s="40">
        <v>26.9</v>
      </c>
      <c r="E34" s="40">
        <v>28</v>
      </c>
      <c r="F34" s="40">
        <v>29.4</v>
      </c>
      <c r="G34" s="40">
        <v>29.3</v>
      </c>
      <c r="H34" s="40">
        <v>27.8</v>
      </c>
      <c r="I34" s="40">
        <v>28.4</v>
      </c>
      <c r="J34" s="40">
        <v>27.6</v>
      </c>
      <c r="K34" s="40">
        <v>27.2</v>
      </c>
      <c r="L34" s="40">
        <v>26.7</v>
      </c>
      <c r="M34" s="40">
        <v>26</v>
      </c>
      <c r="N34" s="40">
        <v>25.4</v>
      </c>
      <c r="O34" s="54">
        <f t="shared" si="0"/>
        <v>29.4</v>
      </c>
      <c r="P34" s="67">
        <f t="shared" si="1"/>
        <v>24.3</v>
      </c>
      <c r="Q34" s="45">
        <f t="shared" si="2"/>
        <v>27.107692307692307</v>
      </c>
      <c r="T34" s="44">
        <v>20</v>
      </c>
      <c r="U34" s="40">
        <v>23.7</v>
      </c>
      <c r="V34" s="40">
        <v>24.2</v>
      </c>
      <c r="W34" s="40">
        <v>24.4</v>
      </c>
      <c r="X34" s="40">
        <v>25.2</v>
      </c>
      <c r="Y34" s="40">
        <v>25.8</v>
      </c>
      <c r="Z34" s="40">
        <v>25.9</v>
      </c>
      <c r="AA34" s="40">
        <v>25.1</v>
      </c>
      <c r="AB34" s="40">
        <v>25.3</v>
      </c>
      <c r="AC34" s="40">
        <v>24.3</v>
      </c>
      <c r="AD34" s="40">
        <v>24.6</v>
      </c>
      <c r="AE34" s="40">
        <v>24.3</v>
      </c>
      <c r="AF34" s="40">
        <v>24</v>
      </c>
      <c r="AG34" s="40">
        <v>23.6</v>
      </c>
      <c r="AH34" s="54">
        <f t="shared" si="3"/>
        <v>25.9</v>
      </c>
      <c r="AI34" s="67">
        <f t="shared" si="4"/>
        <v>23.6</v>
      </c>
      <c r="AJ34" s="45">
        <f t="shared" si="5"/>
        <v>24.646153846153847</v>
      </c>
      <c r="AM34" s="44">
        <v>20</v>
      </c>
      <c r="AN34" s="40">
        <v>23.327399371864619</v>
      </c>
      <c r="AO34" s="40">
        <v>23.565735043217593</v>
      </c>
      <c r="AP34" s="40">
        <v>23.182038337621304</v>
      </c>
      <c r="AQ34" s="40">
        <v>23.896682202951688</v>
      </c>
      <c r="AR34" s="40">
        <v>24.188619083047605</v>
      </c>
      <c r="AS34" s="40">
        <v>24.383449926239994</v>
      </c>
      <c r="AT34" s="40">
        <v>23.834716079901977</v>
      </c>
      <c r="AU34" s="40">
        <v>23.870380015471763</v>
      </c>
      <c r="AV34" s="40">
        <v>22.70184305017392</v>
      </c>
      <c r="AW34" s="40">
        <v>23.348482445095115</v>
      </c>
      <c r="AX34" s="40">
        <v>23.122212048616081</v>
      </c>
      <c r="AY34" s="40">
        <v>22.991501967304046</v>
      </c>
      <c r="AZ34" s="40">
        <v>22.666490581585112</v>
      </c>
      <c r="BA34" s="54">
        <f t="shared" si="6"/>
        <v>24.383449926239994</v>
      </c>
      <c r="BB34" s="67">
        <f t="shared" si="7"/>
        <v>22.666490581585112</v>
      </c>
      <c r="BC34" s="45">
        <f t="shared" si="8"/>
        <v>23.467657704083901</v>
      </c>
    </row>
    <row r="35" spans="1:55" s="2" customFormat="1" ht="14.25" customHeight="1" x14ac:dyDescent="0.25">
      <c r="A35" s="44">
        <v>21</v>
      </c>
      <c r="B35" s="40">
        <v>24.4</v>
      </c>
      <c r="C35" s="40">
        <v>25</v>
      </c>
      <c r="D35" s="40">
        <v>24.4</v>
      </c>
      <c r="E35" s="40">
        <v>26</v>
      </c>
      <c r="F35" s="40">
        <v>27.7</v>
      </c>
      <c r="G35" s="40">
        <v>28.4</v>
      </c>
      <c r="H35" s="40">
        <v>27.4</v>
      </c>
      <c r="I35" s="40">
        <v>28.6</v>
      </c>
      <c r="J35" s="40">
        <v>28.3</v>
      </c>
      <c r="K35" s="40">
        <v>27.3</v>
      </c>
      <c r="L35" s="40">
        <v>26.8</v>
      </c>
      <c r="M35" s="40">
        <v>25.9</v>
      </c>
      <c r="N35" s="40">
        <v>25.7</v>
      </c>
      <c r="O35" s="54">
        <f t="shared" si="0"/>
        <v>28.6</v>
      </c>
      <c r="P35" s="67">
        <f t="shared" si="1"/>
        <v>24.4</v>
      </c>
      <c r="Q35" s="45">
        <f t="shared" si="2"/>
        <v>26.607692307692307</v>
      </c>
      <c r="T35" s="44">
        <v>21</v>
      </c>
      <c r="U35" s="40">
        <v>23.2</v>
      </c>
      <c r="V35" s="40">
        <v>24</v>
      </c>
      <c r="W35" s="40">
        <v>23.4</v>
      </c>
      <c r="X35" s="40">
        <v>23.8</v>
      </c>
      <c r="Y35" s="40">
        <v>24.3</v>
      </c>
      <c r="Z35" s="40">
        <v>24.9</v>
      </c>
      <c r="AA35" s="40">
        <v>24.8</v>
      </c>
      <c r="AB35" s="40">
        <v>25.1</v>
      </c>
      <c r="AC35" s="40">
        <v>24.9</v>
      </c>
      <c r="AD35" s="40">
        <v>24.4</v>
      </c>
      <c r="AE35" s="40">
        <v>24.2</v>
      </c>
      <c r="AF35" s="40">
        <v>24.1</v>
      </c>
      <c r="AG35" s="40">
        <v>24.4</v>
      </c>
      <c r="AH35" s="54">
        <f t="shared" si="3"/>
        <v>25.1</v>
      </c>
      <c r="AI35" s="67">
        <f t="shared" si="4"/>
        <v>23.2</v>
      </c>
      <c r="AJ35" s="45">
        <f t="shared" si="5"/>
        <v>24.26923076923077</v>
      </c>
      <c r="AM35" s="44">
        <v>21</v>
      </c>
      <c r="AN35" s="40">
        <v>22.536281516172753</v>
      </c>
      <c r="AO35" s="40">
        <v>23.451002870250118</v>
      </c>
      <c r="AP35" s="40">
        <v>22.836338621391949</v>
      </c>
      <c r="AQ35" s="40">
        <v>22.687327425827569</v>
      </c>
      <c r="AR35" s="40">
        <v>22.654552974113553</v>
      </c>
      <c r="AS35" s="40">
        <v>23.258658976964448</v>
      </c>
      <c r="AT35" s="40">
        <v>23.560870599375164</v>
      </c>
      <c r="AU35" s="40">
        <v>23.475386165272468</v>
      </c>
      <c r="AV35" s="40">
        <v>23.304466870995164</v>
      </c>
      <c r="AW35" s="40">
        <v>22.99694745290844</v>
      </c>
      <c r="AX35" s="40">
        <v>22.923225481997395</v>
      </c>
      <c r="AY35" s="40">
        <v>23.188679845085296</v>
      </c>
      <c r="AZ35" s="40">
        <v>23.726717585505579</v>
      </c>
      <c r="BA35" s="54">
        <f t="shared" si="6"/>
        <v>23.726717585505579</v>
      </c>
      <c r="BB35" s="67">
        <f t="shared" si="7"/>
        <v>22.536281516172753</v>
      </c>
      <c r="BC35" s="45">
        <f t="shared" si="8"/>
        <v>23.123112029681529</v>
      </c>
    </row>
    <row r="36" spans="1:55" s="2" customFormat="1" ht="14.25" customHeight="1" x14ac:dyDescent="0.25">
      <c r="A36" s="44">
        <v>22</v>
      </c>
      <c r="B36" s="40">
        <v>25.2</v>
      </c>
      <c r="C36" s="40">
        <v>26.8</v>
      </c>
      <c r="D36" s="40">
        <v>26</v>
      </c>
      <c r="E36" s="40">
        <v>27.9</v>
      </c>
      <c r="F36" s="40">
        <v>28.6</v>
      </c>
      <c r="G36" s="40">
        <v>29.2</v>
      </c>
      <c r="H36" s="40">
        <v>28.8</v>
      </c>
      <c r="I36" s="40">
        <v>26.9</v>
      </c>
      <c r="J36" s="40">
        <v>25.5</v>
      </c>
      <c r="K36" s="40">
        <v>25.7</v>
      </c>
      <c r="L36" s="40">
        <v>25.3</v>
      </c>
      <c r="M36" s="40">
        <v>23.5</v>
      </c>
      <c r="N36" s="40">
        <v>23.2</v>
      </c>
      <c r="O36" s="54">
        <f t="shared" si="0"/>
        <v>29.2</v>
      </c>
      <c r="P36" s="67">
        <f t="shared" si="1"/>
        <v>23.2</v>
      </c>
      <c r="Q36" s="45">
        <f t="shared" si="2"/>
        <v>26.353846153846156</v>
      </c>
      <c r="T36" s="44">
        <v>22</v>
      </c>
      <c r="U36" s="40">
        <v>23.7</v>
      </c>
      <c r="V36" s="40">
        <v>24.4</v>
      </c>
      <c r="W36" s="40">
        <v>24.8</v>
      </c>
      <c r="X36" s="40">
        <v>25</v>
      </c>
      <c r="Y36" s="40">
        <v>25.4</v>
      </c>
      <c r="Z36" s="40">
        <v>25.2</v>
      </c>
      <c r="AA36" s="40">
        <v>25.1</v>
      </c>
      <c r="AB36" s="40">
        <v>24.2</v>
      </c>
      <c r="AC36" s="40">
        <v>23.8</v>
      </c>
      <c r="AD36" s="40">
        <v>24</v>
      </c>
      <c r="AE36" s="40">
        <v>23.6</v>
      </c>
      <c r="AF36" s="40">
        <v>22.6</v>
      </c>
      <c r="AG36" s="40">
        <v>22.4</v>
      </c>
      <c r="AH36" s="54">
        <f t="shared" si="3"/>
        <v>25.4</v>
      </c>
      <c r="AI36" s="67">
        <f t="shared" si="4"/>
        <v>22.4</v>
      </c>
      <c r="AJ36" s="45">
        <f t="shared" si="5"/>
        <v>24.169230769230769</v>
      </c>
      <c r="AM36" s="44">
        <v>22</v>
      </c>
      <c r="AN36" s="40">
        <v>22.911629293602342</v>
      </c>
      <c r="AO36" s="40">
        <v>23.228029920116789</v>
      </c>
      <c r="AP36" s="40">
        <v>24.182556068191992</v>
      </c>
      <c r="AQ36" s="40">
        <v>23.638712100099621</v>
      </c>
      <c r="AR36" s="40">
        <v>23.933335820614669</v>
      </c>
      <c r="AS36" s="40">
        <v>23.356890846549941</v>
      </c>
      <c r="AT36" s="40">
        <v>23.384482525746265</v>
      </c>
      <c r="AU36" s="40">
        <v>22.876487248035627</v>
      </c>
      <c r="AV36" s="40">
        <v>22.922189807747518</v>
      </c>
      <c r="AW36" s="40">
        <v>23.130525571971543</v>
      </c>
      <c r="AX36" s="40">
        <v>22.713748663769724</v>
      </c>
      <c r="AY36" s="40">
        <v>22.06483851697341</v>
      </c>
      <c r="AZ36" s="40">
        <v>21.909432598448738</v>
      </c>
      <c r="BA36" s="54">
        <f t="shared" si="6"/>
        <v>24.182556068191992</v>
      </c>
      <c r="BB36" s="67">
        <f t="shared" si="7"/>
        <v>21.909432598448738</v>
      </c>
      <c r="BC36" s="45">
        <f t="shared" si="8"/>
        <v>23.096373767836017</v>
      </c>
    </row>
    <row r="37" spans="1:55" s="2" customFormat="1" ht="14.25" customHeight="1" x14ac:dyDescent="0.25">
      <c r="A37" s="44">
        <v>23</v>
      </c>
      <c r="B37" s="40">
        <v>24.5</v>
      </c>
      <c r="C37" s="40">
        <v>26</v>
      </c>
      <c r="D37" s="40">
        <v>27.5</v>
      </c>
      <c r="E37" s="40">
        <v>28.2</v>
      </c>
      <c r="F37" s="40">
        <v>29</v>
      </c>
      <c r="G37" s="40">
        <v>29.6</v>
      </c>
      <c r="H37" s="40">
        <v>30.1</v>
      </c>
      <c r="I37" s="40">
        <v>30.8</v>
      </c>
      <c r="J37" s="40">
        <v>29.9</v>
      </c>
      <c r="K37" s="40">
        <v>28.6</v>
      </c>
      <c r="L37" s="40">
        <v>27.3</v>
      </c>
      <c r="M37" s="40">
        <v>26.6</v>
      </c>
      <c r="N37" s="40">
        <v>26.4</v>
      </c>
      <c r="O37" s="54">
        <f t="shared" si="0"/>
        <v>30.8</v>
      </c>
      <c r="P37" s="67">
        <f t="shared" si="1"/>
        <v>24.5</v>
      </c>
      <c r="Q37" s="45">
        <f t="shared" si="2"/>
        <v>28.03846153846154</v>
      </c>
      <c r="T37" s="44">
        <v>23</v>
      </c>
      <c r="U37" s="40">
        <v>23</v>
      </c>
      <c r="V37" s="40">
        <v>23.5</v>
      </c>
      <c r="W37" s="40">
        <v>23.6</v>
      </c>
      <c r="X37" s="40">
        <v>24</v>
      </c>
      <c r="Y37" s="40">
        <v>24</v>
      </c>
      <c r="Z37" s="40">
        <v>24.6</v>
      </c>
      <c r="AA37" s="40">
        <v>25</v>
      </c>
      <c r="AB37" s="40">
        <v>25.8</v>
      </c>
      <c r="AC37" s="40">
        <v>25.4</v>
      </c>
      <c r="AD37" s="40">
        <v>25.1</v>
      </c>
      <c r="AE37" s="40">
        <v>24.6</v>
      </c>
      <c r="AF37" s="40">
        <v>24.6</v>
      </c>
      <c r="AG37" s="40">
        <v>24.8</v>
      </c>
      <c r="AH37" s="54">
        <f t="shared" si="3"/>
        <v>25.8</v>
      </c>
      <c r="AI37" s="67">
        <f t="shared" si="4"/>
        <v>23</v>
      </c>
      <c r="AJ37" s="45">
        <f t="shared" si="5"/>
        <v>24.461538461538467</v>
      </c>
      <c r="AM37" s="44">
        <v>23</v>
      </c>
      <c r="AN37" s="40">
        <v>22.185108955306031</v>
      </c>
      <c r="AO37" s="40">
        <v>22.225930438363672</v>
      </c>
      <c r="AP37" s="40">
        <v>21.645639223246523</v>
      </c>
      <c r="AQ37" s="40">
        <v>21.939456220143654</v>
      </c>
      <c r="AR37" s="40">
        <v>21.541810194989623</v>
      </c>
      <c r="AS37" s="40">
        <v>22.219995210731696</v>
      </c>
      <c r="AT37" s="40">
        <v>22.622991398306905</v>
      </c>
      <c r="AU37" s="40">
        <v>23.56709069326994</v>
      </c>
      <c r="AV37" s="40">
        <v>23.348998535378588</v>
      </c>
      <c r="AW37" s="40">
        <v>23.475386165272468</v>
      </c>
      <c r="AX37" s="40">
        <v>23.30278174465375</v>
      </c>
      <c r="AY37" s="40">
        <v>23.620401055617794</v>
      </c>
      <c r="AZ37" s="40">
        <v>24.00699031261323</v>
      </c>
      <c r="BA37" s="54">
        <f t="shared" si="6"/>
        <v>24.00699031261323</v>
      </c>
      <c r="BB37" s="67">
        <f t="shared" si="7"/>
        <v>21.541810194989623</v>
      </c>
      <c r="BC37" s="45">
        <f t="shared" si="8"/>
        <v>22.746352319068762</v>
      </c>
    </row>
    <row r="38" spans="1:55" s="2" customFormat="1" ht="14.25" customHeight="1" x14ac:dyDescent="0.25">
      <c r="A38" s="44">
        <v>24</v>
      </c>
      <c r="B38" s="40">
        <v>24</v>
      </c>
      <c r="C38" s="40">
        <v>25.2</v>
      </c>
      <c r="D38" s="40">
        <v>26.8</v>
      </c>
      <c r="E38" s="40">
        <v>27</v>
      </c>
      <c r="F38" s="40">
        <v>28</v>
      </c>
      <c r="G38" s="40">
        <v>29</v>
      </c>
      <c r="H38" s="40">
        <v>28.6</v>
      </c>
      <c r="I38" s="40">
        <v>27.9</v>
      </c>
      <c r="J38" s="40">
        <v>28.1</v>
      </c>
      <c r="K38" s="40">
        <v>27.6</v>
      </c>
      <c r="L38" s="40">
        <v>25.8</v>
      </c>
      <c r="M38" s="40">
        <v>25.2</v>
      </c>
      <c r="N38" s="40">
        <v>25.2</v>
      </c>
      <c r="O38" s="54">
        <f t="shared" si="0"/>
        <v>29</v>
      </c>
      <c r="P38" s="67">
        <f t="shared" si="1"/>
        <v>24</v>
      </c>
      <c r="Q38" s="45">
        <f t="shared" si="2"/>
        <v>26.799999999999997</v>
      </c>
      <c r="T38" s="44">
        <v>24</v>
      </c>
      <c r="U38" s="40">
        <v>23.4</v>
      </c>
      <c r="V38" s="40">
        <v>23.8</v>
      </c>
      <c r="W38" s="40">
        <v>24.2</v>
      </c>
      <c r="X38" s="40">
        <v>24.4</v>
      </c>
      <c r="Y38" s="40">
        <v>24.7</v>
      </c>
      <c r="Z38" s="40">
        <v>25.4</v>
      </c>
      <c r="AA38" s="40">
        <v>25.2</v>
      </c>
      <c r="AB38" s="40">
        <v>24.7</v>
      </c>
      <c r="AC38" s="40">
        <v>24.8</v>
      </c>
      <c r="AD38" s="40">
        <v>24.6</v>
      </c>
      <c r="AE38" s="40">
        <v>24.6</v>
      </c>
      <c r="AF38" s="40">
        <v>24.4</v>
      </c>
      <c r="AG38" s="40">
        <v>24.4</v>
      </c>
      <c r="AH38" s="54">
        <f t="shared" si="3"/>
        <v>25.4</v>
      </c>
      <c r="AI38" s="67">
        <f t="shared" si="4"/>
        <v>23.4</v>
      </c>
      <c r="AJ38" s="45">
        <f t="shared" si="5"/>
        <v>24.507692307692306</v>
      </c>
      <c r="AM38" s="44">
        <v>24</v>
      </c>
      <c r="AN38" s="40">
        <v>23.022986804446777</v>
      </c>
      <c r="AO38" s="40">
        <v>23.061719670002304</v>
      </c>
      <c r="AP38" s="40">
        <v>22.923225481997395</v>
      </c>
      <c r="AQ38" s="40">
        <v>23.135934889422426</v>
      </c>
      <c r="AR38" s="40">
        <v>23.134266780435102</v>
      </c>
      <c r="AS38" s="40">
        <v>23.755443039226666</v>
      </c>
      <c r="AT38" s="40">
        <v>23.628701010435609</v>
      </c>
      <c r="AU38" s="40">
        <v>23.180375201803859</v>
      </c>
      <c r="AV38" s="40">
        <v>23.242241452753913</v>
      </c>
      <c r="AW38" s="40">
        <v>23.165015271595813</v>
      </c>
      <c r="AX38" s="40">
        <v>23.977017614815619</v>
      </c>
      <c r="AY38" s="40">
        <v>23.949143190637258</v>
      </c>
      <c r="AZ38" s="40">
        <v>23.949143190637258</v>
      </c>
      <c r="BA38" s="54">
        <f t="shared" si="6"/>
        <v>23.977017614815619</v>
      </c>
      <c r="BB38" s="67">
        <f t="shared" si="7"/>
        <v>22.923225481997395</v>
      </c>
      <c r="BC38" s="45">
        <f t="shared" si="8"/>
        <v>23.394247199862303</v>
      </c>
    </row>
    <row r="39" spans="1:55" s="2" customFormat="1" ht="14.25" customHeight="1" x14ac:dyDescent="0.25">
      <c r="A39" s="44">
        <v>25</v>
      </c>
      <c r="B39" s="40">
        <v>25.3</v>
      </c>
      <c r="C39" s="40">
        <v>26.6</v>
      </c>
      <c r="D39" s="40">
        <v>27.6</v>
      </c>
      <c r="E39" s="40">
        <v>28.9</v>
      </c>
      <c r="F39" s="40">
        <v>29</v>
      </c>
      <c r="G39" s="40">
        <v>28.6</v>
      </c>
      <c r="H39" s="40">
        <v>26.1</v>
      </c>
      <c r="I39" s="40">
        <v>26</v>
      </c>
      <c r="J39" s="40">
        <v>25.4</v>
      </c>
      <c r="K39" s="40">
        <v>25</v>
      </c>
      <c r="L39" s="40">
        <v>24.4</v>
      </c>
      <c r="M39" s="40">
        <v>24</v>
      </c>
      <c r="N39" s="40">
        <v>23.8</v>
      </c>
      <c r="O39" s="54">
        <f t="shared" si="0"/>
        <v>29</v>
      </c>
      <c r="P39" s="67">
        <f t="shared" si="1"/>
        <v>23.8</v>
      </c>
      <c r="Q39" s="45">
        <f t="shared" si="2"/>
        <v>26.207692307692305</v>
      </c>
      <c r="T39" s="44">
        <v>25</v>
      </c>
      <c r="U39" s="40">
        <v>23.2</v>
      </c>
      <c r="V39" s="40">
        <v>24.3</v>
      </c>
      <c r="W39" s="40">
        <v>24.9</v>
      </c>
      <c r="X39" s="40">
        <v>25.1</v>
      </c>
      <c r="Y39" s="40">
        <v>25.2</v>
      </c>
      <c r="Z39" s="40">
        <v>25.4</v>
      </c>
      <c r="AA39" s="40">
        <v>24</v>
      </c>
      <c r="AB39" s="40">
        <v>24.2</v>
      </c>
      <c r="AC39" s="40">
        <v>24</v>
      </c>
      <c r="AD39" s="40">
        <v>24</v>
      </c>
      <c r="AE39" s="40">
        <v>23.4</v>
      </c>
      <c r="AF39" s="40">
        <v>23.2</v>
      </c>
      <c r="AG39" s="40">
        <v>23.2</v>
      </c>
      <c r="AH39" s="54">
        <f t="shared" si="3"/>
        <v>25.4</v>
      </c>
      <c r="AI39" s="67">
        <f t="shared" si="4"/>
        <v>23.2</v>
      </c>
      <c r="AJ39" s="45">
        <f t="shared" si="5"/>
        <v>24.161538461538459</v>
      </c>
      <c r="AM39" s="44">
        <v>25</v>
      </c>
      <c r="AN39" s="40">
        <v>22.102530529200802</v>
      </c>
      <c r="AO39" s="40">
        <v>23.168348548456951</v>
      </c>
      <c r="AP39" s="40">
        <v>23.622064642707777</v>
      </c>
      <c r="AQ39" s="40">
        <v>23.338866991593473</v>
      </c>
      <c r="AR39" s="40">
        <v>23.447926951785295</v>
      </c>
      <c r="AS39" s="40">
        <v>23.933335820614669</v>
      </c>
      <c r="AT39" s="40">
        <v>22.944932944191581</v>
      </c>
      <c r="AU39" s="40">
        <v>23.293034575471221</v>
      </c>
      <c r="AV39" s="40">
        <v>23.268536476619335</v>
      </c>
      <c r="AW39" s="40">
        <v>23.451002870250118</v>
      </c>
      <c r="AX39" s="40">
        <v>22.836338621391949</v>
      </c>
      <c r="AY39" s="40">
        <v>22.725900467116261</v>
      </c>
      <c r="AZ39" s="40">
        <v>22.82000049036704</v>
      </c>
      <c r="BA39" s="54">
        <f t="shared" si="6"/>
        <v>23.933335820614669</v>
      </c>
      <c r="BB39" s="67">
        <f t="shared" si="7"/>
        <v>22.102530529200802</v>
      </c>
      <c r="BC39" s="45">
        <f t="shared" si="8"/>
        <v>23.150216917674342</v>
      </c>
    </row>
    <row r="40" spans="1:55" s="2" customFormat="1" ht="14.25" customHeight="1" x14ac:dyDescent="0.25">
      <c r="A40" s="44">
        <v>26</v>
      </c>
      <c r="B40" s="40">
        <v>24.2</v>
      </c>
      <c r="C40" s="40">
        <v>24.7</v>
      </c>
      <c r="D40" s="40">
        <v>25</v>
      </c>
      <c r="E40" s="40">
        <v>25</v>
      </c>
      <c r="F40" s="40">
        <v>25.8</v>
      </c>
      <c r="G40" s="40">
        <v>27.2</v>
      </c>
      <c r="H40" s="40">
        <v>26</v>
      </c>
      <c r="I40" s="40">
        <v>26.8</v>
      </c>
      <c r="J40" s="40">
        <v>26.6</v>
      </c>
      <c r="K40" s="40">
        <v>26.1</v>
      </c>
      <c r="L40" s="40">
        <v>25.8</v>
      </c>
      <c r="M40" s="40">
        <v>25.5</v>
      </c>
      <c r="N40" s="40">
        <v>25.2</v>
      </c>
      <c r="O40" s="54">
        <f t="shared" si="0"/>
        <v>27.2</v>
      </c>
      <c r="P40" s="67">
        <f t="shared" si="1"/>
        <v>24.2</v>
      </c>
      <c r="Q40" s="45">
        <f t="shared" si="2"/>
        <v>25.684615384615388</v>
      </c>
      <c r="T40" s="44">
        <v>26</v>
      </c>
      <c r="U40" s="40">
        <v>23.4</v>
      </c>
      <c r="V40" s="40">
        <v>23.7</v>
      </c>
      <c r="W40" s="40">
        <v>23.8</v>
      </c>
      <c r="X40" s="40">
        <v>23.7</v>
      </c>
      <c r="Y40" s="40">
        <v>24</v>
      </c>
      <c r="Z40" s="40">
        <v>24.8</v>
      </c>
      <c r="AA40" s="40">
        <v>24.2</v>
      </c>
      <c r="AB40" s="40">
        <v>24.5</v>
      </c>
      <c r="AC40" s="40">
        <v>23.8</v>
      </c>
      <c r="AD40" s="40">
        <v>23.8</v>
      </c>
      <c r="AE40" s="40">
        <v>24</v>
      </c>
      <c r="AF40" s="40">
        <v>24.1</v>
      </c>
      <c r="AG40" s="40">
        <v>24.2</v>
      </c>
      <c r="AH40" s="54">
        <f t="shared" si="3"/>
        <v>24.8</v>
      </c>
      <c r="AI40" s="67">
        <f t="shared" si="4"/>
        <v>23.4</v>
      </c>
      <c r="AJ40" s="45">
        <f t="shared" si="5"/>
        <v>24.000000000000004</v>
      </c>
      <c r="AM40" s="44">
        <v>26</v>
      </c>
      <c r="AN40" s="40">
        <v>22.929892936995007</v>
      </c>
      <c r="AO40" s="40">
        <v>23.143738191814908</v>
      </c>
      <c r="AP40" s="40">
        <v>23.154171566343187</v>
      </c>
      <c r="AQ40" s="40">
        <v>23.004814665351681</v>
      </c>
      <c r="AR40" s="40">
        <v>23.084297681296647</v>
      </c>
      <c r="AS40" s="40">
        <v>23.650934676208223</v>
      </c>
      <c r="AT40" s="40">
        <v>23.293034575471221</v>
      </c>
      <c r="AU40" s="40">
        <v>23.379436669800825</v>
      </c>
      <c r="AV40" s="40">
        <v>22.401579926224102</v>
      </c>
      <c r="AW40" s="40">
        <v>22.640002457234171</v>
      </c>
      <c r="AX40" s="40">
        <v>23.084297681296647</v>
      </c>
      <c r="AY40" s="40">
        <v>23.371913273129401</v>
      </c>
      <c r="AZ40" s="40">
        <v>23.655772475405435</v>
      </c>
      <c r="BA40" s="54">
        <f t="shared" si="6"/>
        <v>23.655772475405435</v>
      </c>
      <c r="BB40" s="67">
        <f t="shared" si="7"/>
        <v>22.401579926224102</v>
      </c>
      <c r="BC40" s="45">
        <f t="shared" si="8"/>
        <v>23.137991290505497</v>
      </c>
    </row>
    <row r="41" spans="1:55" s="2" customFormat="1" ht="14.25" customHeight="1" x14ac:dyDescent="0.25">
      <c r="A41" s="44">
        <v>27</v>
      </c>
      <c r="B41" s="40">
        <v>24.6</v>
      </c>
      <c r="C41" s="40">
        <v>26.2</v>
      </c>
      <c r="D41" s="40">
        <v>27</v>
      </c>
      <c r="E41" s="40">
        <v>28.4</v>
      </c>
      <c r="F41" s="40">
        <v>28.9</v>
      </c>
      <c r="G41" s="40">
        <v>29.5</v>
      </c>
      <c r="H41" s="40">
        <v>30</v>
      </c>
      <c r="I41" s="40">
        <v>28.6</v>
      </c>
      <c r="J41" s="40">
        <v>28.6</v>
      </c>
      <c r="K41" s="40">
        <v>26.6</v>
      </c>
      <c r="L41" s="40">
        <v>25.6</v>
      </c>
      <c r="M41" s="40">
        <v>24</v>
      </c>
      <c r="N41" s="40">
        <v>24.1</v>
      </c>
      <c r="O41" s="54">
        <f t="shared" si="0"/>
        <v>30</v>
      </c>
      <c r="P41" s="67">
        <f t="shared" si="1"/>
        <v>24</v>
      </c>
      <c r="Q41" s="45">
        <f t="shared" si="2"/>
        <v>27.084615384615386</v>
      </c>
      <c r="T41" s="44">
        <v>27</v>
      </c>
      <c r="U41" s="40">
        <v>22.9</v>
      </c>
      <c r="V41" s="40">
        <v>23.3</v>
      </c>
      <c r="W41" s="40">
        <v>23.3</v>
      </c>
      <c r="X41" s="40">
        <v>25.2</v>
      </c>
      <c r="Y41" s="40">
        <v>24</v>
      </c>
      <c r="Z41" s="40">
        <v>23.8</v>
      </c>
      <c r="AA41" s="40">
        <v>24.1</v>
      </c>
      <c r="AB41" s="40">
        <v>23.6</v>
      </c>
      <c r="AC41" s="40">
        <v>23.6</v>
      </c>
      <c r="AD41" s="40">
        <v>24.2</v>
      </c>
      <c r="AE41" s="40">
        <v>23.6</v>
      </c>
      <c r="AF41" s="40">
        <v>22</v>
      </c>
      <c r="AG41" s="40">
        <v>23.1</v>
      </c>
      <c r="AH41" s="54">
        <f t="shared" si="3"/>
        <v>25.2</v>
      </c>
      <c r="AI41" s="67">
        <f t="shared" si="4"/>
        <v>22</v>
      </c>
      <c r="AJ41" s="45">
        <f t="shared" si="5"/>
        <v>23.592307692307692</v>
      </c>
      <c r="AM41" s="44">
        <v>27</v>
      </c>
      <c r="AN41" s="40">
        <v>21.98335181668131</v>
      </c>
      <c r="AO41" s="40">
        <v>21.816032819952813</v>
      </c>
      <c r="AP41" s="40">
        <v>21.415746119805082</v>
      </c>
      <c r="AQ41" s="40">
        <v>23.718447763009451</v>
      </c>
      <c r="AR41" s="40">
        <v>21.59198016509081</v>
      </c>
      <c r="AS41" s="40">
        <v>20.955630806029021</v>
      </c>
      <c r="AT41" s="40">
        <v>21.200167013215871</v>
      </c>
      <c r="AU41" s="40">
        <v>21.087859813423901</v>
      </c>
      <c r="AV41" s="40">
        <v>21.087859813423901</v>
      </c>
      <c r="AW41" s="40">
        <v>23.016356945678069</v>
      </c>
      <c r="AX41" s="40">
        <v>22.571617917695416</v>
      </c>
      <c r="AY41" s="40">
        <v>20.886802369600851</v>
      </c>
      <c r="AZ41" s="40">
        <v>22.528801205505122</v>
      </c>
      <c r="BA41" s="54">
        <f t="shared" si="6"/>
        <v>23.718447763009451</v>
      </c>
      <c r="BB41" s="67">
        <f t="shared" si="7"/>
        <v>20.886802369600851</v>
      </c>
      <c r="BC41" s="45">
        <f t="shared" si="8"/>
        <v>21.835434966854741</v>
      </c>
    </row>
    <row r="42" spans="1:55" s="2" customFormat="1" ht="14.25" customHeight="1" x14ac:dyDescent="0.25">
      <c r="A42" s="44">
        <v>28</v>
      </c>
      <c r="B42" s="40">
        <v>25.1</v>
      </c>
      <c r="C42" s="40">
        <v>26.7</v>
      </c>
      <c r="D42" s="40">
        <v>28</v>
      </c>
      <c r="E42" s="40">
        <v>27.5</v>
      </c>
      <c r="F42" s="40">
        <v>27.4</v>
      </c>
      <c r="G42" s="40">
        <v>26.4</v>
      </c>
      <c r="H42" s="40">
        <v>26.4</v>
      </c>
      <c r="I42" s="40">
        <v>26</v>
      </c>
      <c r="J42" s="40">
        <v>26</v>
      </c>
      <c r="K42" s="40">
        <v>25.7</v>
      </c>
      <c r="L42" s="40">
        <v>25.3</v>
      </c>
      <c r="M42" s="40">
        <v>25.1</v>
      </c>
      <c r="N42" s="40">
        <v>24.9</v>
      </c>
      <c r="O42" s="54">
        <f t="shared" si="0"/>
        <v>28</v>
      </c>
      <c r="P42" s="67">
        <f t="shared" si="1"/>
        <v>24.9</v>
      </c>
      <c r="Q42" s="45">
        <f t="shared" si="2"/>
        <v>26.192307692307693</v>
      </c>
      <c r="T42" s="44">
        <v>28</v>
      </c>
      <c r="U42" s="40">
        <v>23.8</v>
      </c>
      <c r="V42" s="40">
        <v>24</v>
      </c>
      <c r="W42" s="40">
        <v>24.7</v>
      </c>
      <c r="X42" s="40">
        <v>24.7</v>
      </c>
      <c r="Y42" s="40">
        <v>24.8</v>
      </c>
      <c r="Z42" s="40">
        <v>24.2</v>
      </c>
      <c r="AA42" s="40">
        <v>24.2</v>
      </c>
      <c r="AB42" s="40">
        <v>24</v>
      </c>
      <c r="AC42" s="40">
        <v>24.1</v>
      </c>
      <c r="AD42" s="40">
        <v>23.7</v>
      </c>
      <c r="AE42" s="40">
        <v>23.6</v>
      </c>
      <c r="AF42" s="40">
        <v>23.6</v>
      </c>
      <c r="AG42" s="40">
        <v>23.6</v>
      </c>
      <c r="AH42" s="54">
        <f t="shared" si="3"/>
        <v>24.8</v>
      </c>
      <c r="AI42" s="67">
        <f t="shared" si="4"/>
        <v>23.6</v>
      </c>
      <c r="AJ42" s="45">
        <f t="shared" si="5"/>
        <v>24.076923076923077</v>
      </c>
      <c r="AM42" s="44">
        <v>28</v>
      </c>
      <c r="AN42" s="40">
        <v>23.108002021084449</v>
      </c>
      <c r="AO42" s="40">
        <v>22.663083908072114</v>
      </c>
      <c r="AP42" s="40">
        <v>23.134266780435102</v>
      </c>
      <c r="AQ42" s="40">
        <v>23.363695800806138</v>
      </c>
      <c r="AR42" s="40">
        <v>23.560870599375164</v>
      </c>
      <c r="AS42" s="40">
        <v>23.109032442757304</v>
      </c>
      <c r="AT42" s="40">
        <v>23.109032442757304</v>
      </c>
      <c r="AU42" s="40">
        <v>22.991501967304046</v>
      </c>
      <c r="AV42" s="40">
        <v>23.142593489831476</v>
      </c>
      <c r="AW42" s="40">
        <v>22.676636327438867</v>
      </c>
      <c r="AX42" s="40">
        <v>22.713748663769724</v>
      </c>
      <c r="AY42" s="40">
        <v>22.807911515857466</v>
      </c>
      <c r="AZ42" s="40">
        <v>22.901607473693023</v>
      </c>
      <c r="BA42" s="54">
        <f t="shared" si="6"/>
        <v>23.560870599375164</v>
      </c>
      <c r="BB42" s="67">
        <f t="shared" si="7"/>
        <v>22.663083908072114</v>
      </c>
      <c r="BC42" s="45">
        <f t="shared" si="8"/>
        <v>23.021691033321709</v>
      </c>
    </row>
    <row r="43" spans="1:55" s="2" customFormat="1" ht="14.25" customHeight="1" x14ac:dyDescent="0.25">
      <c r="A43" s="44">
        <v>29</v>
      </c>
      <c r="B43" s="40">
        <v>24.5</v>
      </c>
      <c r="C43" s="40">
        <v>26.6</v>
      </c>
      <c r="D43" s="40">
        <v>28</v>
      </c>
      <c r="E43" s="40">
        <v>27.6</v>
      </c>
      <c r="F43" s="40">
        <v>28.4</v>
      </c>
      <c r="G43" s="40">
        <v>27.8</v>
      </c>
      <c r="H43" s="40">
        <v>27.5</v>
      </c>
      <c r="I43" s="40">
        <v>26.6</v>
      </c>
      <c r="J43" s="40">
        <v>26.4</v>
      </c>
      <c r="K43" s="40">
        <v>26.2</v>
      </c>
      <c r="L43" s="40">
        <v>25.7</v>
      </c>
      <c r="M43" s="40">
        <v>25.3</v>
      </c>
      <c r="N43" s="40">
        <v>24.7</v>
      </c>
      <c r="O43" s="54">
        <f t="shared" si="0"/>
        <v>28.4</v>
      </c>
      <c r="P43" s="67">
        <f t="shared" si="1"/>
        <v>24.5</v>
      </c>
      <c r="Q43" s="45">
        <f t="shared" si="2"/>
        <v>26.561538461538461</v>
      </c>
      <c r="T43" s="44">
        <v>29</v>
      </c>
      <c r="U43" s="40">
        <v>22.9</v>
      </c>
      <c r="V43" s="40">
        <v>23.7</v>
      </c>
      <c r="W43" s="40">
        <v>24.3</v>
      </c>
      <c r="X43" s="40">
        <v>25.1</v>
      </c>
      <c r="Y43" s="40">
        <v>24.6</v>
      </c>
      <c r="Z43" s="40">
        <v>24.7</v>
      </c>
      <c r="AA43" s="40">
        <v>24.5</v>
      </c>
      <c r="AB43" s="40">
        <v>24.2</v>
      </c>
      <c r="AC43" s="40">
        <v>23.5</v>
      </c>
      <c r="AD43" s="40">
        <v>23.5</v>
      </c>
      <c r="AE43" s="40">
        <v>24.1</v>
      </c>
      <c r="AF43" s="40">
        <v>23.4</v>
      </c>
      <c r="AG43" s="40">
        <v>23.4</v>
      </c>
      <c r="AH43" s="54">
        <f t="shared" si="3"/>
        <v>25.1</v>
      </c>
      <c r="AI43" s="67">
        <f t="shared" si="4"/>
        <v>22.9</v>
      </c>
      <c r="AJ43" s="45">
        <f t="shared" si="5"/>
        <v>23.992307692307687</v>
      </c>
      <c r="AM43" s="44">
        <v>29</v>
      </c>
      <c r="AN43" s="40">
        <v>22.032351792256151</v>
      </c>
      <c r="AO43" s="40">
        <v>22.246129222167593</v>
      </c>
      <c r="AP43" s="40">
        <v>22.511967446185952</v>
      </c>
      <c r="AQ43" s="40">
        <v>23.92349895424092</v>
      </c>
      <c r="AR43" s="40">
        <v>22.792662448856582</v>
      </c>
      <c r="AS43" s="40">
        <v>23.226371733954831</v>
      </c>
      <c r="AT43" s="40">
        <v>23.057726613627626</v>
      </c>
      <c r="AU43" s="40">
        <v>23.016356945678069</v>
      </c>
      <c r="AV43" s="40">
        <v>22.031179416750998</v>
      </c>
      <c r="AW43" s="40">
        <v>22.128807201761973</v>
      </c>
      <c r="AX43" s="40">
        <v>23.280517800633735</v>
      </c>
      <c r="AY43" s="40">
        <v>22.409512027647551</v>
      </c>
      <c r="AZ43" s="40">
        <v>22.695133000330266</v>
      </c>
      <c r="BA43" s="54">
        <f t="shared" si="6"/>
        <v>23.92349895424092</v>
      </c>
      <c r="BB43" s="67">
        <f t="shared" si="7"/>
        <v>22.031179416750998</v>
      </c>
      <c r="BC43" s="45">
        <f t="shared" si="8"/>
        <v>22.719401123391716</v>
      </c>
    </row>
    <row r="44" spans="1:55" s="2" customFormat="1" ht="14.25" customHeight="1" thickBot="1" x14ac:dyDescent="0.3">
      <c r="A44" s="44">
        <v>30</v>
      </c>
      <c r="B44" s="40">
        <v>23</v>
      </c>
      <c r="C44" s="40">
        <v>23.4</v>
      </c>
      <c r="D44" s="40">
        <v>24.5</v>
      </c>
      <c r="E44" s="40">
        <v>26.8</v>
      </c>
      <c r="F44" s="40">
        <v>26.7</v>
      </c>
      <c r="G44" s="40">
        <v>25.6</v>
      </c>
      <c r="H44" s="40">
        <v>24.4</v>
      </c>
      <c r="I44" s="40">
        <v>24.4</v>
      </c>
      <c r="J44" s="40">
        <v>24.4</v>
      </c>
      <c r="K44" s="40">
        <v>24</v>
      </c>
      <c r="L44" s="40">
        <v>23.8</v>
      </c>
      <c r="M44" s="40">
        <v>23.6</v>
      </c>
      <c r="N44" s="40">
        <v>23.4</v>
      </c>
      <c r="O44" s="46">
        <f t="shared" si="0"/>
        <v>26.8</v>
      </c>
      <c r="P44" s="57">
        <f t="shared" si="1"/>
        <v>23</v>
      </c>
      <c r="Q44" s="60">
        <f t="shared" si="2"/>
        <v>24.46153846153846</v>
      </c>
      <c r="T44" s="44">
        <v>30</v>
      </c>
      <c r="U44" s="40">
        <v>22.6</v>
      </c>
      <c r="V44" s="40">
        <v>23</v>
      </c>
      <c r="W44" s="40">
        <v>23.2</v>
      </c>
      <c r="X44" s="40">
        <v>24.4</v>
      </c>
      <c r="Y44" s="40">
        <v>24.4</v>
      </c>
      <c r="Z44" s="40">
        <v>23.6</v>
      </c>
      <c r="AA44" s="40">
        <v>23.7</v>
      </c>
      <c r="AB44" s="40">
        <v>23.6</v>
      </c>
      <c r="AC44" s="40">
        <v>23.6</v>
      </c>
      <c r="AD44" s="40">
        <v>23.6</v>
      </c>
      <c r="AE44" s="40">
        <v>23.4</v>
      </c>
      <c r="AF44" s="40">
        <v>23</v>
      </c>
      <c r="AG44" s="40">
        <v>23</v>
      </c>
      <c r="AH44" s="46">
        <f t="shared" si="3"/>
        <v>24.4</v>
      </c>
      <c r="AI44" s="57">
        <f t="shared" si="4"/>
        <v>22.6</v>
      </c>
      <c r="AJ44" s="60">
        <f t="shared" si="5"/>
        <v>23.469230769230766</v>
      </c>
      <c r="AM44" s="44">
        <v>30</v>
      </c>
      <c r="AN44" s="40">
        <v>22.307518003209246</v>
      </c>
      <c r="AO44" s="40">
        <v>22.71161972509778</v>
      </c>
      <c r="AP44" s="40">
        <v>22.488577424234201</v>
      </c>
      <c r="AQ44" s="40">
        <v>23.228029920116789</v>
      </c>
      <c r="AR44" s="40">
        <v>23.273910219606915</v>
      </c>
      <c r="AS44" s="40">
        <v>22.571617917695416</v>
      </c>
      <c r="AT44" s="40">
        <v>23.281650558659795</v>
      </c>
      <c r="AU44" s="40">
        <v>23.133837025841927</v>
      </c>
      <c r="AV44" s="40">
        <v>23.133837025841927</v>
      </c>
      <c r="AW44" s="40">
        <v>23.317592460646107</v>
      </c>
      <c r="AX44" s="40">
        <v>23.115625074420976</v>
      </c>
      <c r="AY44" s="40">
        <v>22.616977894785251</v>
      </c>
      <c r="AZ44" s="40">
        <v>22.71161972509778</v>
      </c>
      <c r="BA44" s="46">
        <f t="shared" si="6"/>
        <v>23.317592460646107</v>
      </c>
      <c r="BB44" s="57">
        <f t="shared" si="7"/>
        <v>22.307518003209246</v>
      </c>
      <c r="BC44" s="60">
        <f t="shared" si="8"/>
        <v>22.914800998096471</v>
      </c>
    </row>
    <row r="45" spans="1:55" s="2" customFormat="1" ht="14.25" customHeight="1" thickTop="1" x14ac:dyDescent="0.25">
      <c r="A45" s="49" t="s">
        <v>25</v>
      </c>
      <c r="B45" s="50">
        <f t="shared" ref="B45:N45" si="9">MAX(B15:B44)</f>
        <v>26</v>
      </c>
      <c r="C45" s="50">
        <f t="shared" si="9"/>
        <v>27.6</v>
      </c>
      <c r="D45" s="50">
        <f t="shared" si="9"/>
        <v>28.6</v>
      </c>
      <c r="E45" s="50">
        <f t="shared" si="9"/>
        <v>29.7</v>
      </c>
      <c r="F45" s="50">
        <f t="shared" si="9"/>
        <v>30.5</v>
      </c>
      <c r="G45" s="50">
        <f t="shared" si="9"/>
        <v>31.4</v>
      </c>
      <c r="H45" s="50">
        <f t="shared" si="9"/>
        <v>31.5</v>
      </c>
      <c r="I45" s="50">
        <f t="shared" si="9"/>
        <v>30.8</v>
      </c>
      <c r="J45" s="50">
        <f t="shared" si="9"/>
        <v>30</v>
      </c>
      <c r="K45" s="50">
        <f t="shared" si="9"/>
        <v>29.2</v>
      </c>
      <c r="L45" s="50">
        <f t="shared" si="9"/>
        <v>28.8</v>
      </c>
      <c r="M45" s="50">
        <f t="shared" si="9"/>
        <v>27.4</v>
      </c>
      <c r="N45" s="50">
        <f t="shared" si="9"/>
        <v>27</v>
      </c>
      <c r="O45" s="41">
        <f t="shared" si="0"/>
        <v>31.5</v>
      </c>
      <c r="P45" s="42">
        <f t="shared" si="1"/>
        <v>26</v>
      </c>
      <c r="Q45" s="68">
        <f t="shared" si="2"/>
        <v>29.115384615384617</v>
      </c>
      <c r="T45" s="49" t="s">
        <v>25</v>
      </c>
      <c r="U45" s="50">
        <f t="shared" ref="U45:AJ45" si="10">MAX(U15:U44)</f>
        <v>24.8</v>
      </c>
      <c r="V45" s="50">
        <f t="shared" si="10"/>
        <v>25.2</v>
      </c>
      <c r="W45" s="50">
        <f t="shared" si="10"/>
        <v>25.6</v>
      </c>
      <c r="X45" s="50">
        <f t="shared" si="10"/>
        <v>26</v>
      </c>
      <c r="Y45" s="50">
        <f t="shared" si="10"/>
        <v>26.4</v>
      </c>
      <c r="Z45" s="50">
        <f t="shared" si="10"/>
        <v>26.4</v>
      </c>
      <c r="AA45" s="50">
        <f t="shared" si="10"/>
        <v>26.7</v>
      </c>
      <c r="AB45" s="50">
        <f t="shared" si="10"/>
        <v>26.6</v>
      </c>
      <c r="AC45" s="50">
        <f t="shared" si="10"/>
        <v>26.2</v>
      </c>
      <c r="AD45" s="50">
        <f t="shared" si="10"/>
        <v>25.4</v>
      </c>
      <c r="AE45" s="50">
        <f t="shared" si="10"/>
        <v>25.5</v>
      </c>
      <c r="AF45" s="50">
        <f t="shared" si="10"/>
        <v>25</v>
      </c>
      <c r="AG45" s="50">
        <f t="shared" si="10"/>
        <v>25.5</v>
      </c>
      <c r="AH45" s="41">
        <f t="shared" si="10"/>
        <v>26.7</v>
      </c>
      <c r="AI45" s="51">
        <f t="shared" si="10"/>
        <v>24.8</v>
      </c>
      <c r="AJ45" s="52">
        <f t="shared" si="10"/>
        <v>25.699999999999996</v>
      </c>
      <c r="AM45" s="49" t="s">
        <v>25</v>
      </c>
      <c r="AN45" s="50">
        <f t="shared" ref="AN45:BC45" si="11">MAX(AN15:AN44)</f>
        <v>24.182556068191992</v>
      </c>
      <c r="AO45" s="50">
        <f t="shared" si="11"/>
        <v>24.073265773758312</v>
      </c>
      <c r="AP45" s="50">
        <f t="shared" si="11"/>
        <v>24.408876700109047</v>
      </c>
      <c r="AQ45" s="50">
        <f t="shared" si="11"/>
        <v>24.576869446846047</v>
      </c>
      <c r="AR45" s="50">
        <f t="shared" si="11"/>
        <v>24.752159288910839</v>
      </c>
      <c r="AS45" s="50">
        <f t="shared" si="11"/>
        <v>24.581744907935423</v>
      </c>
      <c r="AT45" s="50">
        <f t="shared" si="11"/>
        <v>24.715454083602051</v>
      </c>
      <c r="AU45" s="50">
        <f t="shared" si="11"/>
        <v>25.709266684195939</v>
      </c>
      <c r="AV45" s="50">
        <f t="shared" si="11"/>
        <v>25.538230165142721</v>
      </c>
      <c r="AW45" s="50">
        <f t="shared" si="11"/>
        <v>24.713966644909622</v>
      </c>
      <c r="AX45" s="50">
        <f t="shared" si="11"/>
        <v>24.647239440719584</v>
      </c>
      <c r="AY45" s="50">
        <f t="shared" si="11"/>
        <v>24.474280736128826</v>
      </c>
      <c r="AZ45" s="50">
        <f t="shared" si="11"/>
        <v>25.152277439395075</v>
      </c>
      <c r="BA45" s="41">
        <f t="shared" si="11"/>
        <v>25.709266684195939</v>
      </c>
      <c r="BB45" s="51">
        <f t="shared" si="11"/>
        <v>23.990519372126936</v>
      </c>
      <c r="BC45" s="52">
        <f t="shared" si="11"/>
        <v>24.574906456812453</v>
      </c>
    </row>
    <row r="46" spans="1:55" s="2" customFormat="1" ht="14.25" customHeight="1" x14ac:dyDescent="0.25">
      <c r="A46" s="44" t="s">
        <v>26</v>
      </c>
      <c r="B46" s="53">
        <f t="shared" ref="B46:N46" si="12">MIN(B15:B44)</f>
        <v>22.4</v>
      </c>
      <c r="C46" s="53">
        <f t="shared" si="12"/>
        <v>23</v>
      </c>
      <c r="D46" s="53">
        <f t="shared" si="12"/>
        <v>24.4</v>
      </c>
      <c r="E46" s="53">
        <f t="shared" si="12"/>
        <v>25</v>
      </c>
      <c r="F46" s="53">
        <f t="shared" si="12"/>
        <v>25.8</v>
      </c>
      <c r="G46" s="53">
        <f t="shared" si="12"/>
        <v>25</v>
      </c>
      <c r="H46" s="53">
        <f t="shared" si="12"/>
        <v>24.4</v>
      </c>
      <c r="I46" s="53">
        <f t="shared" si="12"/>
        <v>24</v>
      </c>
      <c r="J46" s="53">
        <f t="shared" si="12"/>
        <v>22.7</v>
      </c>
      <c r="K46" s="53">
        <f t="shared" si="12"/>
        <v>23</v>
      </c>
      <c r="L46" s="53">
        <f t="shared" si="12"/>
        <v>23</v>
      </c>
      <c r="M46" s="53">
        <f t="shared" si="12"/>
        <v>22.8</v>
      </c>
      <c r="N46" s="53">
        <f t="shared" si="12"/>
        <v>22.8</v>
      </c>
      <c r="O46" s="54">
        <f t="shared" si="0"/>
        <v>25.8</v>
      </c>
      <c r="P46" s="67">
        <f t="shared" si="1"/>
        <v>22.4</v>
      </c>
      <c r="Q46" s="45">
        <f t="shared" si="2"/>
        <v>23.715384615384615</v>
      </c>
      <c r="T46" s="44" t="s">
        <v>26</v>
      </c>
      <c r="U46" s="53">
        <f t="shared" ref="U46:AJ46" si="13">MIN(U15:U44)</f>
        <v>21.6</v>
      </c>
      <c r="V46" s="53">
        <f t="shared" si="13"/>
        <v>22</v>
      </c>
      <c r="W46" s="53">
        <f t="shared" si="13"/>
        <v>22.8</v>
      </c>
      <c r="X46" s="53">
        <f t="shared" si="13"/>
        <v>23.4</v>
      </c>
      <c r="Y46" s="53">
        <f t="shared" si="13"/>
        <v>24</v>
      </c>
      <c r="Z46" s="53">
        <f t="shared" si="13"/>
        <v>23.6</v>
      </c>
      <c r="AA46" s="53">
        <f t="shared" si="13"/>
        <v>23.7</v>
      </c>
      <c r="AB46" s="53">
        <f t="shared" si="13"/>
        <v>23.2</v>
      </c>
      <c r="AC46" s="53">
        <f t="shared" si="13"/>
        <v>22.2</v>
      </c>
      <c r="AD46" s="53">
        <f t="shared" si="13"/>
        <v>22.6</v>
      </c>
      <c r="AE46" s="53">
        <f t="shared" si="13"/>
        <v>22.2</v>
      </c>
      <c r="AF46" s="53">
        <f t="shared" si="13"/>
        <v>22</v>
      </c>
      <c r="AG46" s="53">
        <f t="shared" si="13"/>
        <v>22.4</v>
      </c>
      <c r="AH46" s="54">
        <f t="shared" si="13"/>
        <v>24.3</v>
      </c>
      <c r="AI46" s="53">
        <f t="shared" si="13"/>
        <v>21.6</v>
      </c>
      <c r="AJ46" s="55">
        <f t="shared" si="13"/>
        <v>23.469230769230766</v>
      </c>
      <c r="AM46" s="44" t="s">
        <v>26</v>
      </c>
      <c r="AN46" s="53">
        <f t="shared" ref="AN46:BC46" si="14">MIN(AN15:AN44)</f>
        <v>21.09213250543441</v>
      </c>
      <c r="AO46" s="53">
        <f t="shared" si="14"/>
        <v>21.399934936046588</v>
      </c>
      <c r="AP46" s="53">
        <f t="shared" si="14"/>
        <v>21.415746119805082</v>
      </c>
      <c r="AQ46" s="53">
        <f t="shared" si="14"/>
        <v>21.939456220143654</v>
      </c>
      <c r="AR46" s="53">
        <f t="shared" si="14"/>
        <v>21.541810194989623</v>
      </c>
      <c r="AS46" s="53">
        <f t="shared" si="14"/>
        <v>20.955630806029021</v>
      </c>
      <c r="AT46" s="53">
        <f t="shared" si="14"/>
        <v>21.200167013215871</v>
      </c>
      <c r="AU46" s="53">
        <f t="shared" si="14"/>
        <v>21.087859813423901</v>
      </c>
      <c r="AV46" s="53">
        <f t="shared" si="14"/>
        <v>21.087859813423901</v>
      </c>
      <c r="AW46" s="53">
        <f t="shared" si="14"/>
        <v>22.128807201761973</v>
      </c>
      <c r="AX46" s="53">
        <f t="shared" si="14"/>
        <v>21.705187487436806</v>
      </c>
      <c r="AY46" s="53">
        <f t="shared" si="14"/>
        <v>20.886802369600851</v>
      </c>
      <c r="AZ46" s="53">
        <f t="shared" si="14"/>
        <v>21.909432598448738</v>
      </c>
      <c r="BA46" s="54">
        <f t="shared" si="14"/>
        <v>23.317592460646107</v>
      </c>
      <c r="BB46" s="53">
        <f t="shared" si="14"/>
        <v>20.886802369600851</v>
      </c>
      <c r="BC46" s="55">
        <f t="shared" si="14"/>
        <v>21.835434966854741</v>
      </c>
    </row>
    <row r="47" spans="1:55" s="2" customFormat="1" ht="14.25" customHeight="1" thickBot="1" x14ac:dyDescent="0.3">
      <c r="A47" s="56" t="s">
        <v>27</v>
      </c>
      <c r="B47" s="47">
        <f t="shared" ref="B47:N47" si="15">AVERAGE(B15:B44)</f>
        <v>24.58666666666667</v>
      </c>
      <c r="C47" s="47">
        <f t="shared" si="15"/>
        <v>25.950000000000003</v>
      </c>
      <c r="D47" s="47">
        <f t="shared" si="15"/>
        <v>27.006666666666664</v>
      </c>
      <c r="E47" s="47">
        <f t="shared" si="15"/>
        <v>28.006666666666664</v>
      </c>
      <c r="F47" s="47">
        <f t="shared" si="15"/>
        <v>28.749999999999996</v>
      </c>
      <c r="G47" s="47">
        <f t="shared" si="15"/>
        <v>28.863333333333333</v>
      </c>
      <c r="H47" s="47">
        <f t="shared" si="15"/>
        <v>28.526666666666664</v>
      </c>
      <c r="I47" s="47">
        <f t="shared" si="15"/>
        <v>27.419999999999998</v>
      </c>
      <c r="J47" s="47">
        <f t="shared" si="15"/>
        <v>26.756666666666664</v>
      </c>
      <c r="K47" s="47">
        <f t="shared" si="15"/>
        <v>26.046666666666674</v>
      </c>
      <c r="L47" s="47">
        <f t="shared" si="15"/>
        <v>25.359999999999992</v>
      </c>
      <c r="M47" s="47">
        <f t="shared" si="15"/>
        <v>24.876666666666669</v>
      </c>
      <c r="N47" s="47">
        <f t="shared" si="15"/>
        <v>24.656666666666673</v>
      </c>
      <c r="O47" s="46">
        <f t="shared" si="0"/>
        <v>28.863333333333333</v>
      </c>
      <c r="P47" s="57">
        <f t="shared" si="1"/>
        <v>24.58666666666667</v>
      </c>
      <c r="Q47" s="60">
        <f t="shared" si="2"/>
        <v>26.677435897435899</v>
      </c>
      <c r="T47" s="56" t="s">
        <v>27</v>
      </c>
      <c r="U47" s="47">
        <f t="shared" ref="U47:AJ47" si="16">AVERAGE(U15:U44)</f>
        <v>23.483333333333331</v>
      </c>
      <c r="V47" s="47">
        <f t="shared" si="16"/>
        <v>24.056666666666665</v>
      </c>
      <c r="W47" s="47">
        <f t="shared" si="16"/>
        <v>24.403333333333329</v>
      </c>
      <c r="X47" s="47">
        <f t="shared" si="16"/>
        <v>24.930000000000003</v>
      </c>
      <c r="Y47" s="47">
        <f t="shared" si="16"/>
        <v>25.026666666666667</v>
      </c>
      <c r="Z47" s="47">
        <f t="shared" si="16"/>
        <v>25.173333333333332</v>
      </c>
      <c r="AA47" s="47">
        <f t="shared" si="16"/>
        <v>25.093333333333341</v>
      </c>
      <c r="AB47" s="47">
        <f t="shared" si="16"/>
        <v>24.700000000000006</v>
      </c>
      <c r="AC47" s="47">
        <f t="shared" si="16"/>
        <v>24.419999999999998</v>
      </c>
      <c r="AD47" s="47">
        <f t="shared" si="16"/>
        <v>24.233333333333338</v>
      </c>
      <c r="AE47" s="47">
        <f t="shared" si="16"/>
        <v>23.90666666666667</v>
      </c>
      <c r="AF47" s="47">
        <f t="shared" si="16"/>
        <v>23.683333333333341</v>
      </c>
      <c r="AG47" s="47">
        <f t="shared" si="16"/>
        <v>23.760000000000005</v>
      </c>
      <c r="AH47" s="46">
        <f t="shared" si="16"/>
        <v>25.509999999999994</v>
      </c>
      <c r="AI47" s="47">
        <f t="shared" si="16"/>
        <v>23.123333333333331</v>
      </c>
      <c r="AJ47" s="48">
        <f t="shared" si="16"/>
        <v>24.374615384615385</v>
      </c>
      <c r="AM47" s="56" t="s">
        <v>27</v>
      </c>
      <c r="AN47" s="47">
        <f t="shared" ref="AN47:BC47" si="17">AVERAGE(AN15:AN44)</f>
        <v>22.871779889113935</v>
      </c>
      <c r="AO47" s="47">
        <f t="shared" si="17"/>
        <v>23.100694493081185</v>
      </c>
      <c r="AP47" s="47">
        <f t="shared" si="17"/>
        <v>23.136188789529907</v>
      </c>
      <c r="AQ47" s="47">
        <f t="shared" si="17"/>
        <v>23.484186036022429</v>
      </c>
      <c r="AR47" s="47">
        <f t="shared" si="17"/>
        <v>23.291456168401155</v>
      </c>
      <c r="AS47" s="47">
        <f t="shared" si="17"/>
        <v>23.465620955154279</v>
      </c>
      <c r="AT47" s="47">
        <f t="shared" si="17"/>
        <v>23.498525831054668</v>
      </c>
      <c r="AU47" s="47">
        <f t="shared" si="17"/>
        <v>23.406643197614095</v>
      </c>
      <c r="AV47" s="47">
        <f t="shared" si="17"/>
        <v>23.27811803683079</v>
      </c>
      <c r="AW47" s="47">
        <f t="shared" si="17"/>
        <v>23.327053701397855</v>
      </c>
      <c r="AX47" s="47">
        <f t="shared" si="17"/>
        <v>23.152664019032748</v>
      </c>
      <c r="AY47" s="47">
        <f t="shared" si="17"/>
        <v>23.037231917624947</v>
      </c>
      <c r="AZ47" s="47">
        <f t="shared" si="17"/>
        <v>23.254600240562958</v>
      </c>
      <c r="BA47" s="46">
        <f t="shared" si="17"/>
        <v>24.174032964190111</v>
      </c>
      <c r="BB47" s="47">
        <f t="shared" si="17"/>
        <v>22.407163117015518</v>
      </c>
      <c r="BC47" s="48">
        <f t="shared" si="17"/>
        <v>23.254212559647769</v>
      </c>
    </row>
    <row r="48" spans="1:55" s="2" customFormat="1" ht="13.8" thickTop="1" x14ac:dyDescent="0.25">
      <c r="A48" s="1"/>
      <c r="T48" s="1"/>
      <c r="AM48" s="1"/>
    </row>
    <row r="49" spans="1:52" s="2" customFormat="1" ht="13.2" x14ac:dyDescent="0.25">
      <c r="A49" s="1"/>
      <c r="C49" s="1" t="str">
        <f>[7]QFF!C42</f>
        <v>Mengetahui,</v>
      </c>
      <c r="T49" s="1"/>
      <c r="V49" s="1" t="str">
        <f>C49</f>
        <v>Mengetahui,</v>
      </c>
      <c r="AM49" s="1"/>
      <c r="AO49" s="1" t="str">
        <f>V49</f>
        <v>Mengetahui,</v>
      </c>
    </row>
    <row r="50" spans="1:52" s="2" customFormat="1" ht="13.2" x14ac:dyDescent="0.25">
      <c r="A50" s="1"/>
      <c r="C50" s="1" t="str">
        <f>[7]QFF!C43</f>
        <v>Kepala Stasiun Klimatologi Kelas IV</v>
      </c>
      <c r="N50" s="1" t="str">
        <f>[7]QFF!N43</f>
        <v>Pengolah</v>
      </c>
      <c r="T50" s="1"/>
      <c r="V50" s="1" t="str">
        <f>C50</f>
        <v>Kepala Stasiun Klimatologi Kelas IV</v>
      </c>
      <c r="AG50" s="1" t="str">
        <f>N50</f>
        <v>Pengolah</v>
      </c>
      <c r="AM50" s="1"/>
      <c r="AO50" s="1" t="str">
        <f>V50</f>
        <v>Kepala Stasiun Klimatologi Kelas IV</v>
      </c>
      <c r="AZ50" s="1" t="str">
        <f>AG50</f>
        <v>Pengolah</v>
      </c>
    </row>
    <row r="51" spans="1:52" s="2" customFormat="1" ht="13.2" x14ac:dyDescent="0.25">
      <c r="A51" s="1"/>
      <c r="C51" s="1" t="str">
        <f>[7]QFF!C44</f>
        <v>Sleman Yogyakarta</v>
      </c>
      <c r="N51" s="1"/>
      <c r="T51" s="1"/>
      <c r="V51" s="1" t="str">
        <f>C51</f>
        <v>Sleman Yogyakarta</v>
      </c>
      <c r="AG51" s="1"/>
      <c r="AM51" s="1"/>
      <c r="AO51" s="1" t="str">
        <f>V51</f>
        <v>Sleman Yogyakarta</v>
      </c>
      <c r="AZ51" s="1"/>
    </row>
    <row r="52" spans="1:52" s="2" customFormat="1" ht="13.2" x14ac:dyDescent="0.25">
      <c r="A52" s="1"/>
      <c r="C52" s="1"/>
      <c r="N52" s="1"/>
      <c r="T52" s="1"/>
      <c r="V52" s="1"/>
      <c r="AG52" s="1"/>
      <c r="AM52" s="1"/>
      <c r="AO52" s="1"/>
      <c r="AZ52" s="1"/>
    </row>
    <row r="53" spans="1:52" s="2" customFormat="1" ht="13.2" x14ac:dyDescent="0.25">
      <c r="A53" s="1"/>
      <c r="C53" s="1"/>
      <c r="N53" s="1"/>
      <c r="T53" s="1"/>
      <c r="V53" s="1"/>
      <c r="AG53" s="1"/>
      <c r="AM53" s="1"/>
      <c r="AO53" s="1"/>
      <c r="AZ53" s="1"/>
    </row>
    <row r="54" spans="1:52" s="2" customFormat="1" ht="13.2" x14ac:dyDescent="0.25">
      <c r="A54" s="1"/>
      <c r="C54" s="1"/>
      <c r="N54" s="1"/>
      <c r="T54" s="1"/>
      <c r="V54" s="1"/>
      <c r="AG54" s="1"/>
      <c r="AM54" s="1"/>
      <c r="AO54" s="1"/>
      <c r="AZ54" s="1"/>
    </row>
    <row r="55" spans="1:52" s="2" customFormat="1" ht="13.2" x14ac:dyDescent="0.25">
      <c r="A55" s="1"/>
      <c r="C55" s="1"/>
      <c r="N55" s="1"/>
      <c r="T55" s="1"/>
      <c r="V55" s="1"/>
      <c r="AG55" s="1"/>
      <c r="AM55" s="1"/>
      <c r="AO55" s="1"/>
      <c r="AZ55" s="1"/>
    </row>
    <row r="56" spans="1:52" s="2" customFormat="1" ht="13.2" x14ac:dyDescent="0.25">
      <c r="A56" s="1"/>
      <c r="C56" s="30" t="str">
        <f>[7]QFF!C49</f>
        <v>RENI KRANINGTYAS, SP, M.Si</v>
      </c>
      <c r="N56" s="30" t="str">
        <f>[7]QFF!N49</f>
        <v xml:space="preserve">TIM PEMBUAT LAPORAN </v>
      </c>
      <c r="T56" s="1"/>
      <c r="V56" s="30" t="str">
        <f>C56</f>
        <v>RENI KRANINGTYAS, SP, M.Si</v>
      </c>
      <c r="AG56" s="30" t="str">
        <f>N56</f>
        <v xml:space="preserve">TIM PEMBUAT LAPORAN </v>
      </c>
      <c r="AM56" s="1"/>
      <c r="AO56" s="30" t="str">
        <f>V56</f>
        <v>RENI KRANINGTYAS, SP, M.Si</v>
      </c>
      <c r="AZ56" s="30" t="str">
        <f>AG56</f>
        <v xml:space="preserve">TIM PEMBUAT LAPORAN </v>
      </c>
    </row>
    <row r="57" spans="1:52" s="2" customFormat="1" ht="13.2" x14ac:dyDescent="0.25">
      <c r="A57" s="1"/>
      <c r="C57" s="1" t="str">
        <f>[7]QFF!C50</f>
        <v>NIP.  19740203 199703 2 001</v>
      </c>
      <c r="N57" s="1" t="str">
        <f>[7]QFF!N50</f>
        <v xml:space="preserve">PETUGAS OPERASIONAL </v>
      </c>
      <c r="T57" s="1"/>
      <c r="V57" s="1" t="str">
        <f>C57</f>
        <v>NIP.  19740203 199703 2 001</v>
      </c>
      <c r="AG57" s="1" t="str">
        <f>N57</f>
        <v xml:space="preserve">PETUGAS OPERASIONAL </v>
      </c>
      <c r="AM57" s="1"/>
      <c r="AO57" s="1" t="str">
        <f>V57</f>
        <v>NIP.  19740203 199703 2 001</v>
      </c>
      <c r="AZ57" s="1" t="str">
        <f>AG57</f>
        <v xml:space="preserve">PETUGAS OPERASIONAL </v>
      </c>
    </row>
    <row r="58" spans="1:52" s="2" customFormat="1" ht="13.2" x14ac:dyDescent="0.25">
      <c r="A58" s="1"/>
      <c r="T58" s="1"/>
      <c r="AM58" s="1"/>
    </row>
  </sheetData>
  <mergeCells count="69">
    <mergeCell ref="A1:Q1"/>
    <mergeCell ref="T1:AJ1"/>
    <mergeCell ref="AM1:BC1"/>
    <mergeCell ref="A2:Q2"/>
    <mergeCell ref="T2:AJ2"/>
    <mergeCell ref="AM2:BC2"/>
    <mergeCell ref="A3:Q3"/>
    <mergeCell ref="T3:AJ3"/>
    <mergeCell ref="AM3:BC3"/>
    <mergeCell ref="A4:Q4"/>
    <mergeCell ref="T4:AJ4"/>
    <mergeCell ref="AM4:BC4"/>
    <mergeCell ref="F13:F14"/>
    <mergeCell ref="A6:Q6"/>
    <mergeCell ref="T6:AJ6"/>
    <mergeCell ref="AM6:BC6"/>
    <mergeCell ref="A7:Q7"/>
    <mergeCell ref="T7:AJ7"/>
    <mergeCell ref="AM7:BC7"/>
    <mergeCell ref="A13:A14"/>
    <mergeCell ref="B13:B14"/>
    <mergeCell ref="C13:C14"/>
    <mergeCell ref="D13:D14"/>
    <mergeCell ref="E13:E14"/>
    <mergeCell ref="T13:T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F13:AF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T13:AT14"/>
    <mergeCell ref="AG13:AG14"/>
    <mergeCell ref="AH13:AH14"/>
    <mergeCell ref="AI13:AI14"/>
    <mergeCell ref="AJ13:AJ14"/>
    <mergeCell ref="AM13:AM14"/>
    <mergeCell ref="AN13:AN14"/>
    <mergeCell ref="AO13:AO14"/>
    <mergeCell ref="AP13:AP14"/>
    <mergeCell ref="AQ13:AQ14"/>
    <mergeCell ref="AR13:AR14"/>
    <mergeCell ref="AS13:AS14"/>
    <mergeCell ref="BA13:BA14"/>
    <mergeCell ref="BB13:BB14"/>
    <mergeCell ref="BC13:BC14"/>
    <mergeCell ref="AU13:AU14"/>
    <mergeCell ref="AV13:AV14"/>
    <mergeCell ref="AW13:AW14"/>
    <mergeCell ref="AX13:AX14"/>
    <mergeCell ref="AY13:AY14"/>
    <mergeCell ref="AZ13:AZ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F669-9900-4792-B5A1-937270BFC8AD}">
  <sheetPr>
    <tabColor theme="9" tint="-0.249977111117893"/>
  </sheetPr>
  <dimension ref="A1:BE59"/>
  <sheetViews>
    <sheetView tabSelected="1" topLeftCell="A13" workbookViewId="0">
      <selection activeCell="S25" sqref="S25"/>
    </sheetView>
  </sheetViews>
  <sheetFormatPr defaultRowHeight="14.4" x14ac:dyDescent="0.3"/>
  <sheetData>
    <row r="1" spans="1:57" x14ac:dyDescent="0.3">
      <c r="A1" s="104" t="s">
        <v>33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T1" s="104" t="s">
        <v>33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M1" s="104" t="s">
        <v>33</v>
      </c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</row>
    <row r="2" spans="1:57" x14ac:dyDescent="0.3">
      <c r="A2" s="104" t="s">
        <v>34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T2" s="104" t="s">
        <v>34</v>
      </c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M2" s="104" t="s">
        <v>34</v>
      </c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</row>
    <row r="3" spans="1:57" x14ac:dyDescent="0.3">
      <c r="A3" s="105" t="s">
        <v>35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T3" s="105" t="s">
        <v>35</v>
      </c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M3" s="105" t="s">
        <v>35</v>
      </c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</row>
    <row r="4" spans="1:57" ht="15" thickBot="1" x14ac:dyDescent="0.35">
      <c r="A4" s="106" t="s">
        <v>36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T4" s="106" t="s">
        <v>36</v>
      </c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M4" s="106" t="s">
        <v>36</v>
      </c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</row>
    <row r="5" spans="1:57" ht="6.75" customHeight="1" x14ac:dyDescent="0.3">
      <c r="A5" s="34"/>
      <c r="B5" s="34"/>
      <c r="C5" s="34"/>
      <c r="D5" s="34"/>
      <c r="E5" s="34"/>
      <c r="F5" s="34"/>
      <c r="T5" s="34"/>
      <c r="U5" s="34"/>
      <c r="V5" s="34"/>
      <c r="W5" s="34"/>
      <c r="X5" s="34"/>
      <c r="Y5" s="34"/>
      <c r="AM5" s="34"/>
      <c r="AN5" s="34"/>
      <c r="AO5" s="34"/>
      <c r="AP5" s="34"/>
      <c r="AQ5" s="34"/>
      <c r="AR5" s="34"/>
    </row>
    <row r="6" spans="1:57" x14ac:dyDescent="0.3">
      <c r="A6" s="107" t="s">
        <v>45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T6" s="107" t="s">
        <v>47</v>
      </c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M6" s="107" t="s">
        <v>48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</row>
    <row r="7" spans="1:57" ht="14.25" customHeight="1" x14ac:dyDescent="0.3">
      <c r="A7" s="103" t="s">
        <v>53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T7" s="103" t="str">
        <f>A7</f>
        <v>BULAN  : DESEMBER 2022</v>
      </c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M7" s="103" t="str">
        <f>T7</f>
        <v>BULAN  : DESEMBER 2022</v>
      </c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</row>
    <row r="8" spans="1:57" ht="7.5" customHeight="1" x14ac:dyDescent="0.3"/>
    <row r="9" spans="1:57" x14ac:dyDescent="0.3">
      <c r="A9" s="35" t="s">
        <v>37</v>
      </c>
      <c r="B9" s="35"/>
      <c r="C9" s="36" t="s">
        <v>38</v>
      </c>
      <c r="T9" s="35" t="s">
        <v>37</v>
      </c>
      <c r="U9" s="35"/>
      <c r="V9" s="36" t="s">
        <v>38</v>
      </c>
      <c r="AM9" s="35" t="s">
        <v>37</v>
      </c>
      <c r="AN9" s="35"/>
      <c r="AO9" s="36" t="s">
        <v>38</v>
      </c>
    </row>
    <row r="10" spans="1:57" x14ac:dyDescent="0.3">
      <c r="A10" t="s">
        <v>39</v>
      </c>
      <c r="B10" s="35"/>
      <c r="C10" t="s">
        <v>40</v>
      </c>
      <c r="T10" t="s">
        <v>39</v>
      </c>
      <c r="U10" s="35"/>
      <c r="V10" t="s">
        <v>40</v>
      </c>
      <c r="AM10" t="s">
        <v>39</v>
      </c>
      <c r="AN10" s="35"/>
      <c r="AO10" t="s">
        <v>40</v>
      </c>
    </row>
    <row r="11" spans="1:57" x14ac:dyDescent="0.3">
      <c r="A11" t="s">
        <v>41</v>
      </c>
      <c r="C11" t="s">
        <v>42</v>
      </c>
      <c r="P11" s="37" t="s">
        <v>43</v>
      </c>
      <c r="Q11" s="38" t="s">
        <v>44</v>
      </c>
      <c r="T11" t="s">
        <v>41</v>
      </c>
      <c r="V11" t="s">
        <v>42</v>
      </c>
      <c r="AI11" s="37" t="s">
        <v>43</v>
      </c>
      <c r="AJ11" s="38" t="s">
        <v>44</v>
      </c>
      <c r="AM11" t="s">
        <v>41</v>
      </c>
      <c r="AO11" t="s">
        <v>42</v>
      </c>
      <c r="BB11" s="37" t="s">
        <v>43</v>
      </c>
      <c r="BC11" s="38" t="s">
        <v>44</v>
      </c>
    </row>
    <row r="12" spans="1:57" s="2" customFormat="1" ht="9" customHeight="1" thickBot="1" x14ac:dyDescent="0.3">
      <c r="A12" s="1"/>
      <c r="F12" s="3"/>
      <c r="G12" s="3"/>
      <c r="H12" s="3"/>
      <c r="I12" s="3"/>
      <c r="J12" s="3"/>
      <c r="K12" s="3"/>
      <c r="L12" s="3"/>
      <c r="T12" s="1"/>
      <c r="Y12" s="3"/>
      <c r="Z12" s="3"/>
      <c r="AA12" s="3"/>
      <c r="AB12" s="3"/>
      <c r="AC12" s="3"/>
      <c r="AD12" s="3"/>
      <c r="AE12" s="3"/>
      <c r="AM12" s="1"/>
      <c r="AR12" s="3"/>
      <c r="AS12" s="3"/>
      <c r="AT12" s="3"/>
      <c r="AU12" s="3"/>
      <c r="AV12" s="3"/>
      <c r="AW12" s="3"/>
      <c r="AX12" s="3"/>
    </row>
    <row r="13" spans="1:57" s="2" customFormat="1" ht="14.25" customHeight="1" thickTop="1" x14ac:dyDescent="0.25">
      <c r="A13" s="99" t="s">
        <v>8</v>
      </c>
      <c r="B13" s="101" t="s">
        <v>9</v>
      </c>
      <c r="C13" s="101" t="s">
        <v>10</v>
      </c>
      <c r="D13" s="101" t="s">
        <v>11</v>
      </c>
      <c r="E13" s="101" t="s">
        <v>12</v>
      </c>
      <c r="F13" s="101" t="s">
        <v>13</v>
      </c>
      <c r="G13" s="101" t="s">
        <v>14</v>
      </c>
      <c r="H13" s="101" t="s">
        <v>15</v>
      </c>
      <c r="I13" s="101" t="s">
        <v>16</v>
      </c>
      <c r="J13" s="101" t="s">
        <v>17</v>
      </c>
      <c r="K13" s="101" t="s">
        <v>18</v>
      </c>
      <c r="L13" s="101" t="s">
        <v>19</v>
      </c>
      <c r="M13" s="101" t="s">
        <v>20</v>
      </c>
      <c r="N13" s="101" t="s">
        <v>21</v>
      </c>
      <c r="O13" s="109" t="s">
        <v>22</v>
      </c>
      <c r="P13" s="109" t="s">
        <v>23</v>
      </c>
      <c r="Q13" s="111" t="s">
        <v>24</v>
      </c>
      <c r="T13" s="99" t="s">
        <v>8</v>
      </c>
      <c r="U13" s="101" t="s">
        <v>9</v>
      </c>
      <c r="V13" s="101" t="s">
        <v>10</v>
      </c>
      <c r="W13" s="101" t="s">
        <v>11</v>
      </c>
      <c r="X13" s="101" t="s">
        <v>12</v>
      </c>
      <c r="Y13" s="101" t="s">
        <v>13</v>
      </c>
      <c r="Z13" s="101" t="s">
        <v>14</v>
      </c>
      <c r="AA13" s="101" t="s">
        <v>15</v>
      </c>
      <c r="AB13" s="101" t="s">
        <v>16</v>
      </c>
      <c r="AC13" s="101" t="s">
        <v>17</v>
      </c>
      <c r="AD13" s="101" t="s">
        <v>18</v>
      </c>
      <c r="AE13" s="101" t="s">
        <v>19</v>
      </c>
      <c r="AF13" s="101" t="s">
        <v>20</v>
      </c>
      <c r="AG13" s="101" t="s">
        <v>21</v>
      </c>
      <c r="AH13" s="97" t="s">
        <v>22</v>
      </c>
      <c r="AI13" s="97" t="s">
        <v>23</v>
      </c>
      <c r="AJ13" s="101" t="s">
        <v>24</v>
      </c>
      <c r="AM13" s="99" t="s">
        <v>8</v>
      </c>
      <c r="AN13" s="101" t="s">
        <v>9</v>
      </c>
      <c r="AO13" s="101" t="s">
        <v>10</v>
      </c>
      <c r="AP13" s="101" t="s">
        <v>11</v>
      </c>
      <c r="AQ13" s="101" t="s">
        <v>12</v>
      </c>
      <c r="AR13" s="101" t="s">
        <v>13</v>
      </c>
      <c r="AS13" s="101" t="s">
        <v>14</v>
      </c>
      <c r="AT13" s="101" t="s">
        <v>15</v>
      </c>
      <c r="AU13" s="101" t="s">
        <v>16</v>
      </c>
      <c r="AV13" s="101" t="s">
        <v>17</v>
      </c>
      <c r="AW13" s="101" t="s">
        <v>18</v>
      </c>
      <c r="AX13" s="101" t="s">
        <v>19</v>
      </c>
      <c r="AY13" s="101" t="s">
        <v>20</v>
      </c>
      <c r="AZ13" s="101" t="s">
        <v>21</v>
      </c>
      <c r="BA13" s="97" t="s">
        <v>22</v>
      </c>
      <c r="BB13" s="97" t="s">
        <v>23</v>
      </c>
      <c r="BC13" s="101" t="s">
        <v>24</v>
      </c>
    </row>
    <row r="14" spans="1:57" s="2" customFormat="1" ht="14.25" customHeight="1" thickBot="1" x14ac:dyDescent="0.3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10"/>
      <c r="P14" s="110"/>
      <c r="Q14" s="112"/>
      <c r="R14" s="8"/>
      <c r="S14" s="8"/>
      <c r="T14" s="100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98"/>
      <c r="AI14" s="98"/>
      <c r="AJ14" s="102"/>
      <c r="AK14" s="8"/>
      <c r="AL14" s="8"/>
      <c r="AM14" s="100"/>
      <c r="AN14" s="102"/>
      <c r="AO14" s="102"/>
      <c r="AP14" s="102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98"/>
      <c r="BB14" s="98"/>
      <c r="BC14" s="102"/>
      <c r="BD14" s="8"/>
      <c r="BE14" s="8"/>
    </row>
    <row r="15" spans="1:57" s="2" customFormat="1" ht="14.25" customHeight="1" thickTop="1" x14ac:dyDescent="0.25">
      <c r="A15" s="39">
        <v>1</v>
      </c>
      <c r="B15" s="40">
        <v>25</v>
      </c>
      <c r="C15" s="40">
        <v>26.3</v>
      </c>
      <c r="D15" s="40">
        <v>27.8</v>
      </c>
      <c r="E15" s="40">
        <v>28</v>
      </c>
      <c r="F15" s="40">
        <v>28.4</v>
      </c>
      <c r="G15" s="40">
        <v>29</v>
      </c>
      <c r="H15" s="40">
        <v>29.1</v>
      </c>
      <c r="I15" s="40">
        <v>29.4</v>
      </c>
      <c r="J15" s="40">
        <v>29.4</v>
      </c>
      <c r="K15" s="40">
        <v>29.4</v>
      </c>
      <c r="L15" s="40">
        <v>28</v>
      </c>
      <c r="M15" s="40">
        <v>26.6</v>
      </c>
      <c r="N15" s="40">
        <v>25.6</v>
      </c>
      <c r="O15" s="69">
        <f>MAX(B15:N15)</f>
        <v>29.4</v>
      </c>
      <c r="P15" s="90">
        <f>MIN(B15:N15)</f>
        <v>25</v>
      </c>
      <c r="Q15" s="88">
        <f>AVERAGE(B15:N15)</f>
        <v>27.84615384615385</v>
      </c>
      <c r="T15" s="39">
        <v>1</v>
      </c>
      <c r="U15" s="40">
        <v>23.1</v>
      </c>
      <c r="V15" s="40">
        <v>23.6</v>
      </c>
      <c r="W15" s="40">
        <v>24</v>
      </c>
      <c r="X15" s="40">
        <v>24.3</v>
      </c>
      <c r="Y15" s="40">
        <v>25</v>
      </c>
      <c r="Z15" s="40">
        <v>24.9</v>
      </c>
      <c r="AA15" s="40">
        <v>25.1</v>
      </c>
      <c r="AB15" s="40">
        <v>24.6</v>
      </c>
      <c r="AC15" s="40">
        <v>24.6</v>
      </c>
      <c r="AD15" s="40">
        <v>24.6</v>
      </c>
      <c r="AE15" s="40">
        <v>24.6</v>
      </c>
      <c r="AF15" s="40">
        <v>24.2</v>
      </c>
      <c r="AG15" s="40">
        <v>23.6</v>
      </c>
      <c r="AH15" s="69">
        <f>MAX(U15:AG15)</f>
        <v>25.1</v>
      </c>
      <c r="AI15" s="70">
        <f>MIN(U15:AG15)</f>
        <v>23.1</v>
      </c>
      <c r="AJ15" s="88">
        <f>AVERAGE(U15:AG15)</f>
        <v>24.323076923076922</v>
      </c>
      <c r="AM15" s="39">
        <v>1</v>
      </c>
      <c r="AN15" s="40">
        <v>22.094878555418994</v>
      </c>
      <c r="AO15" s="40">
        <v>22.235751721445251</v>
      </c>
      <c r="AP15" s="40">
        <v>22.135161586316389</v>
      </c>
      <c r="AQ15" s="40">
        <v>22.511967446185952</v>
      </c>
      <c r="AR15" s="40">
        <v>23.412597481878489</v>
      </c>
      <c r="AS15" s="40">
        <v>22.981462246956188</v>
      </c>
      <c r="AT15" s="40">
        <v>23.247305659103215</v>
      </c>
      <c r="AU15" s="40">
        <v>22.316656612844575</v>
      </c>
      <c r="AV15" s="40">
        <v>22.316656612844575</v>
      </c>
      <c r="AW15" s="40">
        <v>22.316656612844575</v>
      </c>
      <c r="AX15" s="40">
        <v>22.979754663101517</v>
      </c>
      <c r="AY15" s="40">
        <v>23.016356945678069</v>
      </c>
      <c r="AZ15" s="40">
        <v>22.571617917695416</v>
      </c>
      <c r="BA15" s="78">
        <f>MAX(AN15:AZ15)</f>
        <v>23.412597481878489</v>
      </c>
      <c r="BB15" s="90">
        <f>MIN(AN15:AZ15)</f>
        <v>22.094878555418994</v>
      </c>
      <c r="BC15" s="88">
        <f>AVERAGE(AN15:AZ15)</f>
        <v>22.625909543254863</v>
      </c>
    </row>
    <row r="16" spans="1:57" s="2" customFormat="1" ht="14.25" customHeight="1" x14ac:dyDescent="0.25">
      <c r="A16" s="44">
        <v>2</v>
      </c>
      <c r="B16" s="40">
        <v>25.1</v>
      </c>
      <c r="C16" s="40">
        <v>26.7</v>
      </c>
      <c r="D16" s="40">
        <v>27.2</v>
      </c>
      <c r="E16" s="40">
        <v>28</v>
      </c>
      <c r="F16" s="40">
        <v>29.5</v>
      </c>
      <c r="G16" s="40">
        <v>29.8</v>
      </c>
      <c r="H16" s="40">
        <v>29.4</v>
      </c>
      <c r="I16" s="40">
        <v>29.4</v>
      </c>
      <c r="J16" s="40">
        <v>28.6</v>
      </c>
      <c r="K16" s="40">
        <v>27.5</v>
      </c>
      <c r="L16" s="40">
        <v>27</v>
      </c>
      <c r="M16" s="40">
        <v>26.4</v>
      </c>
      <c r="N16" s="40">
        <v>25.9</v>
      </c>
      <c r="O16" s="69">
        <f t="shared" ref="O16:O45" si="0">MAX(B16:N16)</f>
        <v>29.8</v>
      </c>
      <c r="P16" s="91">
        <f t="shared" ref="P16:P45" si="1">MIN(B16:N16)</f>
        <v>25.1</v>
      </c>
      <c r="Q16" s="89">
        <f t="shared" ref="Q16:Q45" si="2">AVERAGE(B16:N16)</f>
        <v>27.73076923076923</v>
      </c>
      <c r="T16" s="44">
        <v>2</v>
      </c>
      <c r="U16" s="40">
        <v>23.3</v>
      </c>
      <c r="V16" s="40">
        <v>23.4</v>
      </c>
      <c r="W16" s="40">
        <v>23.8</v>
      </c>
      <c r="X16" s="40">
        <v>24</v>
      </c>
      <c r="Y16" s="40">
        <v>25</v>
      </c>
      <c r="Z16" s="40">
        <v>24.6</v>
      </c>
      <c r="AA16" s="40">
        <v>24.8</v>
      </c>
      <c r="AB16" s="40">
        <v>24.5</v>
      </c>
      <c r="AC16" s="40">
        <v>24.2</v>
      </c>
      <c r="AD16" s="40">
        <v>23.9</v>
      </c>
      <c r="AE16" s="40">
        <v>24.1</v>
      </c>
      <c r="AF16" s="40">
        <v>23.9</v>
      </c>
      <c r="AG16" s="40">
        <v>23.9</v>
      </c>
      <c r="AH16" s="69">
        <f t="shared" ref="AH16:AH45" si="3">MAX(U16:AG16)</f>
        <v>25</v>
      </c>
      <c r="AI16" s="70">
        <f t="shared" ref="AI16:AI45" si="4">MIN(U16:AG16)</f>
        <v>23.3</v>
      </c>
      <c r="AJ16" s="89">
        <f t="shared" ref="AJ16:AJ45" si="5">AVERAGE(U16:AG16)</f>
        <v>24.107692307692307</v>
      </c>
      <c r="AM16" s="44">
        <v>2</v>
      </c>
      <c r="AN16" s="40">
        <v>22.352837022433853</v>
      </c>
      <c r="AO16" s="40">
        <v>21.725702399335123</v>
      </c>
      <c r="AP16" s="40">
        <v>22.111430377236314</v>
      </c>
      <c r="AQ16" s="40">
        <v>22.037563837182521</v>
      </c>
      <c r="AR16" s="40">
        <v>22.905453010257961</v>
      </c>
      <c r="AS16" s="40">
        <v>22.122834462404985</v>
      </c>
      <c r="AT16" s="40">
        <v>22.635900736480924</v>
      </c>
      <c r="AU16" s="40">
        <v>22.155870252918731</v>
      </c>
      <c r="AV16" s="40">
        <v>22.063695259551533</v>
      </c>
      <c r="AW16" s="40">
        <v>22.123013428901654</v>
      </c>
      <c r="AX16" s="40">
        <v>22.67545063457851</v>
      </c>
      <c r="AY16" s="40">
        <v>22.651268327775487</v>
      </c>
      <c r="AZ16" s="40">
        <v>22.886578115787042</v>
      </c>
      <c r="BA16" s="81">
        <f t="shared" ref="BA16:BA45" si="6">MAX(AN16:AZ16)</f>
        <v>22.905453010257961</v>
      </c>
      <c r="BB16" s="91">
        <f t="shared" ref="BB16:BB45" si="7">MIN(AN16:AZ16)</f>
        <v>21.725702399335123</v>
      </c>
      <c r="BC16" s="89">
        <f t="shared" ref="BC16:BC45" si="8">AVERAGE(AN16:AZ16)</f>
        <v>22.342122912680356</v>
      </c>
    </row>
    <row r="17" spans="1:55" s="2" customFormat="1" ht="14.25" customHeight="1" x14ac:dyDescent="0.25">
      <c r="A17" s="44">
        <v>3</v>
      </c>
      <c r="B17" s="40">
        <v>26</v>
      </c>
      <c r="C17" s="40">
        <v>26.8</v>
      </c>
      <c r="D17" s="40">
        <v>27.7</v>
      </c>
      <c r="E17" s="40">
        <v>29</v>
      </c>
      <c r="F17" s="40">
        <v>26.6</v>
      </c>
      <c r="G17" s="40">
        <v>28</v>
      </c>
      <c r="H17" s="40">
        <v>29.2</v>
      </c>
      <c r="I17" s="40">
        <v>28.8</v>
      </c>
      <c r="J17" s="40">
        <v>28.2</v>
      </c>
      <c r="K17" s="40">
        <v>27</v>
      </c>
      <c r="L17" s="40">
        <v>27</v>
      </c>
      <c r="M17" s="40">
        <v>27</v>
      </c>
      <c r="N17" s="40">
        <v>26.3</v>
      </c>
      <c r="O17" s="69">
        <f t="shared" si="0"/>
        <v>29.2</v>
      </c>
      <c r="P17" s="91">
        <f t="shared" si="1"/>
        <v>26</v>
      </c>
      <c r="Q17" s="89">
        <f t="shared" si="2"/>
        <v>27.507692307692306</v>
      </c>
      <c r="T17" s="44">
        <v>3</v>
      </c>
      <c r="U17" s="40">
        <v>23.8</v>
      </c>
      <c r="V17" s="40">
        <v>24</v>
      </c>
      <c r="W17" s="40">
        <v>24</v>
      </c>
      <c r="X17" s="40">
        <v>24.6</v>
      </c>
      <c r="Y17" s="40">
        <v>24</v>
      </c>
      <c r="Z17" s="40">
        <v>24</v>
      </c>
      <c r="AA17" s="40">
        <v>24.8</v>
      </c>
      <c r="AB17" s="40">
        <v>24.6</v>
      </c>
      <c r="AC17" s="40">
        <v>24.8</v>
      </c>
      <c r="AD17" s="40">
        <v>24.6</v>
      </c>
      <c r="AE17" s="40">
        <v>24.5</v>
      </c>
      <c r="AF17" s="40">
        <v>24.5</v>
      </c>
      <c r="AG17" s="40">
        <v>24.2</v>
      </c>
      <c r="AH17" s="69">
        <f t="shared" si="3"/>
        <v>24.8</v>
      </c>
      <c r="AI17" s="70">
        <f t="shared" si="4"/>
        <v>23.8</v>
      </c>
      <c r="AJ17" s="89">
        <f t="shared" si="5"/>
        <v>24.338461538461541</v>
      </c>
      <c r="AM17" s="44">
        <v>3</v>
      </c>
      <c r="AN17" s="40">
        <v>22.687327425827569</v>
      </c>
      <c r="AO17" s="40">
        <v>22.615697420007322</v>
      </c>
      <c r="AP17" s="40">
        <v>22.183771035855521</v>
      </c>
      <c r="AQ17" s="40">
        <v>22.508503251918363</v>
      </c>
      <c r="AR17" s="40">
        <v>22.710351727825326</v>
      </c>
      <c r="AS17" s="40">
        <v>22.037563837182521</v>
      </c>
      <c r="AT17" s="40">
        <v>22.730458944972405</v>
      </c>
      <c r="AU17" s="40">
        <v>22.603699197462753</v>
      </c>
      <c r="AV17" s="40">
        <v>23.196283144013933</v>
      </c>
      <c r="AW17" s="40">
        <v>23.439555090650348</v>
      </c>
      <c r="AX17" s="40">
        <v>23.288075056864709</v>
      </c>
      <c r="AY17" s="40">
        <v>23.288075056864709</v>
      </c>
      <c r="AZ17" s="40">
        <v>23.155200700166329</v>
      </c>
      <c r="BA17" s="81">
        <f t="shared" si="6"/>
        <v>23.439555090650348</v>
      </c>
      <c r="BB17" s="91">
        <f t="shared" si="7"/>
        <v>22.037563837182521</v>
      </c>
      <c r="BC17" s="89">
        <f t="shared" si="8"/>
        <v>22.803427837662447</v>
      </c>
    </row>
    <row r="18" spans="1:55" s="2" customFormat="1" ht="14.25" customHeight="1" x14ac:dyDescent="0.25">
      <c r="A18" s="44">
        <v>4</v>
      </c>
      <c r="B18" s="40">
        <v>25.6</v>
      </c>
      <c r="C18" s="40">
        <v>26.8</v>
      </c>
      <c r="D18" s="40">
        <v>27.7</v>
      </c>
      <c r="E18" s="40">
        <v>28.9</v>
      </c>
      <c r="F18" s="40">
        <v>29.9</v>
      </c>
      <c r="G18" s="40">
        <v>29.7</v>
      </c>
      <c r="H18" s="40">
        <v>29.3</v>
      </c>
      <c r="I18" s="40">
        <v>24.6</v>
      </c>
      <c r="J18" s="40">
        <v>25.9</v>
      </c>
      <c r="K18" s="40">
        <v>25.2</v>
      </c>
      <c r="L18" s="40">
        <v>25.2</v>
      </c>
      <c r="M18" s="40">
        <v>25.3</v>
      </c>
      <c r="N18" s="40">
        <v>25.2</v>
      </c>
      <c r="O18" s="69">
        <f t="shared" si="0"/>
        <v>29.9</v>
      </c>
      <c r="P18" s="91">
        <f t="shared" si="1"/>
        <v>24.6</v>
      </c>
      <c r="Q18" s="89">
        <f t="shared" si="2"/>
        <v>26.869230769230771</v>
      </c>
      <c r="T18" s="44">
        <v>4</v>
      </c>
      <c r="U18" s="40">
        <v>24.2</v>
      </c>
      <c r="V18" s="40">
        <v>24.2</v>
      </c>
      <c r="W18" s="40">
        <v>24.4</v>
      </c>
      <c r="X18" s="40">
        <v>25</v>
      </c>
      <c r="Y18" s="40">
        <v>25.3</v>
      </c>
      <c r="Z18" s="40">
        <v>25.4</v>
      </c>
      <c r="AA18" s="40">
        <v>25.6</v>
      </c>
      <c r="AB18" s="40">
        <v>23.6</v>
      </c>
      <c r="AC18" s="40">
        <v>25</v>
      </c>
      <c r="AD18" s="40">
        <v>24.5</v>
      </c>
      <c r="AE18" s="40">
        <v>24.6</v>
      </c>
      <c r="AF18" s="40">
        <v>24.6</v>
      </c>
      <c r="AG18" s="40">
        <v>24.6</v>
      </c>
      <c r="AH18" s="69">
        <f t="shared" si="3"/>
        <v>25.6</v>
      </c>
      <c r="AI18" s="70">
        <f t="shared" si="4"/>
        <v>23.6</v>
      </c>
      <c r="AJ18" s="89">
        <f t="shared" si="5"/>
        <v>24.692307692307697</v>
      </c>
      <c r="AM18" s="44">
        <v>4</v>
      </c>
      <c r="AN18" s="40">
        <v>23.475269202586603</v>
      </c>
      <c r="AO18" s="40">
        <v>22.923225481997395</v>
      </c>
      <c r="AP18" s="40">
        <v>22.810028566949143</v>
      </c>
      <c r="AQ18" s="40">
        <v>23.183758098219226</v>
      </c>
      <c r="AR18" s="40">
        <v>23.192251346547145</v>
      </c>
      <c r="AS18" s="40">
        <v>23.440073628016837</v>
      </c>
      <c r="AT18" s="40">
        <v>23.927910438437131</v>
      </c>
      <c r="AU18" s="40">
        <v>23.041286800704647</v>
      </c>
      <c r="AV18" s="40">
        <v>24.517262225945245</v>
      </c>
      <c r="AW18" s="40">
        <v>24.094945713576639</v>
      </c>
      <c r="AX18" s="40">
        <v>24.240171052708501</v>
      </c>
      <c r="AY18" s="40">
        <v>24.196563143066935</v>
      </c>
      <c r="AZ18" s="40">
        <v>24.240171052708501</v>
      </c>
      <c r="BA18" s="81">
        <f t="shared" si="6"/>
        <v>24.517262225945245</v>
      </c>
      <c r="BB18" s="91">
        <f t="shared" si="7"/>
        <v>22.810028566949143</v>
      </c>
      <c r="BC18" s="89">
        <f t="shared" si="8"/>
        <v>23.637147442420307</v>
      </c>
    </row>
    <row r="19" spans="1:55" s="2" customFormat="1" ht="14.25" customHeight="1" x14ac:dyDescent="0.25">
      <c r="A19" s="44">
        <v>5</v>
      </c>
      <c r="B19" s="40">
        <v>25</v>
      </c>
      <c r="C19" s="40">
        <v>26.3</v>
      </c>
      <c r="D19" s="40">
        <v>28.1</v>
      </c>
      <c r="E19" s="40">
        <v>28.8</v>
      </c>
      <c r="F19" s="40">
        <v>29</v>
      </c>
      <c r="G19" s="40">
        <v>24.2</v>
      </c>
      <c r="H19" s="40">
        <v>25</v>
      </c>
      <c r="I19" s="40">
        <v>25.5</v>
      </c>
      <c r="J19" s="40">
        <v>25.4</v>
      </c>
      <c r="K19" s="40">
        <v>24.6</v>
      </c>
      <c r="L19" s="40">
        <v>24.2</v>
      </c>
      <c r="M19" s="40">
        <v>23.2</v>
      </c>
      <c r="N19" s="40">
        <v>23.2</v>
      </c>
      <c r="O19" s="69">
        <f t="shared" si="0"/>
        <v>29</v>
      </c>
      <c r="P19" s="91">
        <f t="shared" si="1"/>
        <v>23.2</v>
      </c>
      <c r="Q19" s="89">
        <f t="shared" si="2"/>
        <v>25.576923076923073</v>
      </c>
      <c r="T19" s="44">
        <v>5</v>
      </c>
      <c r="U19" s="40">
        <v>23.6</v>
      </c>
      <c r="V19" s="40">
        <v>24.2</v>
      </c>
      <c r="W19" s="40">
        <v>25</v>
      </c>
      <c r="X19" s="40">
        <v>25.2</v>
      </c>
      <c r="Y19" s="40">
        <v>25.3</v>
      </c>
      <c r="Z19" s="40">
        <v>22.5</v>
      </c>
      <c r="AA19" s="40">
        <v>24</v>
      </c>
      <c r="AB19" s="40">
        <v>24.8</v>
      </c>
      <c r="AC19" s="40">
        <v>24.4</v>
      </c>
      <c r="AD19" s="40">
        <v>24</v>
      </c>
      <c r="AE19" s="40">
        <v>23.6</v>
      </c>
      <c r="AF19" s="40">
        <v>22.9</v>
      </c>
      <c r="AG19" s="40">
        <v>22.8</v>
      </c>
      <c r="AH19" s="69">
        <f t="shared" si="3"/>
        <v>25.3</v>
      </c>
      <c r="AI19" s="70">
        <f t="shared" si="4"/>
        <v>22.5</v>
      </c>
      <c r="AJ19" s="89">
        <f t="shared" si="5"/>
        <v>24.023076923076925</v>
      </c>
      <c r="AM19" s="44">
        <v>5</v>
      </c>
      <c r="AN19" s="40">
        <v>22.854817544971361</v>
      </c>
      <c r="AO19" s="40">
        <v>23.155200700166329</v>
      </c>
      <c r="AP19" s="40">
        <v>23.548588754237745</v>
      </c>
      <c r="AQ19" s="40">
        <v>23.538528861704741</v>
      </c>
      <c r="AR19" s="40">
        <v>23.60202393285725</v>
      </c>
      <c r="AS19" s="40">
        <v>21.565366963628005</v>
      </c>
      <c r="AT19" s="40">
        <v>23.451002870250118</v>
      </c>
      <c r="AU19" s="40">
        <v>24.39976912326053</v>
      </c>
      <c r="AV19" s="40">
        <v>23.860484247779919</v>
      </c>
      <c r="AW19" s="40">
        <v>23.631733166285724</v>
      </c>
      <c r="AX19" s="40">
        <v>23.225937351919136</v>
      </c>
      <c r="AY19" s="40">
        <v>22.657999359828803</v>
      </c>
      <c r="AZ19" s="40">
        <v>22.509581083658311</v>
      </c>
      <c r="BA19" s="81">
        <f t="shared" si="6"/>
        <v>24.39976912326053</v>
      </c>
      <c r="BB19" s="91">
        <f t="shared" si="7"/>
        <v>21.565366963628005</v>
      </c>
      <c r="BC19" s="89">
        <f t="shared" si="8"/>
        <v>23.230848766195997</v>
      </c>
    </row>
    <row r="20" spans="1:55" s="2" customFormat="1" ht="14.25" customHeight="1" x14ac:dyDescent="0.25">
      <c r="A20" s="44">
        <v>6</v>
      </c>
      <c r="B20" s="40">
        <v>25</v>
      </c>
      <c r="C20" s="40">
        <v>26.8</v>
      </c>
      <c r="D20" s="40">
        <v>28</v>
      </c>
      <c r="E20" s="40">
        <v>29.3</v>
      </c>
      <c r="F20" s="40">
        <v>27</v>
      </c>
      <c r="G20" s="40">
        <v>29</v>
      </c>
      <c r="H20" s="40">
        <v>26.5</v>
      </c>
      <c r="I20" s="40">
        <v>25.8</v>
      </c>
      <c r="J20" s="40">
        <v>24.7</v>
      </c>
      <c r="K20" s="40">
        <v>24.2</v>
      </c>
      <c r="L20" s="40">
        <v>24.1</v>
      </c>
      <c r="M20" s="40">
        <v>23.8</v>
      </c>
      <c r="N20" s="40">
        <v>24.2</v>
      </c>
      <c r="O20" s="69">
        <f t="shared" si="0"/>
        <v>29.3</v>
      </c>
      <c r="P20" s="91">
        <f t="shared" si="1"/>
        <v>23.8</v>
      </c>
      <c r="Q20" s="89">
        <f t="shared" si="2"/>
        <v>26.030769230769234</v>
      </c>
      <c r="T20" s="44">
        <v>6</v>
      </c>
      <c r="U20" s="40">
        <v>23.8</v>
      </c>
      <c r="V20" s="40">
        <v>24.2</v>
      </c>
      <c r="W20" s="40">
        <v>25</v>
      </c>
      <c r="X20" s="40">
        <v>25.3</v>
      </c>
      <c r="Y20" s="40">
        <v>23.6</v>
      </c>
      <c r="Z20" s="40">
        <v>24.6</v>
      </c>
      <c r="AA20" s="40">
        <v>23.2</v>
      </c>
      <c r="AB20" s="40">
        <v>23.4</v>
      </c>
      <c r="AC20" s="40">
        <v>23.7</v>
      </c>
      <c r="AD20" s="40">
        <v>23.8</v>
      </c>
      <c r="AE20" s="40">
        <v>23.4</v>
      </c>
      <c r="AF20" s="40">
        <v>23.3</v>
      </c>
      <c r="AG20" s="40">
        <v>23.6</v>
      </c>
      <c r="AH20" s="69">
        <f t="shared" si="3"/>
        <v>25.3</v>
      </c>
      <c r="AI20" s="70">
        <f t="shared" si="4"/>
        <v>23.2</v>
      </c>
      <c r="AJ20" s="89">
        <f t="shared" si="5"/>
        <v>23.915384615384617</v>
      </c>
      <c r="AM20" s="44">
        <v>6</v>
      </c>
      <c r="AN20" s="40">
        <v>23.154171566343187</v>
      </c>
      <c r="AO20" s="40">
        <v>22.923225481997395</v>
      </c>
      <c r="AP20" s="40">
        <v>23.593703811444115</v>
      </c>
      <c r="AQ20" s="40">
        <v>23.466413061032977</v>
      </c>
      <c r="AR20" s="40">
        <v>21.893778896731295</v>
      </c>
      <c r="AS20" s="40">
        <v>22.508503251918363</v>
      </c>
      <c r="AT20" s="40">
        <v>21.508158710605972</v>
      </c>
      <c r="AU20" s="40">
        <v>22.168141216801725</v>
      </c>
      <c r="AV20" s="40">
        <v>23.143738191814908</v>
      </c>
      <c r="AW20" s="40">
        <v>23.519536764728979</v>
      </c>
      <c r="AX20" s="40">
        <v>22.976497121725625</v>
      </c>
      <c r="AY20" s="40">
        <v>22.968122691375331</v>
      </c>
      <c r="AZ20" s="40">
        <v>23.225937351919136</v>
      </c>
      <c r="BA20" s="81">
        <f t="shared" si="6"/>
        <v>23.593703811444115</v>
      </c>
      <c r="BB20" s="91">
        <f t="shared" si="7"/>
        <v>21.508158710605972</v>
      </c>
      <c r="BC20" s="89">
        <f t="shared" si="8"/>
        <v>22.849994470649158</v>
      </c>
    </row>
    <row r="21" spans="1:55" s="2" customFormat="1" ht="14.25" customHeight="1" x14ac:dyDescent="0.25">
      <c r="A21" s="44">
        <v>7</v>
      </c>
      <c r="B21" s="40">
        <v>24.2</v>
      </c>
      <c r="C21" s="40">
        <v>25.9</v>
      </c>
      <c r="D21" s="40">
        <v>27.7</v>
      </c>
      <c r="E21" s="40">
        <v>29.4</v>
      </c>
      <c r="F21" s="40">
        <v>30.4</v>
      </c>
      <c r="G21" s="40">
        <v>29.9</v>
      </c>
      <c r="H21" s="40">
        <v>26.3</v>
      </c>
      <c r="I21" s="40">
        <v>26.1</v>
      </c>
      <c r="J21" s="40">
        <v>25.4</v>
      </c>
      <c r="K21" s="40">
        <v>25</v>
      </c>
      <c r="L21" s="40">
        <v>25</v>
      </c>
      <c r="M21" s="40">
        <v>25</v>
      </c>
      <c r="N21" s="40">
        <v>24.6</v>
      </c>
      <c r="O21" s="69">
        <f t="shared" si="0"/>
        <v>30.4</v>
      </c>
      <c r="P21" s="91">
        <f t="shared" si="1"/>
        <v>24.2</v>
      </c>
      <c r="Q21" s="89">
        <f t="shared" si="2"/>
        <v>26.530769230769234</v>
      </c>
      <c r="T21" s="44">
        <v>7</v>
      </c>
      <c r="U21" s="40">
        <v>23.5</v>
      </c>
      <c r="V21" s="40">
        <v>24.3</v>
      </c>
      <c r="W21" s="40">
        <v>24.6</v>
      </c>
      <c r="X21" s="40">
        <v>25.4</v>
      </c>
      <c r="Y21" s="40">
        <v>25.6</v>
      </c>
      <c r="Z21" s="40">
        <v>25.8</v>
      </c>
      <c r="AA21" s="40">
        <v>24.4</v>
      </c>
      <c r="AB21" s="40">
        <v>24.1</v>
      </c>
      <c r="AC21" s="40">
        <v>23.6</v>
      </c>
      <c r="AD21" s="40">
        <v>24</v>
      </c>
      <c r="AE21" s="40">
        <v>24</v>
      </c>
      <c r="AF21" s="40">
        <v>23.8</v>
      </c>
      <c r="AG21" s="40">
        <v>23.8</v>
      </c>
      <c r="AH21" s="69">
        <f t="shared" si="3"/>
        <v>25.8</v>
      </c>
      <c r="AI21" s="70">
        <f t="shared" si="4"/>
        <v>23.5</v>
      </c>
      <c r="AJ21" s="89">
        <f t="shared" si="5"/>
        <v>24.376923076923081</v>
      </c>
      <c r="AM21" s="44">
        <v>7</v>
      </c>
      <c r="AN21" s="40">
        <v>23.078225344363613</v>
      </c>
      <c r="AO21" s="40">
        <v>23.488199340942707</v>
      </c>
      <c r="AP21" s="40">
        <v>23.118869724019063</v>
      </c>
      <c r="AQ21" s="40">
        <v>23.575872804337322</v>
      </c>
      <c r="AR21" s="40">
        <v>23.434498887866557</v>
      </c>
      <c r="AS21" s="40">
        <v>23.968963072351563</v>
      </c>
      <c r="AT21" s="40">
        <v>23.456330079990238</v>
      </c>
      <c r="AU21" s="40">
        <v>23.096394768900115</v>
      </c>
      <c r="AV21" s="40">
        <v>22.666490581585112</v>
      </c>
      <c r="AW21" s="40">
        <v>23.451002870250118</v>
      </c>
      <c r="AX21" s="40">
        <v>23.451002870250118</v>
      </c>
      <c r="AY21" s="40">
        <v>23.154171566343187</v>
      </c>
      <c r="AZ21" s="40">
        <v>23.337733422817518</v>
      </c>
      <c r="BA21" s="81">
        <f t="shared" si="6"/>
        <v>23.968963072351563</v>
      </c>
      <c r="BB21" s="91">
        <f t="shared" si="7"/>
        <v>22.666490581585112</v>
      </c>
      <c r="BC21" s="89">
        <f t="shared" si="8"/>
        <v>23.32905810261671</v>
      </c>
    </row>
    <row r="22" spans="1:55" s="2" customFormat="1" ht="14.25" customHeight="1" x14ac:dyDescent="0.25">
      <c r="A22" s="44">
        <v>8</v>
      </c>
      <c r="B22" s="40">
        <v>24.6</v>
      </c>
      <c r="C22" s="40">
        <v>25.1</v>
      </c>
      <c r="D22" s="40">
        <v>25.6</v>
      </c>
      <c r="E22" s="40">
        <v>26.8</v>
      </c>
      <c r="F22" s="40">
        <v>27.7</v>
      </c>
      <c r="G22" s="40">
        <v>29</v>
      </c>
      <c r="H22" s="40">
        <v>29.8</v>
      </c>
      <c r="I22" s="40">
        <v>29.9</v>
      </c>
      <c r="J22" s="40">
        <v>28.5</v>
      </c>
      <c r="K22" s="40">
        <v>28.2</v>
      </c>
      <c r="L22" s="40">
        <v>27.6</v>
      </c>
      <c r="M22" s="40">
        <v>26.8</v>
      </c>
      <c r="N22" s="40">
        <v>26.3</v>
      </c>
      <c r="O22" s="69">
        <f t="shared" si="0"/>
        <v>29.9</v>
      </c>
      <c r="P22" s="91">
        <f t="shared" si="1"/>
        <v>24.6</v>
      </c>
      <c r="Q22" s="89">
        <f t="shared" si="2"/>
        <v>27.376923076923084</v>
      </c>
      <c r="T22" s="44">
        <v>8</v>
      </c>
      <c r="U22" s="40">
        <v>23.8</v>
      </c>
      <c r="V22" s="40">
        <v>24.2</v>
      </c>
      <c r="W22" s="40">
        <v>24.4</v>
      </c>
      <c r="X22" s="40">
        <v>24.9</v>
      </c>
      <c r="Y22" s="40">
        <v>25.1</v>
      </c>
      <c r="Z22" s="40">
        <v>25.3</v>
      </c>
      <c r="AA22" s="40">
        <v>25.8</v>
      </c>
      <c r="AB22" s="40">
        <v>25.5</v>
      </c>
      <c r="AC22" s="40">
        <v>25.2</v>
      </c>
      <c r="AD22" s="40">
        <v>24.7</v>
      </c>
      <c r="AE22" s="40">
        <v>24.3</v>
      </c>
      <c r="AF22" s="40">
        <v>24.5</v>
      </c>
      <c r="AG22" s="40">
        <v>24.5</v>
      </c>
      <c r="AH22" s="69">
        <f t="shared" si="3"/>
        <v>25.8</v>
      </c>
      <c r="AI22" s="70">
        <f t="shared" si="4"/>
        <v>23.8</v>
      </c>
      <c r="AJ22" s="89">
        <f t="shared" si="5"/>
        <v>24.784615384615385</v>
      </c>
      <c r="AM22" s="44">
        <v>8</v>
      </c>
      <c r="AN22" s="40">
        <v>23.337733422817518</v>
      </c>
      <c r="AO22" s="40">
        <v>23.700631898461467</v>
      </c>
      <c r="AP22" s="40">
        <v>23.771410936659056</v>
      </c>
      <c r="AQ22" s="40">
        <v>23.978657648020917</v>
      </c>
      <c r="AR22" s="40">
        <v>23.879159206070124</v>
      </c>
      <c r="AS22" s="40">
        <v>23.60202393285725</v>
      </c>
      <c r="AT22" s="40">
        <v>24.013096932917858</v>
      </c>
      <c r="AU22" s="40">
        <v>23.505032364928489</v>
      </c>
      <c r="AV22" s="40">
        <v>23.673627291087026</v>
      </c>
      <c r="AW22" s="40">
        <v>23.041711914959809</v>
      </c>
      <c r="AX22" s="40">
        <v>22.70184305017392</v>
      </c>
      <c r="AY22" s="40">
        <v>23.379436669800825</v>
      </c>
      <c r="AZ22" s="40">
        <v>23.605936182140407</v>
      </c>
      <c r="BA22" s="81">
        <f t="shared" si="6"/>
        <v>24.013096932917858</v>
      </c>
      <c r="BB22" s="91">
        <f t="shared" si="7"/>
        <v>22.70184305017392</v>
      </c>
      <c r="BC22" s="89">
        <f t="shared" si="8"/>
        <v>23.553100111607282</v>
      </c>
    </row>
    <row r="23" spans="1:55" s="2" customFormat="1" ht="14.25" customHeight="1" x14ac:dyDescent="0.25">
      <c r="A23" s="44">
        <v>9</v>
      </c>
      <c r="B23" s="40">
        <v>25.4</v>
      </c>
      <c r="C23" s="40">
        <v>27</v>
      </c>
      <c r="D23" s="40">
        <v>28.8</v>
      </c>
      <c r="E23" s="40">
        <v>29.6</v>
      </c>
      <c r="F23" s="40">
        <v>29.8</v>
      </c>
      <c r="G23" s="40">
        <v>29.8</v>
      </c>
      <c r="H23" s="40">
        <v>30.1</v>
      </c>
      <c r="I23" s="40">
        <v>30.9</v>
      </c>
      <c r="J23" s="40">
        <v>26.8</v>
      </c>
      <c r="K23" s="40">
        <v>26.8</v>
      </c>
      <c r="L23" s="40">
        <v>28.1</v>
      </c>
      <c r="M23" s="40">
        <v>27.2</v>
      </c>
      <c r="N23" s="40">
        <v>25.7</v>
      </c>
      <c r="O23" s="69">
        <f t="shared" si="0"/>
        <v>30.9</v>
      </c>
      <c r="P23" s="91">
        <f t="shared" si="1"/>
        <v>25.4</v>
      </c>
      <c r="Q23" s="89">
        <f t="shared" si="2"/>
        <v>28.153846153846157</v>
      </c>
      <c r="T23" s="44">
        <v>9</v>
      </c>
      <c r="U23" s="40">
        <v>23.8</v>
      </c>
      <c r="V23" s="40">
        <v>24.5</v>
      </c>
      <c r="W23" s="40">
        <v>24.7</v>
      </c>
      <c r="X23" s="40">
        <v>25.2</v>
      </c>
      <c r="Y23" s="40">
        <v>25</v>
      </c>
      <c r="Z23" s="40">
        <v>25</v>
      </c>
      <c r="AA23" s="40">
        <v>25.8</v>
      </c>
      <c r="AB23" s="40">
        <v>26.2</v>
      </c>
      <c r="AC23" s="40">
        <v>24.4</v>
      </c>
      <c r="AD23" s="40">
        <v>24.6</v>
      </c>
      <c r="AE23" s="40">
        <v>25</v>
      </c>
      <c r="AF23" s="40">
        <v>24</v>
      </c>
      <c r="AG23" s="40">
        <v>23.4</v>
      </c>
      <c r="AH23" s="69">
        <f t="shared" si="3"/>
        <v>26.2</v>
      </c>
      <c r="AI23" s="70">
        <f t="shared" si="4"/>
        <v>23.4</v>
      </c>
      <c r="AJ23" s="89">
        <f t="shared" si="5"/>
        <v>24.738461538461536</v>
      </c>
      <c r="AM23" s="44">
        <v>9</v>
      </c>
      <c r="AN23" s="40">
        <v>22.968814165589823</v>
      </c>
      <c r="AO23" s="40">
        <v>23.288075056864709</v>
      </c>
      <c r="AP23" s="40">
        <v>22.761299877426222</v>
      </c>
      <c r="AQ23" s="40">
        <v>23.173497959213115</v>
      </c>
      <c r="AR23" s="40">
        <v>22.764750111093644</v>
      </c>
      <c r="AS23" s="40">
        <v>22.764750111093644</v>
      </c>
      <c r="AT23" s="40">
        <v>23.880387817946321</v>
      </c>
      <c r="AU23" s="40">
        <v>24.145331528903299</v>
      </c>
      <c r="AV23" s="40">
        <v>23.228029920116789</v>
      </c>
      <c r="AW23" s="40">
        <v>23.530193147412959</v>
      </c>
      <c r="AX23" s="40">
        <v>23.548588754237745</v>
      </c>
      <c r="AY23" s="40">
        <v>22.424951840849836</v>
      </c>
      <c r="AZ23" s="40">
        <v>22.216663750285282</v>
      </c>
      <c r="BA23" s="81">
        <f t="shared" si="6"/>
        <v>24.145331528903299</v>
      </c>
      <c r="BB23" s="91">
        <f t="shared" si="7"/>
        <v>22.216663750285282</v>
      </c>
      <c r="BC23" s="89">
        <f t="shared" si="8"/>
        <v>23.130410310848724</v>
      </c>
    </row>
    <row r="24" spans="1:55" s="2" customFormat="1" ht="14.25" customHeight="1" x14ac:dyDescent="0.25">
      <c r="A24" s="44">
        <v>10</v>
      </c>
      <c r="B24" s="40">
        <v>25</v>
      </c>
      <c r="C24" s="40">
        <v>26</v>
      </c>
      <c r="D24" s="40">
        <v>27.3</v>
      </c>
      <c r="E24" s="40">
        <v>28</v>
      </c>
      <c r="F24" s="40">
        <v>28.8</v>
      </c>
      <c r="G24" s="40">
        <v>29.3</v>
      </c>
      <c r="H24" s="40">
        <v>29.4</v>
      </c>
      <c r="I24" s="40">
        <v>30</v>
      </c>
      <c r="J24" s="40">
        <v>30</v>
      </c>
      <c r="K24" s="40">
        <v>29.8</v>
      </c>
      <c r="L24" s="40">
        <v>28.4</v>
      </c>
      <c r="M24" s="40">
        <v>26.7</v>
      </c>
      <c r="N24" s="40">
        <v>26</v>
      </c>
      <c r="O24" s="69">
        <f t="shared" si="0"/>
        <v>30</v>
      </c>
      <c r="P24" s="91">
        <f t="shared" si="1"/>
        <v>25</v>
      </c>
      <c r="Q24" s="89">
        <f t="shared" si="2"/>
        <v>28.053846153846152</v>
      </c>
      <c r="T24" s="44">
        <v>10</v>
      </c>
      <c r="U24" s="40">
        <v>24</v>
      </c>
      <c r="V24" s="40">
        <v>23.8</v>
      </c>
      <c r="W24" s="40">
        <v>24.5</v>
      </c>
      <c r="X24" s="40">
        <v>25</v>
      </c>
      <c r="Y24" s="40">
        <v>24.8</v>
      </c>
      <c r="Z24" s="40">
        <v>25.2</v>
      </c>
      <c r="AA24" s="40">
        <v>24.6</v>
      </c>
      <c r="AB24" s="40">
        <v>25</v>
      </c>
      <c r="AC24" s="40">
        <v>25.4</v>
      </c>
      <c r="AD24" s="40">
        <v>25.2</v>
      </c>
      <c r="AE24" s="40">
        <v>24.8</v>
      </c>
      <c r="AF24" s="40">
        <v>24.3</v>
      </c>
      <c r="AG24" s="40">
        <v>24</v>
      </c>
      <c r="AH24" s="69">
        <f t="shared" si="3"/>
        <v>25.4</v>
      </c>
      <c r="AI24" s="70">
        <f t="shared" si="4"/>
        <v>23.8</v>
      </c>
      <c r="AJ24" s="89">
        <f t="shared" si="5"/>
        <v>24.661538461538459</v>
      </c>
      <c r="AM24" s="44">
        <v>10</v>
      </c>
      <c r="AN24" s="40">
        <v>23.451002870250118</v>
      </c>
      <c r="AO24" s="40">
        <v>22.687327425827569</v>
      </c>
      <c r="AP24" s="40">
        <v>23.150202224975626</v>
      </c>
      <c r="AQ24" s="40">
        <v>23.593703811444115</v>
      </c>
      <c r="AR24" s="40">
        <v>22.918167167153779</v>
      </c>
      <c r="AS24" s="40">
        <v>23.311208565766815</v>
      </c>
      <c r="AT24" s="40">
        <v>22.316656612844575</v>
      </c>
      <c r="AU24" s="40">
        <v>22.670362668359488</v>
      </c>
      <c r="AV24" s="40">
        <v>23.303296611588866</v>
      </c>
      <c r="AW24" s="40">
        <v>23.081131949841016</v>
      </c>
      <c r="AX24" s="40">
        <v>23.104030876414406</v>
      </c>
      <c r="AY24" s="40">
        <v>23.122212048616081</v>
      </c>
      <c r="AZ24" s="40">
        <v>22.991501967304046</v>
      </c>
      <c r="BA24" s="81">
        <f t="shared" si="6"/>
        <v>23.593703811444115</v>
      </c>
      <c r="BB24" s="91">
        <f t="shared" si="7"/>
        <v>22.316656612844575</v>
      </c>
      <c r="BC24" s="89">
        <f t="shared" si="8"/>
        <v>23.05390806156819</v>
      </c>
    </row>
    <row r="25" spans="1:55" s="2" customFormat="1" ht="14.25" customHeight="1" x14ac:dyDescent="0.25">
      <c r="A25" s="44">
        <v>11</v>
      </c>
      <c r="B25" s="40">
        <v>25.2</v>
      </c>
      <c r="C25" s="40">
        <v>26.4</v>
      </c>
      <c r="D25" s="40">
        <v>26.8</v>
      </c>
      <c r="E25" s="40">
        <v>29</v>
      </c>
      <c r="F25" s="40">
        <v>29.6</v>
      </c>
      <c r="G25" s="40">
        <v>30</v>
      </c>
      <c r="H25" s="40">
        <v>30</v>
      </c>
      <c r="I25" s="40">
        <v>29.8</v>
      </c>
      <c r="J25" s="40">
        <v>29.4</v>
      </c>
      <c r="K25" s="40">
        <v>28.1</v>
      </c>
      <c r="L25" s="40">
        <v>23.8</v>
      </c>
      <c r="M25" s="40">
        <v>23</v>
      </c>
      <c r="N25" s="40">
        <v>22.8</v>
      </c>
      <c r="O25" s="69">
        <f t="shared" si="0"/>
        <v>30</v>
      </c>
      <c r="P25" s="91">
        <f t="shared" si="1"/>
        <v>22.8</v>
      </c>
      <c r="Q25" s="89">
        <f t="shared" si="2"/>
        <v>27.223076923076924</v>
      </c>
      <c r="T25" s="44">
        <v>11</v>
      </c>
      <c r="U25" s="40">
        <v>23.6</v>
      </c>
      <c r="V25" s="40">
        <v>24</v>
      </c>
      <c r="W25" s="40">
        <v>24.2</v>
      </c>
      <c r="X25" s="40">
        <v>25</v>
      </c>
      <c r="Y25" s="40">
        <v>25.4</v>
      </c>
      <c r="Z25" s="40">
        <v>25.4</v>
      </c>
      <c r="AA25" s="40">
        <v>25.6</v>
      </c>
      <c r="AB25" s="40">
        <v>25.8</v>
      </c>
      <c r="AC25" s="40">
        <v>25.6</v>
      </c>
      <c r="AD25" s="40">
        <v>25.1</v>
      </c>
      <c r="AE25" s="40">
        <v>22.4</v>
      </c>
      <c r="AF25" s="40">
        <v>22.5</v>
      </c>
      <c r="AG25" s="40">
        <v>22.2</v>
      </c>
      <c r="AH25" s="69">
        <f t="shared" si="3"/>
        <v>25.8</v>
      </c>
      <c r="AI25" s="70">
        <f t="shared" si="4"/>
        <v>22.2</v>
      </c>
      <c r="AJ25" s="89">
        <f t="shared" si="5"/>
        <v>24.369230769230764</v>
      </c>
      <c r="AM25" s="44">
        <v>11</v>
      </c>
      <c r="AN25" s="40">
        <v>22.760888764461736</v>
      </c>
      <c r="AO25" s="40">
        <v>22.804533908537021</v>
      </c>
      <c r="AP25" s="40">
        <v>22.923225481997395</v>
      </c>
      <c r="AQ25" s="40">
        <v>23.13765699199967</v>
      </c>
      <c r="AR25" s="40">
        <v>23.485447924589423</v>
      </c>
      <c r="AS25" s="40">
        <v>23.303296611588866</v>
      </c>
      <c r="AT25" s="40">
        <v>23.615405006377451</v>
      </c>
      <c r="AU25" s="40">
        <v>24.013096932917858</v>
      </c>
      <c r="AV25" s="40">
        <v>23.883579415901753</v>
      </c>
      <c r="AW25" s="40">
        <v>23.700761209849404</v>
      </c>
      <c r="AX25" s="40">
        <v>21.611541107226305</v>
      </c>
      <c r="AY25" s="40">
        <v>22.157931057986872</v>
      </c>
      <c r="AZ25" s="40">
        <v>21.804514107972604</v>
      </c>
      <c r="BA25" s="81">
        <f t="shared" si="6"/>
        <v>24.013096932917858</v>
      </c>
      <c r="BB25" s="91">
        <f t="shared" si="7"/>
        <v>21.611541107226305</v>
      </c>
      <c r="BC25" s="89">
        <f t="shared" si="8"/>
        <v>23.015529117031257</v>
      </c>
    </row>
    <row r="26" spans="1:55" s="2" customFormat="1" ht="14.25" customHeight="1" x14ac:dyDescent="0.25">
      <c r="A26" s="44">
        <v>12</v>
      </c>
      <c r="B26" s="40">
        <v>24.6</v>
      </c>
      <c r="C26" s="40">
        <v>25.6</v>
      </c>
      <c r="D26" s="40">
        <v>27.3</v>
      </c>
      <c r="E26" s="40">
        <v>28.6</v>
      </c>
      <c r="F26" s="40">
        <v>29.4</v>
      </c>
      <c r="G26" s="40">
        <v>30.3</v>
      </c>
      <c r="H26" s="40">
        <v>30.2</v>
      </c>
      <c r="I26" s="40">
        <v>30</v>
      </c>
      <c r="J26" s="40">
        <v>29.2</v>
      </c>
      <c r="K26" s="40">
        <v>28.6</v>
      </c>
      <c r="L26" s="40">
        <v>27.6</v>
      </c>
      <c r="M26" s="40">
        <v>27</v>
      </c>
      <c r="N26" s="40">
        <v>26.6</v>
      </c>
      <c r="O26" s="69">
        <f t="shared" si="0"/>
        <v>30.3</v>
      </c>
      <c r="P26" s="91">
        <f t="shared" si="1"/>
        <v>24.6</v>
      </c>
      <c r="Q26" s="89">
        <f t="shared" si="2"/>
        <v>28.07692307692308</v>
      </c>
      <c r="T26" s="44">
        <v>12</v>
      </c>
      <c r="U26" s="40">
        <v>23.7</v>
      </c>
      <c r="V26" s="40">
        <v>23.8</v>
      </c>
      <c r="W26" s="40">
        <v>24</v>
      </c>
      <c r="X26" s="40">
        <v>25.1</v>
      </c>
      <c r="Y26" s="40">
        <v>25.2</v>
      </c>
      <c r="Z26" s="40">
        <v>25.8</v>
      </c>
      <c r="AA26" s="40">
        <v>26.2</v>
      </c>
      <c r="AB26" s="40">
        <v>25.4</v>
      </c>
      <c r="AC26" s="40">
        <v>25.4</v>
      </c>
      <c r="AD26" s="40">
        <v>25.2</v>
      </c>
      <c r="AE26" s="40">
        <v>25</v>
      </c>
      <c r="AF26" s="40">
        <v>25</v>
      </c>
      <c r="AG26" s="40">
        <v>25</v>
      </c>
      <c r="AH26" s="69">
        <f t="shared" si="3"/>
        <v>26.2</v>
      </c>
      <c r="AI26" s="70">
        <f t="shared" si="4"/>
        <v>23.7</v>
      </c>
      <c r="AJ26" s="89">
        <f t="shared" si="5"/>
        <v>24.984615384615381</v>
      </c>
      <c r="AM26" s="44">
        <v>12</v>
      </c>
      <c r="AN26" s="40">
        <v>23.189820548177124</v>
      </c>
      <c r="AO26" s="40">
        <v>22.875450234951316</v>
      </c>
      <c r="AP26" s="40">
        <v>22.376962255829021</v>
      </c>
      <c r="AQ26" s="40">
        <v>23.475386165272468</v>
      </c>
      <c r="AR26" s="40">
        <v>23.265416041293889</v>
      </c>
      <c r="AS26" s="40">
        <v>23.791399083800428</v>
      </c>
      <c r="AT26" s="40">
        <v>24.449360428169875</v>
      </c>
      <c r="AU26" s="40">
        <v>23.303296611588866</v>
      </c>
      <c r="AV26" s="40">
        <v>23.665869730219789</v>
      </c>
      <c r="AW26" s="40">
        <v>23.628701010435609</v>
      </c>
      <c r="AX26" s="40">
        <v>23.773101758937997</v>
      </c>
      <c r="AY26" s="40">
        <v>24.039070257543216</v>
      </c>
      <c r="AZ26" s="40">
        <v>24.214345134056124</v>
      </c>
      <c r="BA26" s="81">
        <f t="shared" si="6"/>
        <v>24.449360428169875</v>
      </c>
      <c r="BB26" s="91">
        <f t="shared" si="7"/>
        <v>22.376962255829021</v>
      </c>
      <c r="BC26" s="89">
        <f t="shared" si="8"/>
        <v>23.542167635405825</v>
      </c>
    </row>
    <row r="27" spans="1:55" s="2" customFormat="1" ht="14.25" customHeight="1" x14ac:dyDescent="0.25">
      <c r="A27" s="44">
        <v>13</v>
      </c>
      <c r="B27" s="40">
        <v>24.5</v>
      </c>
      <c r="C27" s="40">
        <v>26.6</v>
      </c>
      <c r="D27" s="40">
        <v>27.2</v>
      </c>
      <c r="E27" s="40">
        <v>28.8</v>
      </c>
      <c r="F27" s="40">
        <v>30.4</v>
      </c>
      <c r="G27" s="40">
        <v>30.4</v>
      </c>
      <c r="H27" s="40">
        <v>30.8</v>
      </c>
      <c r="I27" s="40">
        <v>30.2</v>
      </c>
      <c r="J27" s="40">
        <v>29.2</v>
      </c>
      <c r="K27" s="40">
        <v>25.2</v>
      </c>
      <c r="L27" s="40">
        <v>25</v>
      </c>
      <c r="M27" s="40">
        <v>25.2</v>
      </c>
      <c r="N27" s="40">
        <v>25.2</v>
      </c>
      <c r="O27" s="69">
        <f t="shared" si="0"/>
        <v>30.8</v>
      </c>
      <c r="P27" s="91">
        <f t="shared" si="1"/>
        <v>24.5</v>
      </c>
      <c r="Q27" s="89">
        <f t="shared" si="2"/>
        <v>27.592307692307692</v>
      </c>
      <c r="T27" s="44">
        <v>13</v>
      </c>
      <c r="U27" s="40">
        <v>24</v>
      </c>
      <c r="V27" s="40">
        <v>24.2</v>
      </c>
      <c r="W27" s="40">
        <v>24.4</v>
      </c>
      <c r="X27" s="40">
        <v>25.2</v>
      </c>
      <c r="Y27" s="40">
        <v>25.8</v>
      </c>
      <c r="Z27" s="40">
        <v>26</v>
      </c>
      <c r="AA27" s="40">
        <v>26.4</v>
      </c>
      <c r="AB27" s="40">
        <v>26.4</v>
      </c>
      <c r="AC27" s="40">
        <v>25.3</v>
      </c>
      <c r="AD27" s="40">
        <v>23.4</v>
      </c>
      <c r="AE27" s="40">
        <v>23.3</v>
      </c>
      <c r="AF27" s="40">
        <v>23.4</v>
      </c>
      <c r="AG27" s="40">
        <v>24</v>
      </c>
      <c r="AH27" s="69">
        <f t="shared" si="3"/>
        <v>26.4</v>
      </c>
      <c r="AI27" s="70">
        <f t="shared" si="4"/>
        <v>23.3</v>
      </c>
      <c r="AJ27" s="89">
        <f t="shared" si="5"/>
        <v>24.753846153846155</v>
      </c>
      <c r="AM27" s="44">
        <v>13</v>
      </c>
      <c r="AN27" s="40">
        <v>23.676648621300622</v>
      </c>
      <c r="AO27" s="40">
        <v>23.016356945678069</v>
      </c>
      <c r="AP27" s="40">
        <v>23.043390041601409</v>
      </c>
      <c r="AQ27" s="40">
        <v>23.538528861704741</v>
      </c>
      <c r="AR27" s="40">
        <v>23.746748358606883</v>
      </c>
      <c r="AS27" s="40">
        <v>24.056216238791031</v>
      </c>
      <c r="AT27" s="40">
        <v>24.495966406555901</v>
      </c>
      <c r="AU27" s="40">
        <v>24.752159288910839</v>
      </c>
      <c r="AV27" s="40">
        <v>23.511724268218156</v>
      </c>
      <c r="AW27" s="40">
        <v>22.45741703757486</v>
      </c>
      <c r="AX27" s="40">
        <v>22.400885909362238</v>
      </c>
      <c r="AY27" s="40">
        <v>22.45741703757486</v>
      </c>
      <c r="AZ27" s="40">
        <v>23.359988927625103</v>
      </c>
      <c r="BA27" s="81">
        <f t="shared" si="6"/>
        <v>24.752159288910839</v>
      </c>
      <c r="BB27" s="91">
        <f t="shared" si="7"/>
        <v>22.400885909362238</v>
      </c>
      <c r="BC27" s="89">
        <f t="shared" si="8"/>
        <v>23.424111380269593</v>
      </c>
    </row>
    <row r="28" spans="1:55" s="2" customFormat="1" ht="14.25" customHeight="1" x14ac:dyDescent="0.25">
      <c r="A28" s="44">
        <v>14</v>
      </c>
      <c r="B28" s="40">
        <v>24.7</v>
      </c>
      <c r="C28" s="40">
        <v>25.8</v>
      </c>
      <c r="D28" s="40">
        <v>27.7</v>
      </c>
      <c r="E28" s="40">
        <v>29.4</v>
      </c>
      <c r="F28" s="40">
        <v>30.3</v>
      </c>
      <c r="G28" s="40">
        <v>30.3</v>
      </c>
      <c r="H28" s="40">
        <v>29.7</v>
      </c>
      <c r="I28" s="40">
        <v>29.2</v>
      </c>
      <c r="J28" s="40">
        <v>27.8</v>
      </c>
      <c r="K28" s="40">
        <v>24.2</v>
      </c>
      <c r="L28" s="40">
        <v>24</v>
      </c>
      <c r="M28" s="40">
        <v>24</v>
      </c>
      <c r="N28" s="40">
        <v>24</v>
      </c>
      <c r="O28" s="69">
        <f t="shared" si="0"/>
        <v>30.3</v>
      </c>
      <c r="P28" s="91">
        <f t="shared" si="1"/>
        <v>24</v>
      </c>
      <c r="Q28" s="89">
        <f t="shared" si="2"/>
        <v>27.007692307692309</v>
      </c>
      <c r="T28" s="44">
        <v>14</v>
      </c>
      <c r="U28" s="40">
        <v>23.7</v>
      </c>
      <c r="V28" s="40">
        <v>24.4</v>
      </c>
      <c r="W28" s="40">
        <v>24.7</v>
      </c>
      <c r="X28" s="40">
        <v>25.2</v>
      </c>
      <c r="Y28" s="40">
        <v>25</v>
      </c>
      <c r="Z28" s="40">
        <v>25.9</v>
      </c>
      <c r="AA28" s="40">
        <v>25.7</v>
      </c>
      <c r="AB28" s="40">
        <v>26.4</v>
      </c>
      <c r="AC28" s="40">
        <v>25.2</v>
      </c>
      <c r="AD28" s="40">
        <v>23.2</v>
      </c>
      <c r="AE28" s="40">
        <v>23.2</v>
      </c>
      <c r="AF28" s="40">
        <v>23.4</v>
      </c>
      <c r="AG28" s="40">
        <v>23.5</v>
      </c>
      <c r="AH28" s="69">
        <f t="shared" si="3"/>
        <v>26.4</v>
      </c>
      <c r="AI28" s="70">
        <f t="shared" si="4"/>
        <v>23.2</v>
      </c>
      <c r="AJ28" s="89">
        <f t="shared" si="5"/>
        <v>24.576923076923073</v>
      </c>
      <c r="AM28" s="44">
        <v>14</v>
      </c>
      <c r="AN28" s="40">
        <v>23.143738191814908</v>
      </c>
      <c r="AO28" s="40">
        <v>23.681919065166394</v>
      </c>
      <c r="AP28" s="40">
        <v>23.272256959776332</v>
      </c>
      <c r="AQ28" s="40">
        <v>23.265416041293889</v>
      </c>
      <c r="AR28" s="40">
        <v>22.527890548735694</v>
      </c>
      <c r="AS28" s="40">
        <v>23.946114239598526</v>
      </c>
      <c r="AT28" s="40">
        <v>23.903882152622163</v>
      </c>
      <c r="AU28" s="40">
        <v>25.171696448407815</v>
      </c>
      <c r="AV28" s="40">
        <v>23.985178287701391</v>
      </c>
      <c r="AW28" s="40">
        <v>22.631329178936141</v>
      </c>
      <c r="AX28" s="40">
        <v>22.725900467116261</v>
      </c>
      <c r="AY28" s="40">
        <v>23.022986804446777</v>
      </c>
      <c r="AZ28" s="40">
        <v>23.170595097320081</v>
      </c>
      <c r="BA28" s="81">
        <f t="shared" si="6"/>
        <v>25.171696448407815</v>
      </c>
      <c r="BB28" s="91">
        <f t="shared" si="7"/>
        <v>22.527890548735694</v>
      </c>
      <c r="BC28" s="89">
        <f t="shared" si="8"/>
        <v>23.419146421764335</v>
      </c>
    </row>
    <row r="29" spans="1:55" s="2" customFormat="1" ht="14.25" customHeight="1" x14ac:dyDescent="0.25">
      <c r="A29" s="44">
        <v>15</v>
      </c>
      <c r="B29" s="40">
        <v>24.8</v>
      </c>
      <c r="C29" s="40">
        <v>26.8</v>
      </c>
      <c r="D29" s="40">
        <v>27.1</v>
      </c>
      <c r="E29" s="40">
        <v>29.2</v>
      </c>
      <c r="F29" s="40">
        <v>28.6</v>
      </c>
      <c r="G29" s="40">
        <v>29.9</v>
      </c>
      <c r="H29" s="40">
        <v>29.6</v>
      </c>
      <c r="I29" s="40">
        <v>29.6</v>
      </c>
      <c r="J29" s="40">
        <v>29</v>
      </c>
      <c r="K29" s="40">
        <v>27.8</v>
      </c>
      <c r="L29" s="40">
        <v>23.6</v>
      </c>
      <c r="M29" s="40">
        <v>23.6</v>
      </c>
      <c r="N29" s="40">
        <v>23.6</v>
      </c>
      <c r="O29" s="69">
        <f t="shared" si="0"/>
        <v>29.9</v>
      </c>
      <c r="P29" s="91">
        <f t="shared" si="1"/>
        <v>23.6</v>
      </c>
      <c r="Q29" s="89">
        <f t="shared" si="2"/>
        <v>27.169230769230772</v>
      </c>
      <c r="T29" s="44">
        <v>15</v>
      </c>
      <c r="U29" s="40">
        <v>24</v>
      </c>
      <c r="V29" s="40">
        <v>25.5</v>
      </c>
      <c r="W29" s="40">
        <v>25.9</v>
      </c>
      <c r="X29" s="40">
        <v>27.2</v>
      </c>
      <c r="Y29" s="40">
        <v>27.2</v>
      </c>
      <c r="Z29" s="40">
        <v>27.8</v>
      </c>
      <c r="AA29" s="40">
        <v>27.7</v>
      </c>
      <c r="AB29" s="40">
        <v>27.6</v>
      </c>
      <c r="AC29" s="40">
        <v>26.4</v>
      </c>
      <c r="AD29" s="40">
        <v>25.2</v>
      </c>
      <c r="AE29" s="40">
        <v>23</v>
      </c>
      <c r="AF29" s="40">
        <v>23</v>
      </c>
      <c r="AG29" s="40">
        <v>23</v>
      </c>
      <c r="AH29" s="69">
        <f t="shared" si="3"/>
        <v>27.8</v>
      </c>
      <c r="AI29" s="70">
        <f t="shared" si="4"/>
        <v>23</v>
      </c>
      <c r="AJ29" s="89">
        <f t="shared" si="5"/>
        <v>25.653846153846153</v>
      </c>
      <c r="AM29" s="44">
        <v>15</v>
      </c>
      <c r="AN29" s="40">
        <v>23.541582806104632</v>
      </c>
      <c r="AO29" s="40">
        <v>24.859287271906087</v>
      </c>
      <c r="AP29" s="40">
        <v>25.311840807303817</v>
      </c>
      <c r="AQ29" s="40">
        <v>26.333855668760897</v>
      </c>
      <c r="AR29" s="40">
        <v>26.566952558193744</v>
      </c>
      <c r="AS29" s="40">
        <v>26.919669933372798</v>
      </c>
      <c r="AT29" s="40">
        <v>26.891688362501572</v>
      </c>
      <c r="AU29" s="40">
        <v>26.749754941473679</v>
      </c>
      <c r="AV29" s="40">
        <v>25.25451742833156</v>
      </c>
      <c r="AW29" s="40">
        <v>23.985178287701391</v>
      </c>
      <c r="AX29" s="40">
        <v>22.616977894785251</v>
      </c>
      <c r="AY29" s="40">
        <v>22.616977894785251</v>
      </c>
      <c r="AZ29" s="40">
        <v>22.616977894785251</v>
      </c>
      <c r="BA29" s="81">
        <f t="shared" si="6"/>
        <v>26.919669933372798</v>
      </c>
      <c r="BB29" s="91">
        <f t="shared" si="7"/>
        <v>22.616977894785251</v>
      </c>
      <c r="BC29" s="89">
        <f t="shared" si="8"/>
        <v>24.943481673077375</v>
      </c>
    </row>
    <row r="30" spans="1:55" s="2" customFormat="1" ht="14.25" customHeight="1" x14ac:dyDescent="0.25">
      <c r="A30" s="44">
        <v>16</v>
      </c>
      <c r="B30" s="40">
        <v>24.8</v>
      </c>
      <c r="C30" s="40">
        <v>25.3</v>
      </c>
      <c r="D30" s="40">
        <v>26.2</v>
      </c>
      <c r="E30" s="40">
        <v>27</v>
      </c>
      <c r="F30" s="40">
        <v>28.1</v>
      </c>
      <c r="G30" s="40">
        <v>28.6</v>
      </c>
      <c r="H30" s="40">
        <v>25.9</v>
      </c>
      <c r="I30" s="40">
        <v>29.2</v>
      </c>
      <c r="J30" s="40">
        <v>28.6</v>
      </c>
      <c r="K30" s="40">
        <v>27.5</v>
      </c>
      <c r="L30" s="40">
        <v>27</v>
      </c>
      <c r="M30" s="40">
        <v>26.8</v>
      </c>
      <c r="N30" s="40">
        <v>26.4</v>
      </c>
      <c r="O30" s="69">
        <f t="shared" si="0"/>
        <v>29.2</v>
      </c>
      <c r="P30" s="91">
        <f t="shared" si="1"/>
        <v>24.8</v>
      </c>
      <c r="Q30" s="89">
        <f t="shared" si="2"/>
        <v>27.030769230769231</v>
      </c>
      <c r="T30" s="44">
        <v>16</v>
      </c>
      <c r="U30" s="40">
        <v>24.2</v>
      </c>
      <c r="V30" s="40">
        <v>23.9</v>
      </c>
      <c r="W30" s="40">
        <v>24.1</v>
      </c>
      <c r="X30" s="40">
        <v>24.7</v>
      </c>
      <c r="Y30" s="40">
        <v>26.7</v>
      </c>
      <c r="Z30" s="40">
        <v>27.1</v>
      </c>
      <c r="AA30" s="40">
        <v>25.4</v>
      </c>
      <c r="AB30" s="40">
        <v>26.4</v>
      </c>
      <c r="AC30" s="40">
        <v>25.6</v>
      </c>
      <c r="AD30" s="40">
        <v>25.8</v>
      </c>
      <c r="AE30" s="40">
        <v>25.8</v>
      </c>
      <c r="AF30" s="40">
        <v>25</v>
      </c>
      <c r="AG30" s="40">
        <v>24.6</v>
      </c>
      <c r="AH30" s="69">
        <f t="shared" si="3"/>
        <v>27.1</v>
      </c>
      <c r="AI30" s="70">
        <f t="shared" si="4"/>
        <v>23.9</v>
      </c>
      <c r="AJ30" s="89">
        <f t="shared" si="5"/>
        <v>25.330769230769231</v>
      </c>
      <c r="AM30" s="44">
        <v>16</v>
      </c>
      <c r="AN30" s="40">
        <v>23.834579423059534</v>
      </c>
      <c r="AO30" s="40">
        <v>23.165138660267143</v>
      </c>
      <c r="AP30" s="40">
        <v>23.050083090863829</v>
      </c>
      <c r="AQ30" s="40">
        <v>23.590384962747073</v>
      </c>
      <c r="AR30" s="40">
        <v>26.052807719128925</v>
      </c>
      <c r="AS30" s="40">
        <v>26.425296780291063</v>
      </c>
      <c r="AT30" s="40">
        <v>25.092676193612377</v>
      </c>
      <c r="AU30" s="40">
        <v>25.171696448407815</v>
      </c>
      <c r="AV30" s="40">
        <v>24.235377202799327</v>
      </c>
      <c r="AW30" s="40">
        <v>25.001052317629107</v>
      </c>
      <c r="AX30" s="40">
        <v>25.20925852351645</v>
      </c>
      <c r="AY30" s="40">
        <v>24.126908752194279</v>
      </c>
      <c r="AZ30" s="40">
        <v>23.710183186275557</v>
      </c>
      <c r="BA30" s="81">
        <f t="shared" si="6"/>
        <v>26.425296780291063</v>
      </c>
      <c r="BB30" s="91">
        <f t="shared" si="7"/>
        <v>23.050083090863829</v>
      </c>
      <c r="BC30" s="89">
        <f t="shared" si="8"/>
        <v>24.512726404676343</v>
      </c>
    </row>
    <row r="31" spans="1:55" s="2" customFormat="1" ht="14.25" customHeight="1" x14ac:dyDescent="0.25">
      <c r="A31" s="44">
        <v>17</v>
      </c>
      <c r="B31" s="40">
        <v>25.6</v>
      </c>
      <c r="C31" s="40">
        <v>27.8</v>
      </c>
      <c r="D31" s="40">
        <v>29</v>
      </c>
      <c r="E31" s="40">
        <v>30</v>
      </c>
      <c r="F31" s="40">
        <v>30.2</v>
      </c>
      <c r="G31" s="40">
        <v>30.5</v>
      </c>
      <c r="H31" s="40">
        <v>30.9</v>
      </c>
      <c r="I31" s="40">
        <v>31.3</v>
      </c>
      <c r="J31" s="40">
        <v>30.6</v>
      </c>
      <c r="K31" s="40">
        <v>29.9</v>
      </c>
      <c r="L31" s="40">
        <v>29.2</v>
      </c>
      <c r="M31" s="40">
        <v>27.8</v>
      </c>
      <c r="N31" s="40">
        <v>26.8</v>
      </c>
      <c r="O31" s="69">
        <f t="shared" si="0"/>
        <v>31.3</v>
      </c>
      <c r="P31" s="91">
        <f t="shared" si="1"/>
        <v>25.6</v>
      </c>
      <c r="Q31" s="89">
        <f t="shared" si="2"/>
        <v>29.200000000000003</v>
      </c>
      <c r="T31" s="44">
        <v>17</v>
      </c>
      <c r="U31" s="40">
        <v>24</v>
      </c>
      <c r="V31" s="40">
        <v>25.1</v>
      </c>
      <c r="W31" s="40">
        <v>26.2</v>
      </c>
      <c r="X31" s="40">
        <v>27.7</v>
      </c>
      <c r="Y31" s="40">
        <v>27.8</v>
      </c>
      <c r="Z31" s="40">
        <v>27</v>
      </c>
      <c r="AA31" s="40">
        <v>27.2</v>
      </c>
      <c r="AB31" s="40">
        <v>27.2</v>
      </c>
      <c r="AC31" s="40">
        <v>25.7</v>
      </c>
      <c r="AD31" s="40">
        <v>25.3</v>
      </c>
      <c r="AE31" s="40">
        <v>25.8</v>
      </c>
      <c r="AF31" s="40">
        <v>26.1</v>
      </c>
      <c r="AG31" s="40">
        <v>25.6</v>
      </c>
      <c r="AH31" s="69">
        <f t="shared" si="3"/>
        <v>27.8</v>
      </c>
      <c r="AI31" s="70">
        <f t="shared" si="4"/>
        <v>24</v>
      </c>
      <c r="AJ31" s="89">
        <f t="shared" si="5"/>
        <v>26.207692307692312</v>
      </c>
      <c r="AM31" s="44">
        <v>17</v>
      </c>
      <c r="AN31" s="40">
        <v>23.17664094358928</v>
      </c>
      <c r="AO31" s="40">
        <v>23.834716079901977</v>
      </c>
      <c r="AP31" s="40">
        <v>24.959586048903638</v>
      </c>
      <c r="AQ31" s="40">
        <v>26.739167363085926</v>
      </c>
      <c r="AR31" s="40">
        <v>26.805554301261676</v>
      </c>
      <c r="AS31" s="40">
        <v>25.52395915532988</v>
      </c>
      <c r="AT31" s="40">
        <v>25.657802262087323</v>
      </c>
      <c r="AU31" s="40">
        <v>25.495241050492407</v>
      </c>
      <c r="AV31" s="40">
        <v>23.500621985768088</v>
      </c>
      <c r="AW31" s="40">
        <v>23.192251346547145</v>
      </c>
      <c r="AX31" s="40">
        <v>24.275779153816018</v>
      </c>
      <c r="AY31" s="40">
        <v>25.312062992554267</v>
      </c>
      <c r="AZ31" s="40">
        <v>25.004046888190331</v>
      </c>
      <c r="BA31" s="81">
        <f t="shared" si="6"/>
        <v>26.805554301261676</v>
      </c>
      <c r="BB31" s="91">
        <f t="shared" si="7"/>
        <v>23.17664094358928</v>
      </c>
      <c r="BC31" s="89">
        <f t="shared" si="8"/>
        <v>24.882879197809846</v>
      </c>
    </row>
    <row r="32" spans="1:55" s="2" customFormat="1" ht="14.25" customHeight="1" x14ac:dyDescent="0.25">
      <c r="A32" s="44">
        <v>18</v>
      </c>
      <c r="B32" s="40">
        <v>25.3</v>
      </c>
      <c r="C32" s="40">
        <v>27.8</v>
      </c>
      <c r="D32" s="40">
        <v>28.6</v>
      </c>
      <c r="E32" s="40">
        <v>29.6</v>
      </c>
      <c r="F32" s="40">
        <v>30.6</v>
      </c>
      <c r="G32" s="40">
        <v>30.6</v>
      </c>
      <c r="H32" s="40">
        <v>31.1</v>
      </c>
      <c r="I32" s="40">
        <v>31.8</v>
      </c>
      <c r="J32" s="40">
        <v>30.8</v>
      </c>
      <c r="K32" s="40">
        <v>30.4</v>
      </c>
      <c r="L32" s="40">
        <v>29.3</v>
      </c>
      <c r="M32" s="40">
        <v>27.8</v>
      </c>
      <c r="N32" s="40">
        <v>26.7</v>
      </c>
      <c r="O32" s="69">
        <f t="shared" si="0"/>
        <v>31.8</v>
      </c>
      <c r="P32" s="91">
        <f t="shared" si="1"/>
        <v>25.3</v>
      </c>
      <c r="Q32" s="89">
        <f t="shared" si="2"/>
        <v>29.261538461538461</v>
      </c>
      <c r="T32" s="44">
        <v>18</v>
      </c>
      <c r="U32" s="40">
        <v>23.6</v>
      </c>
      <c r="V32" s="40">
        <v>24.6</v>
      </c>
      <c r="W32" s="40">
        <v>25.5</v>
      </c>
      <c r="X32" s="40">
        <v>25.7</v>
      </c>
      <c r="Y32" s="40">
        <v>26.8</v>
      </c>
      <c r="Z32" s="40">
        <v>26.9</v>
      </c>
      <c r="AA32" s="40">
        <v>26.7</v>
      </c>
      <c r="AB32" s="40">
        <v>27.6</v>
      </c>
      <c r="AC32" s="40">
        <v>26.5</v>
      </c>
      <c r="AD32" s="40">
        <v>26.2</v>
      </c>
      <c r="AE32" s="40">
        <v>26.6</v>
      </c>
      <c r="AF32" s="40">
        <v>24.6</v>
      </c>
      <c r="AG32" s="40">
        <v>24.1</v>
      </c>
      <c r="AH32" s="69">
        <f t="shared" si="3"/>
        <v>27.6</v>
      </c>
      <c r="AI32" s="70">
        <f t="shared" si="4"/>
        <v>23.6</v>
      </c>
      <c r="AJ32" s="89">
        <f t="shared" si="5"/>
        <v>25.800000000000004</v>
      </c>
      <c r="AM32" s="44">
        <v>18</v>
      </c>
      <c r="AN32" s="40">
        <v>22.713748663769724</v>
      </c>
      <c r="AO32" s="40">
        <v>23.072611503492613</v>
      </c>
      <c r="AP32" s="40">
        <v>24.084675813037919</v>
      </c>
      <c r="AQ32" s="40">
        <v>23.948166363152563</v>
      </c>
      <c r="AR32" s="40">
        <v>25.185142473091211</v>
      </c>
      <c r="AS32" s="40">
        <v>25.334452879704404</v>
      </c>
      <c r="AT32" s="40">
        <v>24.82510285791993</v>
      </c>
      <c r="AU32" s="40">
        <v>25.889323825246969</v>
      </c>
      <c r="AV32" s="40">
        <v>24.648434751607951</v>
      </c>
      <c r="AW32" s="40">
        <v>24.362986930908228</v>
      </c>
      <c r="AX32" s="40">
        <v>25.424658369419387</v>
      </c>
      <c r="AY32" s="40">
        <v>23.072611503492613</v>
      </c>
      <c r="AZ32" s="40">
        <v>22.816809305961961</v>
      </c>
      <c r="BA32" s="81">
        <f t="shared" si="6"/>
        <v>25.889323825246969</v>
      </c>
      <c r="BB32" s="91">
        <f t="shared" si="7"/>
        <v>22.713748663769724</v>
      </c>
      <c r="BC32" s="89">
        <f t="shared" si="8"/>
        <v>24.259901941600422</v>
      </c>
    </row>
    <row r="33" spans="1:55" s="2" customFormat="1" ht="14.25" customHeight="1" x14ac:dyDescent="0.25">
      <c r="A33" s="44">
        <v>19</v>
      </c>
      <c r="B33" s="40">
        <v>25.8</v>
      </c>
      <c r="C33" s="40">
        <v>27.6</v>
      </c>
      <c r="D33" s="40">
        <v>29</v>
      </c>
      <c r="E33" s="40">
        <v>30.4</v>
      </c>
      <c r="F33" s="40">
        <v>27</v>
      </c>
      <c r="G33" s="40">
        <v>26.8</v>
      </c>
      <c r="H33" s="40">
        <v>29.2</v>
      </c>
      <c r="I33" s="40">
        <v>29.2</v>
      </c>
      <c r="J33" s="40">
        <v>29.6</v>
      </c>
      <c r="K33" s="40">
        <v>28.8</v>
      </c>
      <c r="L33" s="40">
        <v>28.6</v>
      </c>
      <c r="M33" s="40">
        <v>27.4</v>
      </c>
      <c r="N33" s="40">
        <v>26.6</v>
      </c>
      <c r="O33" s="69">
        <f t="shared" si="0"/>
        <v>30.4</v>
      </c>
      <c r="P33" s="91">
        <f t="shared" si="1"/>
        <v>25.8</v>
      </c>
      <c r="Q33" s="89">
        <f t="shared" si="2"/>
        <v>28.153846153846153</v>
      </c>
      <c r="T33" s="44">
        <v>19</v>
      </c>
      <c r="U33" s="40">
        <v>24</v>
      </c>
      <c r="V33" s="40">
        <v>25.4</v>
      </c>
      <c r="W33" s="40">
        <v>24.8</v>
      </c>
      <c r="X33" s="40">
        <v>24.8</v>
      </c>
      <c r="Y33" s="40">
        <v>23.8</v>
      </c>
      <c r="Z33" s="40">
        <v>23.6</v>
      </c>
      <c r="AA33" s="40">
        <v>25</v>
      </c>
      <c r="AB33" s="40">
        <v>24.7</v>
      </c>
      <c r="AC33" s="40">
        <v>24.1</v>
      </c>
      <c r="AD33" s="40">
        <v>23.2</v>
      </c>
      <c r="AE33" s="40">
        <v>23.4</v>
      </c>
      <c r="AF33" s="40">
        <v>23.2</v>
      </c>
      <c r="AG33" s="40">
        <v>23.8</v>
      </c>
      <c r="AH33" s="69">
        <f t="shared" si="3"/>
        <v>25.4</v>
      </c>
      <c r="AI33" s="70">
        <f t="shared" si="4"/>
        <v>23.2</v>
      </c>
      <c r="AJ33" s="89">
        <f t="shared" si="5"/>
        <v>24.138461538461534</v>
      </c>
      <c r="AM33" s="44">
        <v>19</v>
      </c>
      <c r="AN33" s="40">
        <v>23.084297681296647</v>
      </c>
      <c r="AO33" s="40">
        <v>24.370945495089579</v>
      </c>
      <c r="AP33" s="40">
        <v>22.824546080853771</v>
      </c>
      <c r="AQ33" s="40">
        <v>22.155861844971266</v>
      </c>
      <c r="AR33" s="40">
        <v>22.208645027327083</v>
      </c>
      <c r="AS33" s="40">
        <v>21.992122500145243</v>
      </c>
      <c r="AT33" s="40">
        <v>23.045116879889999</v>
      </c>
      <c r="AU33" s="40">
        <v>22.572019626566767</v>
      </c>
      <c r="AV33" s="40">
        <v>21.403712824054175</v>
      </c>
      <c r="AW33" s="40">
        <v>20.313173065025666</v>
      </c>
      <c r="AX33" s="40">
        <v>20.755814499189071</v>
      </c>
      <c r="AY33" s="40">
        <v>21.0496477864498</v>
      </c>
      <c r="AZ33" s="40">
        <v>22.401579926224102</v>
      </c>
      <c r="BA33" s="81">
        <f t="shared" si="6"/>
        <v>24.370945495089579</v>
      </c>
      <c r="BB33" s="91">
        <f t="shared" si="7"/>
        <v>20.313173065025666</v>
      </c>
      <c r="BC33" s="89">
        <f t="shared" si="8"/>
        <v>22.167498710544859</v>
      </c>
    </row>
    <row r="34" spans="1:55" s="2" customFormat="1" ht="14.25" customHeight="1" x14ac:dyDescent="0.25">
      <c r="A34" s="44">
        <v>20</v>
      </c>
      <c r="B34" s="40">
        <v>25.6</v>
      </c>
      <c r="C34" s="40">
        <v>27.4</v>
      </c>
      <c r="D34" s="40">
        <v>29</v>
      </c>
      <c r="E34" s="40">
        <v>30.8</v>
      </c>
      <c r="F34" s="40">
        <v>31.4</v>
      </c>
      <c r="G34" s="40">
        <v>31.6</v>
      </c>
      <c r="H34" s="40">
        <v>31.8</v>
      </c>
      <c r="I34" s="40">
        <v>30.9</v>
      </c>
      <c r="J34" s="40">
        <v>29.9</v>
      </c>
      <c r="K34" s="40">
        <v>29.6</v>
      </c>
      <c r="L34" s="40">
        <v>29.8</v>
      </c>
      <c r="M34" s="40">
        <v>28</v>
      </c>
      <c r="N34" s="40">
        <v>27.3</v>
      </c>
      <c r="O34" s="69">
        <f t="shared" si="0"/>
        <v>31.8</v>
      </c>
      <c r="P34" s="91">
        <f t="shared" si="1"/>
        <v>25.6</v>
      </c>
      <c r="Q34" s="89">
        <f t="shared" si="2"/>
        <v>29.469230769230769</v>
      </c>
      <c r="T34" s="44">
        <v>20</v>
      </c>
      <c r="U34" s="40">
        <v>23.6</v>
      </c>
      <c r="V34" s="40">
        <v>24.2</v>
      </c>
      <c r="W34" s="40">
        <v>24.2</v>
      </c>
      <c r="X34" s="40">
        <v>24.8</v>
      </c>
      <c r="Y34" s="40">
        <v>25.2</v>
      </c>
      <c r="Z34" s="40">
        <v>25</v>
      </c>
      <c r="AA34" s="40">
        <v>25.6</v>
      </c>
      <c r="AB34" s="40">
        <v>25.3</v>
      </c>
      <c r="AC34" s="40">
        <v>25.3</v>
      </c>
      <c r="AD34" s="40">
        <v>25.3</v>
      </c>
      <c r="AE34" s="40">
        <v>25.4</v>
      </c>
      <c r="AF34" s="40">
        <v>24.7</v>
      </c>
      <c r="AG34" s="40">
        <v>24.8</v>
      </c>
      <c r="AH34" s="69">
        <f t="shared" si="3"/>
        <v>25.6</v>
      </c>
      <c r="AI34" s="70">
        <f t="shared" si="4"/>
        <v>23.6</v>
      </c>
      <c r="AJ34" s="89">
        <f t="shared" si="5"/>
        <v>24.876923076923081</v>
      </c>
      <c r="AM34" s="44">
        <v>20</v>
      </c>
      <c r="AN34" s="40">
        <v>22.571617917695416</v>
      </c>
      <c r="AO34" s="40">
        <v>22.64104632271264</v>
      </c>
      <c r="AP34" s="40">
        <v>21.867237103039482</v>
      </c>
      <c r="AQ34" s="40">
        <v>21.96036328282305</v>
      </c>
      <c r="AR34" s="40">
        <v>22.32549481351754</v>
      </c>
      <c r="AS34" s="40">
        <v>21.897743004464761</v>
      </c>
      <c r="AT34" s="40">
        <v>22.787386628827527</v>
      </c>
      <c r="AU34" s="40">
        <v>22.726311021018322</v>
      </c>
      <c r="AV34" s="40">
        <v>23.192251346547145</v>
      </c>
      <c r="AW34" s="40">
        <v>23.329827270776018</v>
      </c>
      <c r="AX34" s="40">
        <v>23.394590685489504</v>
      </c>
      <c r="AY34" s="40">
        <v>23.134266780435102</v>
      </c>
      <c r="AZ34" s="40">
        <v>23.605955947310239</v>
      </c>
      <c r="BA34" s="81">
        <f t="shared" si="6"/>
        <v>23.605955947310239</v>
      </c>
      <c r="BB34" s="91">
        <f t="shared" si="7"/>
        <v>21.867237103039482</v>
      </c>
      <c r="BC34" s="89">
        <f t="shared" si="8"/>
        <v>22.725699394204369</v>
      </c>
    </row>
    <row r="35" spans="1:55" s="2" customFormat="1" ht="14.25" customHeight="1" x14ac:dyDescent="0.25">
      <c r="A35" s="44">
        <v>21</v>
      </c>
      <c r="B35" s="40">
        <v>25.5</v>
      </c>
      <c r="C35" s="40">
        <v>27.6</v>
      </c>
      <c r="D35" s="40">
        <v>29.2</v>
      </c>
      <c r="E35" s="40">
        <v>30.5</v>
      </c>
      <c r="F35" s="40">
        <v>31.9</v>
      </c>
      <c r="G35" s="40">
        <v>32</v>
      </c>
      <c r="H35" s="40">
        <v>31.4</v>
      </c>
      <c r="I35" s="40">
        <v>31.6</v>
      </c>
      <c r="J35" s="40">
        <v>31</v>
      </c>
      <c r="K35" s="40">
        <v>30.6</v>
      </c>
      <c r="L35" s="40">
        <v>28.6</v>
      </c>
      <c r="M35" s="40">
        <v>28</v>
      </c>
      <c r="N35" s="40">
        <v>27</v>
      </c>
      <c r="O35" s="69">
        <f t="shared" si="0"/>
        <v>32</v>
      </c>
      <c r="P35" s="91">
        <f t="shared" si="1"/>
        <v>25.5</v>
      </c>
      <c r="Q35" s="89">
        <f t="shared" si="2"/>
        <v>29.607692307692311</v>
      </c>
      <c r="T35" s="44">
        <v>21</v>
      </c>
      <c r="U35" s="40">
        <v>23.3</v>
      </c>
      <c r="V35" s="40">
        <v>24.3</v>
      </c>
      <c r="W35" s="40">
        <v>24.2</v>
      </c>
      <c r="X35" s="40">
        <v>25</v>
      </c>
      <c r="Y35" s="40">
        <v>25.8</v>
      </c>
      <c r="Z35" s="40">
        <v>26.1</v>
      </c>
      <c r="AA35" s="40">
        <v>25.5</v>
      </c>
      <c r="AB35" s="40">
        <v>25.5</v>
      </c>
      <c r="AC35" s="40">
        <v>25.2</v>
      </c>
      <c r="AD35" s="40">
        <v>24.8</v>
      </c>
      <c r="AE35" s="40">
        <v>24.8</v>
      </c>
      <c r="AF35" s="40">
        <v>24.8</v>
      </c>
      <c r="AG35" s="40">
        <v>24.8</v>
      </c>
      <c r="AH35" s="69">
        <f t="shared" si="3"/>
        <v>26.1</v>
      </c>
      <c r="AI35" s="70">
        <f t="shared" si="4"/>
        <v>23.3</v>
      </c>
      <c r="AJ35" s="89">
        <f t="shared" si="5"/>
        <v>24.930769230769233</v>
      </c>
      <c r="AM35" s="44">
        <v>21</v>
      </c>
      <c r="AN35" s="40">
        <v>22.15940523961633</v>
      </c>
      <c r="AO35" s="40">
        <v>22.70184305017392</v>
      </c>
      <c r="AP35" s="40">
        <v>21.768231046044811</v>
      </c>
      <c r="AQ35" s="40">
        <v>22.432307607667887</v>
      </c>
      <c r="AR35" s="40">
        <v>23.064088500732492</v>
      </c>
      <c r="AS35" s="40">
        <v>23.498731699605852</v>
      </c>
      <c r="AT35" s="40">
        <v>22.813471846993497</v>
      </c>
      <c r="AU35" s="40">
        <v>22.719325066677104</v>
      </c>
      <c r="AV35" s="40">
        <v>22.517259298639797</v>
      </c>
      <c r="AW35" s="40">
        <v>22.058366904828024</v>
      </c>
      <c r="AX35" s="40">
        <v>23.011327145203094</v>
      </c>
      <c r="AY35" s="40">
        <v>23.28808865472617</v>
      </c>
      <c r="AZ35" s="40">
        <v>23.740574438114979</v>
      </c>
      <c r="BA35" s="81">
        <f t="shared" si="6"/>
        <v>23.740574438114979</v>
      </c>
      <c r="BB35" s="91">
        <f t="shared" si="7"/>
        <v>21.768231046044811</v>
      </c>
      <c r="BC35" s="89">
        <f t="shared" si="8"/>
        <v>22.751770807617234</v>
      </c>
    </row>
    <row r="36" spans="1:55" s="2" customFormat="1" ht="14.25" customHeight="1" x14ac:dyDescent="0.25">
      <c r="A36" s="44">
        <v>22</v>
      </c>
      <c r="B36" s="40">
        <v>24.8</v>
      </c>
      <c r="C36" s="40">
        <v>26</v>
      </c>
      <c r="D36" s="40">
        <v>27.3</v>
      </c>
      <c r="E36" s="40">
        <v>28.1</v>
      </c>
      <c r="F36" s="40">
        <v>29.1</v>
      </c>
      <c r="G36" s="40">
        <v>29.2</v>
      </c>
      <c r="H36" s="40">
        <v>28.7</v>
      </c>
      <c r="I36" s="40">
        <v>30</v>
      </c>
      <c r="J36" s="40">
        <v>28.8</v>
      </c>
      <c r="K36" s="40">
        <v>25.6</v>
      </c>
      <c r="L36" s="40">
        <v>23.5</v>
      </c>
      <c r="M36" s="40">
        <v>23.2</v>
      </c>
      <c r="N36" s="40">
        <v>23.4</v>
      </c>
      <c r="O36" s="69">
        <f t="shared" si="0"/>
        <v>30</v>
      </c>
      <c r="P36" s="91">
        <f t="shared" si="1"/>
        <v>23.2</v>
      </c>
      <c r="Q36" s="89">
        <f t="shared" si="2"/>
        <v>26.746153846153842</v>
      </c>
      <c r="T36" s="44">
        <v>22</v>
      </c>
      <c r="U36" s="40">
        <v>24</v>
      </c>
      <c r="V36" s="40">
        <v>24.4</v>
      </c>
      <c r="W36" s="40">
        <v>24.9</v>
      </c>
      <c r="X36" s="40">
        <v>24.7</v>
      </c>
      <c r="Y36" s="40">
        <v>25.2</v>
      </c>
      <c r="Z36" s="40">
        <v>25.6</v>
      </c>
      <c r="AA36" s="40">
        <v>25.2</v>
      </c>
      <c r="AB36" s="40">
        <v>26</v>
      </c>
      <c r="AC36" s="40">
        <v>25.5</v>
      </c>
      <c r="AD36" s="40">
        <v>24.5</v>
      </c>
      <c r="AE36" s="40">
        <v>23</v>
      </c>
      <c r="AF36" s="40">
        <v>22.5</v>
      </c>
      <c r="AG36" s="40">
        <v>22.6</v>
      </c>
      <c r="AH36" s="69">
        <f t="shared" si="3"/>
        <v>26</v>
      </c>
      <c r="AI36" s="70">
        <f t="shared" si="4"/>
        <v>22.5</v>
      </c>
      <c r="AJ36" s="89">
        <f t="shared" si="5"/>
        <v>24.469230769230769</v>
      </c>
      <c r="AM36" s="44">
        <v>22</v>
      </c>
      <c r="AN36" s="40">
        <v>23.541582806104632</v>
      </c>
      <c r="AO36" s="40">
        <v>23.592004375769026</v>
      </c>
      <c r="AP36" s="40">
        <v>23.75657055734106</v>
      </c>
      <c r="AQ36" s="40">
        <v>23.088045882264225</v>
      </c>
      <c r="AR36" s="40">
        <v>23.402463453454367</v>
      </c>
      <c r="AS36" s="40">
        <v>23.972138646793855</v>
      </c>
      <c r="AT36" s="40">
        <v>23.583668381801939</v>
      </c>
      <c r="AU36" s="40">
        <v>24.231346865433</v>
      </c>
      <c r="AV36" s="40">
        <v>23.996639238444871</v>
      </c>
      <c r="AW36" s="40">
        <v>23.918572242135088</v>
      </c>
      <c r="AX36" s="40">
        <v>22.664358131383011</v>
      </c>
      <c r="AY36" s="40">
        <v>22.060460973224831</v>
      </c>
      <c r="AZ36" s="40">
        <v>22.113625710756882</v>
      </c>
      <c r="BA36" s="81">
        <f t="shared" si="6"/>
        <v>24.231346865433</v>
      </c>
      <c r="BB36" s="91">
        <f t="shared" si="7"/>
        <v>22.060460973224831</v>
      </c>
      <c r="BC36" s="89">
        <f t="shared" si="8"/>
        <v>23.378575174223599</v>
      </c>
    </row>
    <row r="37" spans="1:55" s="2" customFormat="1" ht="14.25" customHeight="1" x14ac:dyDescent="0.25">
      <c r="A37" s="44">
        <v>23</v>
      </c>
      <c r="B37" s="40">
        <v>24</v>
      </c>
      <c r="C37" s="40">
        <v>25.6</v>
      </c>
      <c r="D37" s="40">
        <v>27.3</v>
      </c>
      <c r="E37" s="40">
        <v>27.5</v>
      </c>
      <c r="F37" s="40">
        <v>27.7</v>
      </c>
      <c r="G37" s="40">
        <v>28.2</v>
      </c>
      <c r="H37" s="40">
        <v>28.2</v>
      </c>
      <c r="I37" s="40">
        <v>29.2</v>
      </c>
      <c r="J37" s="40">
        <v>28.6</v>
      </c>
      <c r="K37" s="40">
        <v>27.4</v>
      </c>
      <c r="L37" s="40">
        <v>22.4</v>
      </c>
      <c r="M37" s="40">
        <v>22.2</v>
      </c>
      <c r="N37" s="40">
        <v>23</v>
      </c>
      <c r="O37" s="69">
        <f t="shared" si="0"/>
        <v>29.2</v>
      </c>
      <c r="P37" s="91">
        <f t="shared" si="1"/>
        <v>22.2</v>
      </c>
      <c r="Q37" s="89">
        <f t="shared" si="2"/>
        <v>26.253846153846148</v>
      </c>
      <c r="T37" s="44">
        <v>23</v>
      </c>
      <c r="U37" s="40">
        <v>23</v>
      </c>
      <c r="V37" s="40">
        <v>23.6</v>
      </c>
      <c r="W37" s="40">
        <v>24.1</v>
      </c>
      <c r="X37" s="40">
        <v>24.2</v>
      </c>
      <c r="Y37" s="40">
        <v>24.2</v>
      </c>
      <c r="Z37" s="40">
        <v>24.2</v>
      </c>
      <c r="AA37" s="40">
        <v>24.5</v>
      </c>
      <c r="AB37" s="40">
        <v>25.2</v>
      </c>
      <c r="AC37" s="40">
        <v>24.8</v>
      </c>
      <c r="AD37" s="40">
        <v>24.4</v>
      </c>
      <c r="AE37" s="40">
        <v>22.2</v>
      </c>
      <c r="AF37" s="40">
        <v>22</v>
      </c>
      <c r="AG37" s="40">
        <v>22.4</v>
      </c>
      <c r="AH37" s="69">
        <f t="shared" si="3"/>
        <v>25.2</v>
      </c>
      <c r="AI37" s="70">
        <f t="shared" si="4"/>
        <v>22</v>
      </c>
      <c r="AJ37" s="89">
        <f t="shared" si="5"/>
        <v>23.753846153846155</v>
      </c>
      <c r="AM37" s="44">
        <v>23</v>
      </c>
      <c r="AN37" s="40">
        <v>22.426257580226199</v>
      </c>
      <c r="AO37" s="40">
        <v>22.571617917695416</v>
      </c>
      <c r="AP37" s="40">
        <v>22.533025414360566</v>
      </c>
      <c r="AQ37" s="40">
        <v>22.593603777364731</v>
      </c>
      <c r="AR37" s="40">
        <v>22.498359192841523</v>
      </c>
      <c r="AS37" s="40">
        <v>22.258119917094085</v>
      </c>
      <c r="AT37" s="40">
        <v>22.730456173531199</v>
      </c>
      <c r="AU37" s="40">
        <v>23.356890846549941</v>
      </c>
      <c r="AV37" s="40">
        <v>23.011327145203094</v>
      </c>
      <c r="AW37" s="40">
        <v>22.950390620266091</v>
      </c>
      <c r="AX37" s="40">
        <v>22.001602394793437</v>
      </c>
      <c r="AY37" s="40">
        <v>21.800525192307802</v>
      </c>
      <c r="AZ37" s="40">
        <v>22.007687145573005</v>
      </c>
      <c r="BA37" s="81">
        <f t="shared" si="6"/>
        <v>23.356890846549941</v>
      </c>
      <c r="BB37" s="91">
        <f t="shared" si="7"/>
        <v>21.800525192307802</v>
      </c>
      <c r="BC37" s="89">
        <f t="shared" si="8"/>
        <v>22.518451024446698</v>
      </c>
    </row>
    <row r="38" spans="1:55" s="2" customFormat="1" ht="14.25" customHeight="1" x14ac:dyDescent="0.25">
      <c r="A38" s="44">
        <v>24</v>
      </c>
      <c r="B38" s="40">
        <v>22.8</v>
      </c>
      <c r="C38" s="40">
        <v>23.6</v>
      </c>
      <c r="D38" s="40">
        <v>25.6</v>
      </c>
      <c r="E38" s="40">
        <v>27.2</v>
      </c>
      <c r="F38" s="40">
        <v>28.6</v>
      </c>
      <c r="G38" s="40">
        <v>28.4</v>
      </c>
      <c r="H38" s="40">
        <v>29.1</v>
      </c>
      <c r="I38" s="40">
        <v>29.8</v>
      </c>
      <c r="J38" s="40">
        <v>28.6</v>
      </c>
      <c r="K38" s="40">
        <v>27.6</v>
      </c>
      <c r="L38" s="40">
        <v>27</v>
      </c>
      <c r="M38" s="40">
        <v>26.4</v>
      </c>
      <c r="N38" s="40">
        <v>26</v>
      </c>
      <c r="O38" s="69">
        <f t="shared" si="0"/>
        <v>29.8</v>
      </c>
      <c r="P38" s="91">
        <f t="shared" si="1"/>
        <v>22.8</v>
      </c>
      <c r="Q38" s="89">
        <f t="shared" si="2"/>
        <v>26.976923076923075</v>
      </c>
      <c r="T38" s="44">
        <v>24</v>
      </c>
      <c r="U38" s="40">
        <v>22.2</v>
      </c>
      <c r="V38" s="40">
        <v>22.6</v>
      </c>
      <c r="W38" s="40">
        <v>23.1</v>
      </c>
      <c r="X38" s="40">
        <v>23.9</v>
      </c>
      <c r="Y38" s="40">
        <v>24.5</v>
      </c>
      <c r="Z38" s="40">
        <v>24.2</v>
      </c>
      <c r="AA38" s="40">
        <v>24.4</v>
      </c>
      <c r="AB38" s="40">
        <v>25</v>
      </c>
      <c r="AC38" s="40">
        <v>24.6</v>
      </c>
      <c r="AD38" s="40">
        <v>24.6</v>
      </c>
      <c r="AE38" s="40">
        <v>24.6</v>
      </c>
      <c r="AF38" s="40">
        <v>24.6</v>
      </c>
      <c r="AG38" s="40">
        <v>24.4</v>
      </c>
      <c r="AH38" s="69">
        <f t="shared" si="3"/>
        <v>25</v>
      </c>
      <c r="AI38" s="70">
        <f t="shared" si="4"/>
        <v>22.2</v>
      </c>
      <c r="AJ38" s="89">
        <f t="shared" si="5"/>
        <v>24.053846153846152</v>
      </c>
      <c r="AM38" s="44">
        <v>24</v>
      </c>
      <c r="AN38" s="40">
        <v>21.804514107972604</v>
      </c>
      <c r="AO38" s="40">
        <v>22.015924267595679</v>
      </c>
      <c r="AP38" s="40">
        <v>21.799929185223565</v>
      </c>
      <c r="AQ38" s="40">
        <v>22.268559142983406</v>
      </c>
      <c r="AR38" s="40">
        <v>22.540867262663038</v>
      </c>
      <c r="AS38" s="40">
        <v>22.161158941710486</v>
      </c>
      <c r="AT38" s="40">
        <v>22.140837393913888</v>
      </c>
      <c r="AU38" s="40">
        <v>22.764750111093644</v>
      </c>
      <c r="AV38" s="40">
        <v>22.698417218039328</v>
      </c>
      <c r="AW38" s="40">
        <v>23.165015271595813</v>
      </c>
      <c r="AX38" s="40">
        <v>23.439555090650348</v>
      </c>
      <c r="AY38" s="40">
        <v>23.710183186275557</v>
      </c>
      <c r="AZ38" s="40">
        <v>23.592004375769026</v>
      </c>
      <c r="BA38" s="81">
        <f t="shared" si="6"/>
        <v>23.710183186275557</v>
      </c>
      <c r="BB38" s="91">
        <f t="shared" si="7"/>
        <v>21.799929185223565</v>
      </c>
      <c r="BC38" s="89">
        <f t="shared" si="8"/>
        <v>22.623208888883571</v>
      </c>
    </row>
    <row r="39" spans="1:55" s="2" customFormat="1" ht="14.25" customHeight="1" x14ac:dyDescent="0.25">
      <c r="A39" s="44">
        <v>25</v>
      </c>
      <c r="B39" s="40">
        <v>23.8</v>
      </c>
      <c r="C39" s="40">
        <v>23.8</v>
      </c>
      <c r="D39" s="40">
        <v>23.8</v>
      </c>
      <c r="E39" s="40">
        <v>24.3</v>
      </c>
      <c r="F39" s="40">
        <v>24.5</v>
      </c>
      <c r="G39" s="40">
        <v>24.6</v>
      </c>
      <c r="H39" s="40">
        <v>25.6</v>
      </c>
      <c r="I39" s="40">
        <v>26.8</v>
      </c>
      <c r="J39" s="40">
        <v>28.2</v>
      </c>
      <c r="K39" s="40">
        <v>28.4</v>
      </c>
      <c r="L39" s="40">
        <v>27.7</v>
      </c>
      <c r="M39" s="40">
        <v>26.8</v>
      </c>
      <c r="N39" s="40">
        <v>26</v>
      </c>
      <c r="O39" s="69">
        <f t="shared" si="0"/>
        <v>28.4</v>
      </c>
      <c r="P39" s="91">
        <f t="shared" si="1"/>
        <v>23.8</v>
      </c>
      <c r="Q39" s="89">
        <f t="shared" si="2"/>
        <v>25.715384615384615</v>
      </c>
      <c r="T39" s="44">
        <v>25</v>
      </c>
      <c r="U39" s="40">
        <v>23.5</v>
      </c>
      <c r="V39" s="40">
        <v>23.4</v>
      </c>
      <c r="W39" s="40">
        <v>23</v>
      </c>
      <c r="X39" s="40">
        <v>23.4</v>
      </c>
      <c r="Y39" s="40">
        <v>23.6</v>
      </c>
      <c r="Z39" s="40">
        <v>23.6</v>
      </c>
      <c r="AA39" s="40">
        <v>24.8</v>
      </c>
      <c r="AB39" s="40">
        <v>24.9</v>
      </c>
      <c r="AC39" s="40">
        <v>24.6</v>
      </c>
      <c r="AD39" s="40">
        <v>24.9</v>
      </c>
      <c r="AE39" s="40">
        <v>24.8</v>
      </c>
      <c r="AF39" s="40">
        <v>24.9</v>
      </c>
      <c r="AG39" s="40">
        <v>24.6</v>
      </c>
      <c r="AH39" s="69">
        <f t="shared" si="3"/>
        <v>24.9</v>
      </c>
      <c r="AI39" s="70">
        <f t="shared" si="4"/>
        <v>23</v>
      </c>
      <c r="AJ39" s="89">
        <f t="shared" si="5"/>
        <v>24.153846153846153</v>
      </c>
      <c r="AM39" s="44">
        <v>25</v>
      </c>
      <c r="AN39" s="40">
        <v>23.262516829141774</v>
      </c>
      <c r="AO39" s="40">
        <v>23.115625074420976</v>
      </c>
      <c r="AP39" s="40">
        <v>22.521858915865991</v>
      </c>
      <c r="AQ39" s="40">
        <v>22.88317364147148</v>
      </c>
      <c r="AR39" s="40">
        <v>23.087618446210271</v>
      </c>
      <c r="AS39" s="40">
        <v>23.041286800704647</v>
      </c>
      <c r="AT39" s="40">
        <v>24.356523392753029</v>
      </c>
      <c r="AU39" s="40">
        <v>23.978657648020917</v>
      </c>
      <c r="AV39" s="40">
        <v>22.886439940964369</v>
      </c>
      <c r="AW39" s="40">
        <v>23.258658976964448</v>
      </c>
      <c r="AX39" s="40">
        <v>23.424969363752066</v>
      </c>
      <c r="AY39" s="40">
        <v>23.978657648020917</v>
      </c>
      <c r="AZ39" s="40">
        <v>23.88848726151063</v>
      </c>
      <c r="BA39" s="81">
        <f t="shared" si="6"/>
        <v>24.356523392753029</v>
      </c>
      <c r="BB39" s="91">
        <f t="shared" si="7"/>
        <v>22.521858915865991</v>
      </c>
      <c r="BC39" s="89">
        <f t="shared" si="8"/>
        <v>23.360344149215504</v>
      </c>
    </row>
    <row r="40" spans="1:55" s="2" customFormat="1" ht="14.25" customHeight="1" x14ac:dyDescent="0.25">
      <c r="A40" s="44">
        <v>26</v>
      </c>
      <c r="B40" s="40">
        <v>24.6</v>
      </c>
      <c r="C40" s="40">
        <v>25.6</v>
      </c>
      <c r="D40" s="40">
        <v>26.4</v>
      </c>
      <c r="E40" s="40">
        <v>26.6</v>
      </c>
      <c r="F40" s="40">
        <v>27.2</v>
      </c>
      <c r="G40" s="40">
        <v>27.2</v>
      </c>
      <c r="H40" s="40">
        <v>27.2</v>
      </c>
      <c r="I40" s="40">
        <v>25.8</v>
      </c>
      <c r="J40" s="40">
        <v>24.7</v>
      </c>
      <c r="K40" s="40">
        <v>23.9</v>
      </c>
      <c r="L40" s="40">
        <v>24.3</v>
      </c>
      <c r="M40" s="40">
        <v>23.3</v>
      </c>
      <c r="N40" s="40">
        <v>22.4</v>
      </c>
      <c r="O40" s="69">
        <f t="shared" si="0"/>
        <v>27.2</v>
      </c>
      <c r="P40" s="91">
        <f t="shared" si="1"/>
        <v>22.4</v>
      </c>
      <c r="Q40" s="89">
        <f t="shared" si="2"/>
        <v>25.323076923076918</v>
      </c>
      <c r="T40" s="44">
        <v>26</v>
      </c>
      <c r="U40" s="40">
        <v>23.6</v>
      </c>
      <c r="V40" s="40">
        <v>23.7</v>
      </c>
      <c r="W40" s="40">
        <v>24.2</v>
      </c>
      <c r="X40" s="40">
        <v>24.4</v>
      </c>
      <c r="Y40" s="40">
        <v>24.2</v>
      </c>
      <c r="Z40" s="40">
        <v>24</v>
      </c>
      <c r="AA40" s="40">
        <v>24</v>
      </c>
      <c r="AB40" s="40">
        <v>24.4</v>
      </c>
      <c r="AC40" s="40">
        <v>24</v>
      </c>
      <c r="AD40" s="40">
        <v>23.4</v>
      </c>
      <c r="AE40" s="40">
        <v>23.7</v>
      </c>
      <c r="AF40" s="40">
        <v>23.1</v>
      </c>
      <c r="AG40" s="40">
        <v>22.2</v>
      </c>
      <c r="AH40" s="69">
        <f t="shared" si="3"/>
        <v>24.4</v>
      </c>
      <c r="AI40" s="70">
        <f t="shared" si="4"/>
        <v>22.2</v>
      </c>
      <c r="AJ40" s="89">
        <f t="shared" si="5"/>
        <v>23.761538461538464</v>
      </c>
      <c r="AM40" s="44">
        <v>26</v>
      </c>
      <c r="AN40" s="40">
        <v>23.041286800704647</v>
      </c>
      <c r="AO40" s="40">
        <v>22.723869356201757</v>
      </c>
      <c r="AP40" s="40">
        <v>23.109032442757304</v>
      </c>
      <c r="AQ40" s="40">
        <v>23.319679814146195</v>
      </c>
      <c r="AR40" s="40">
        <v>22.735575147904516</v>
      </c>
      <c r="AS40" s="40">
        <v>22.424951840849836</v>
      </c>
      <c r="AT40" s="40">
        <v>22.424951840849836</v>
      </c>
      <c r="AU40" s="40">
        <v>23.681919065166394</v>
      </c>
      <c r="AV40" s="40">
        <v>23.586711408924462</v>
      </c>
      <c r="AW40" s="40">
        <v>23.069362589016496</v>
      </c>
      <c r="AX40" s="40">
        <v>23.327399371864619</v>
      </c>
      <c r="AY40" s="40">
        <v>22.906299592291269</v>
      </c>
      <c r="AZ40" s="40">
        <v>22.001602394793437</v>
      </c>
      <c r="BA40" s="81">
        <f t="shared" si="6"/>
        <v>23.681919065166394</v>
      </c>
      <c r="BB40" s="91">
        <f t="shared" si="7"/>
        <v>22.001602394793437</v>
      </c>
      <c r="BC40" s="89">
        <f t="shared" si="8"/>
        <v>22.950203205036214</v>
      </c>
    </row>
    <row r="41" spans="1:55" s="2" customFormat="1" ht="14.25" customHeight="1" x14ac:dyDescent="0.25">
      <c r="A41" s="44">
        <v>27</v>
      </c>
      <c r="B41" s="40">
        <v>24.1</v>
      </c>
      <c r="C41" s="40">
        <v>25.4</v>
      </c>
      <c r="D41" s="40">
        <v>26.7</v>
      </c>
      <c r="E41" s="40">
        <v>28</v>
      </c>
      <c r="F41" s="40">
        <v>28.6</v>
      </c>
      <c r="G41" s="40">
        <v>25.7</v>
      </c>
      <c r="H41" s="40">
        <v>26.2</v>
      </c>
      <c r="I41" s="40">
        <v>26.8</v>
      </c>
      <c r="J41" s="40">
        <v>28.4</v>
      </c>
      <c r="K41" s="40">
        <v>27.6</v>
      </c>
      <c r="L41" s="40">
        <v>26</v>
      </c>
      <c r="M41" s="40">
        <v>25.2</v>
      </c>
      <c r="N41" s="40">
        <v>24.8</v>
      </c>
      <c r="O41" s="69">
        <f t="shared" si="0"/>
        <v>28.6</v>
      </c>
      <c r="P41" s="91">
        <f t="shared" si="1"/>
        <v>24.1</v>
      </c>
      <c r="Q41" s="89">
        <f t="shared" si="2"/>
        <v>26.423076923076923</v>
      </c>
      <c r="T41" s="44">
        <v>27</v>
      </c>
      <c r="U41" s="40">
        <v>22.9</v>
      </c>
      <c r="V41" s="40">
        <v>23.5</v>
      </c>
      <c r="W41" s="40">
        <v>23.9</v>
      </c>
      <c r="X41" s="40">
        <v>23.5</v>
      </c>
      <c r="Y41" s="40">
        <v>23.4</v>
      </c>
      <c r="Z41" s="40">
        <v>23.5</v>
      </c>
      <c r="AA41" s="40">
        <v>23.7</v>
      </c>
      <c r="AB41" s="40">
        <v>23.6</v>
      </c>
      <c r="AC41" s="40">
        <v>24.2</v>
      </c>
      <c r="AD41" s="40">
        <v>23.6</v>
      </c>
      <c r="AE41" s="40">
        <v>23.8</v>
      </c>
      <c r="AF41" s="40">
        <v>24</v>
      </c>
      <c r="AG41" s="40">
        <v>23.6</v>
      </c>
      <c r="AH41" s="69">
        <f t="shared" si="3"/>
        <v>24.2</v>
      </c>
      <c r="AI41" s="70">
        <f t="shared" si="4"/>
        <v>22.9</v>
      </c>
      <c r="AJ41" s="89">
        <f t="shared" si="5"/>
        <v>23.630769230769229</v>
      </c>
      <c r="AM41" s="44">
        <v>27</v>
      </c>
      <c r="AN41" s="40">
        <v>22.227083465870919</v>
      </c>
      <c r="AO41" s="40">
        <v>22.514328180055845</v>
      </c>
      <c r="AP41" s="40">
        <v>22.508661564398647</v>
      </c>
      <c r="AQ41" s="40">
        <v>21.231291069821708</v>
      </c>
      <c r="AR41" s="40">
        <v>20.755814499189071</v>
      </c>
      <c r="AS41" s="40">
        <v>22.370681443407282</v>
      </c>
      <c r="AT41" s="40">
        <v>22.438681032241561</v>
      </c>
      <c r="AU41" s="40">
        <v>21.992122500145243</v>
      </c>
      <c r="AV41" s="40">
        <v>22.161158941710486</v>
      </c>
      <c r="AW41" s="40">
        <v>21.595614336629087</v>
      </c>
      <c r="AX41" s="40">
        <v>22.687327425827569</v>
      </c>
      <c r="AY41" s="40">
        <v>23.359988927625103</v>
      </c>
      <c r="AZ41" s="40">
        <v>22.948281918843517</v>
      </c>
      <c r="BA41" s="81">
        <f t="shared" si="6"/>
        <v>23.359988927625103</v>
      </c>
      <c r="BB41" s="91">
        <f t="shared" si="7"/>
        <v>20.755814499189071</v>
      </c>
      <c r="BC41" s="89">
        <f t="shared" si="8"/>
        <v>22.214695023520466</v>
      </c>
    </row>
    <row r="42" spans="1:55" s="2" customFormat="1" ht="14.25" customHeight="1" x14ac:dyDescent="0.25">
      <c r="A42" s="44">
        <v>28</v>
      </c>
      <c r="B42" s="40">
        <v>24.7</v>
      </c>
      <c r="C42" s="40">
        <v>25.7</v>
      </c>
      <c r="D42" s="40">
        <v>27</v>
      </c>
      <c r="E42" s="40">
        <v>28</v>
      </c>
      <c r="F42" s="40">
        <v>28.7</v>
      </c>
      <c r="G42" s="40">
        <v>29.2</v>
      </c>
      <c r="H42" s="40">
        <v>28.2</v>
      </c>
      <c r="I42" s="40">
        <v>25.7</v>
      </c>
      <c r="J42" s="40">
        <v>24</v>
      </c>
      <c r="K42" s="40">
        <v>23</v>
      </c>
      <c r="L42" s="40">
        <v>23.2</v>
      </c>
      <c r="M42" s="40">
        <v>23.4</v>
      </c>
      <c r="N42" s="40">
        <v>23.3</v>
      </c>
      <c r="O42" s="69">
        <f t="shared" si="0"/>
        <v>29.2</v>
      </c>
      <c r="P42" s="91">
        <f t="shared" si="1"/>
        <v>23</v>
      </c>
      <c r="Q42" s="89">
        <f t="shared" si="2"/>
        <v>25.699999999999992</v>
      </c>
      <c r="T42" s="44">
        <v>28</v>
      </c>
      <c r="U42" s="40">
        <v>23.7</v>
      </c>
      <c r="V42" s="40">
        <v>24.2</v>
      </c>
      <c r="W42" s="40">
        <v>24</v>
      </c>
      <c r="X42" s="40">
        <v>24.9</v>
      </c>
      <c r="Y42" s="40">
        <v>25.3</v>
      </c>
      <c r="Z42" s="40">
        <v>25.4</v>
      </c>
      <c r="AA42" s="40">
        <v>25.4</v>
      </c>
      <c r="AB42" s="40">
        <v>24.4</v>
      </c>
      <c r="AC42" s="40">
        <v>23.6</v>
      </c>
      <c r="AD42" s="40">
        <v>22.7</v>
      </c>
      <c r="AE42" s="40">
        <v>23</v>
      </c>
      <c r="AF42" s="40">
        <v>23.2</v>
      </c>
      <c r="AG42" s="40">
        <v>23.1</v>
      </c>
      <c r="AH42" s="69">
        <f t="shared" si="3"/>
        <v>25.4</v>
      </c>
      <c r="AI42" s="70">
        <f t="shared" si="4"/>
        <v>22.7</v>
      </c>
      <c r="AJ42" s="89">
        <f t="shared" si="5"/>
        <v>24.069230769230771</v>
      </c>
      <c r="AM42" s="44">
        <v>28</v>
      </c>
      <c r="AN42" s="40">
        <v>23.143738191814908</v>
      </c>
      <c r="AO42" s="40">
        <v>23.42987425288819</v>
      </c>
      <c r="AP42" s="40">
        <v>22.520565860984291</v>
      </c>
      <c r="AQ42" s="40">
        <v>23.441230876352734</v>
      </c>
      <c r="AR42" s="40">
        <v>23.736674745985745</v>
      </c>
      <c r="AS42" s="40">
        <v>23.665869730219789</v>
      </c>
      <c r="AT42" s="40">
        <v>24.109584527793523</v>
      </c>
      <c r="AU42" s="40">
        <v>23.726717585505579</v>
      </c>
      <c r="AV42" s="40">
        <v>23.317592460646107</v>
      </c>
      <c r="AW42" s="40">
        <v>22.456457946458311</v>
      </c>
      <c r="AX42" s="40">
        <v>22.805789529148537</v>
      </c>
      <c r="AY42" s="40">
        <v>23.006806764540162</v>
      </c>
      <c r="AZ42" s="40">
        <v>22.906299592291269</v>
      </c>
      <c r="BA42" s="81">
        <f t="shared" si="6"/>
        <v>24.109584527793523</v>
      </c>
      <c r="BB42" s="91">
        <f t="shared" si="7"/>
        <v>22.456457946458311</v>
      </c>
      <c r="BC42" s="89">
        <f t="shared" si="8"/>
        <v>23.251323235740699</v>
      </c>
    </row>
    <row r="43" spans="1:55" s="2" customFormat="1" ht="14.25" customHeight="1" x14ac:dyDescent="0.25">
      <c r="A43" s="44">
        <v>29</v>
      </c>
      <c r="B43" s="40">
        <v>24.2</v>
      </c>
      <c r="C43" s="40">
        <v>26</v>
      </c>
      <c r="D43" s="40">
        <v>27.1</v>
      </c>
      <c r="E43" s="40">
        <v>27.8</v>
      </c>
      <c r="F43" s="40">
        <v>28.8</v>
      </c>
      <c r="G43" s="40">
        <v>29.9</v>
      </c>
      <c r="H43" s="40">
        <v>30.6</v>
      </c>
      <c r="I43" s="40">
        <v>30</v>
      </c>
      <c r="J43" s="40">
        <v>27.1</v>
      </c>
      <c r="K43" s="40">
        <v>26.8</v>
      </c>
      <c r="L43" s="40">
        <v>26.4</v>
      </c>
      <c r="M43" s="40">
        <v>26.3</v>
      </c>
      <c r="N43" s="40">
        <v>26</v>
      </c>
      <c r="O43" s="69">
        <f t="shared" si="0"/>
        <v>30.6</v>
      </c>
      <c r="P43" s="91">
        <f t="shared" si="1"/>
        <v>24.2</v>
      </c>
      <c r="Q43" s="89">
        <f t="shared" si="2"/>
        <v>27.46153846153846</v>
      </c>
      <c r="T43" s="44">
        <v>29</v>
      </c>
      <c r="U43" s="40">
        <v>23.2</v>
      </c>
      <c r="V43" s="40">
        <v>23.4</v>
      </c>
      <c r="W43" s="40">
        <v>23.5</v>
      </c>
      <c r="X43" s="40">
        <v>24.7</v>
      </c>
      <c r="Y43" s="40">
        <v>25.1</v>
      </c>
      <c r="Z43" s="40">
        <v>25.5</v>
      </c>
      <c r="AA43" s="40">
        <v>25.6</v>
      </c>
      <c r="AB43" s="40">
        <v>26.4</v>
      </c>
      <c r="AC43" s="40">
        <v>24.8</v>
      </c>
      <c r="AD43" s="40">
        <v>25.2</v>
      </c>
      <c r="AE43" s="40">
        <v>25.2</v>
      </c>
      <c r="AF43" s="40">
        <v>25.2</v>
      </c>
      <c r="AG43" s="40">
        <v>25.2</v>
      </c>
      <c r="AH43" s="69">
        <f t="shared" si="3"/>
        <v>26.4</v>
      </c>
      <c r="AI43" s="70">
        <f t="shared" si="4"/>
        <v>23.2</v>
      </c>
      <c r="AJ43" s="89">
        <f t="shared" si="5"/>
        <v>24.846153846153847</v>
      </c>
      <c r="AM43" s="44">
        <v>29</v>
      </c>
      <c r="AN43" s="40">
        <v>22.631329178936141</v>
      </c>
      <c r="AO43" s="40">
        <v>22.070718744685575</v>
      </c>
      <c r="AP43" s="40">
        <v>21.685426017897907</v>
      </c>
      <c r="AQ43" s="40">
        <v>23.226371733954831</v>
      </c>
      <c r="AR43" s="40">
        <v>23.384482525746265</v>
      </c>
      <c r="AS43" s="40">
        <v>23.505032364928489</v>
      </c>
      <c r="AT43" s="40">
        <v>23.343395747115117</v>
      </c>
      <c r="AU43" s="40">
        <v>24.836802408045006</v>
      </c>
      <c r="AV43" s="40">
        <v>23.695807327426095</v>
      </c>
      <c r="AW43" s="40">
        <v>24.421609632843392</v>
      </c>
      <c r="AX43" s="40">
        <v>24.593432182634039</v>
      </c>
      <c r="AY43" s="40">
        <v>24.636148197054606</v>
      </c>
      <c r="AZ43" s="40">
        <v>24.763728462349494</v>
      </c>
      <c r="BA43" s="81">
        <f t="shared" si="6"/>
        <v>24.836802408045006</v>
      </c>
      <c r="BB43" s="91">
        <f t="shared" si="7"/>
        <v>21.685426017897907</v>
      </c>
      <c r="BC43" s="89">
        <f t="shared" si="8"/>
        <v>23.599560347970534</v>
      </c>
    </row>
    <row r="44" spans="1:55" s="2" customFormat="1" ht="14.25" customHeight="1" thickBot="1" x14ac:dyDescent="0.3">
      <c r="A44" s="44">
        <v>29</v>
      </c>
      <c r="B44" s="40">
        <v>24.5</v>
      </c>
      <c r="C44" s="40">
        <v>25</v>
      </c>
      <c r="D44" s="40">
        <v>25.6</v>
      </c>
      <c r="E44" s="40">
        <v>27</v>
      </c>
      <c r="F44" s="40">
        <v>27.7</v>
      </c>
      <c r="G44" s="40">
        <v>28.1</v>
      </c>
      <c r="H44" s="40">
        <v>28.6</v>
      </c>
      <c r="I44" s="40">
        <v>28.2</v>
      </c>
      <c r="J44" s="40">
        <v>28.2</v>
      </c>
      <c r="K44" s="40">
        <v>28</v>
      </c>
      <c r="L44" s="40">
        <v>27.6</v>
      </c>
      <c r="M44" s="40">
        <v>26.8</v>
      </c>
      <c r="N44" s="40">
        <v>26.6</v>
      </c>
      <c r="O44" s="69">
        <f t="shared" si="0"/>
        <v>28.6</v>
      </c>
      <c r="P44" s="91">
        <f t="shared" si="1"/>
        <v>24.5</v>
      </c>
      <c r="Q44" s="92">
        <f t="shared" si="2"/>
        <v>27.069230769230771</v>
      </c>
      <c r="T44" s="44">
        <v>30</v>
      </c>
      <c r="U44" s="40">
        <v>24</v>
      </c>
      <c r="V44" s="40">
        <v>24.1</v>
      </c>
      <c r="W44" s="40">
        <v>24.2</v>
      </c>
      <c r="X44" s="40">
        <v>24</v>
      </c>
      <c r="Y44" s="40">
        <v>24.2</v>
      </c>
      <c r="Z44" s="40">
        <v>25</v>
      </c>
      <c r="AA44" s="40">
        <v>24.8</v>
      </c>
      <c r="AB44" s="40">
        <v>24.8</v>
      </c>
      <c r="AC44" s="40">
        <v>24.8</v>
      </c>
      <c r="AD44" s="40">
        <v>24.8</v>
      </c>
      <c r="AE44" s="40">
        <v>24.8</v>
      </c>
      <c r="AF44" s="40">
        <v>24.6</v>
      </c>
      <c r="AG44" s="40">
        <v>24.6</v>
      </c>
      <c r="AH44" s="69">
        <f t="shared" si="3"/>
        <v>25</v>
      </c>
      <c r="AI44" s="85">
        <f t="shared" si="4"/>
        <v>24</v>
      </c>
      <c r="AJ44" s="89">
        <f t="shared" si="5"/>
        <v>24.515384615384622</v>
      </c>
      <c r="AM44" s="44">
        <v>30</v>
      </c>
      <c r="AN44" s="40">
        <v>23.676648621300622</v>
      </c>
      <c r="AO44" s="40">
        <v>23.598495867136165</v>
      </c>
      <c r="AP44" s="40">
        <v>23.475269202586603</v>
      </c>
      <c r="AQ44" s="40">
        <v>22.520565860984291</v>
      </c>
      <c r="AR44" s="40">
        <v>22.498359192841523</v>
      </c>
      <c r="AS44" s="40">
        <v>23.548588754237745</v>
      </c>
      <c r="AT44" s="40">
        <v>23.011327145203094</v>
      </c>
      <c r="AU44" s="40">
        <v>23.196283144013933</v>
      </c>
      <c r="AV44" s="40">
        <v>23.196283144013933</v>
      </c>
      <c r="AW44" s="40">
        <v>23.28808865472617</v>
      </c>
      <c r="AX44" s="40">
        <v>23.470377859669266</v>
      </c>
      <c r="AY44" s="40">
        <v>23.530193147412959</v>
      </c>
      <c r="AZ44" s="40">
        <v>23.620401055617794</v>
      </c>
      <c r="BA44" s="81">
        <f t="shared" si="6"/>
        <v>23.676648621300622</v>
      </c>
      <c r="BB44" s="91">
        <f t="shared" si="7"/>
        <v>22.498359192841523</v>
      </c>
      <c r="BC44" s="89">
        <f t="shared" si="8"/>
        <v>23.279298588441854</v>
      </c>
    </row>
    <row r="45" spans="1:55" s="2" customFormat="1" ht="14.25" customHeight="1" thickTop="1" thickBot="1" x14ac:dyDescent="0.3">
      <c r="A45" s="44">
        <v>30</v>
      </c>
      <c r="B45" s="40">
        <v>23.8</v>
      </c>
      <c r="C45" s="40">
        <v>24.3</v>
      </c>
      <c r="D45" s="40">
        <v>25.5</v>
      </c>
      <c r="E45" s="40">
        <v>25.6</v>
      </c>
      <c r="F45" s="40">
        <v>26.9</v>
      </c>
      <c r="G45" s="40">
        <v>27.6</v>
      </c>
      <c r="H45" s="40">
        <v>29.4</v>
      </c>
      <c r="I45" s="40">
        <v>29.6</v>
      </c>
      <c r="J45" s="40">
        <v>28.6</v>
      </c>
      <c r="K45" s="40">
        <v>26.8</v>
      </c>
      <c r="L45" s="40">
        <v>26.4</v>
      </c>
      <c r="M45" s="40">
        <v>25.4</v>
      </c>
      <c r="N45" s="40">
        <v>25</v>
      </c>
      <c r="O45" s="83">
        <f t="shared" si="0"/>
        <v>29.6</v>
      </c>
      <c r="P45" s="86">
        <f t="shared" si="1"/>
        <v>23.8</v>
      </c>
      <c r="Q45" s="71">
        <f t="shared" si="2"/>
        <v>26.530769230769224</v>
      </c>
      <c r="T45" s="44">
        <v>31</v>
      </c>
      <c r="U45" s="40">
        <v>23</v>
      </c>
      <c r="V45" s="40">
        <v>23</v>
      </c>
      <c r="W45" s="40">
        <v>23.4</v>
      </c>
      <c r="X45" s="40">
        <v>23.8</v>
      </c>
      <c r="Y45" s="40">
        <v>24</v>
      </c>
      <c r="Z45" s="40">
        <v>24</v>
      </c>
      <c r="AA45" s="40">
        <v>24</v>
      </c>
      <c r="AB45" s="40">
        <v>24.4</v>
      </c>
      <c r="AC45" s="40">
        <v>24.4</v>
      </c>
      <c r="AD45" s="40">
        <v>24.6</v>
      </c>
      <c r="AE45" s="40">
        <v>24.6</v>
      </c>
      <c r="AF45" s="40">
        <v>24.4</v>
      </c>
      <c r="AG45" s="40">
        <v>24.2</v>
      </c>
      <c r="AH45" s="69">
        <f t="shared" si="3"/>
        <v>24.6</v>
      </c>
      <c r="AI45" s="86">
        <f t="shared" si="4"/>
        <v>23</v>
      </c>
      <c r="AJ45" s="87">
        <f t="shared" si="5"/>
        <v>23.984615384615381</v>
      </c>
      <c r="AM45" s="44">
        <v>31</v>
      </c>
      <c r="AN45" s="40">
        <v>22.521858915865991</v>
      </c>
      <c r="AO45" s="40">
        <v>22.281939548814325</v>
      </c>
      <c r="AP45" s="40">
        <v>22.313334889750408</v>
      </c>
      <c r="AQ45" s="40">
        <v>22.875450234951316</v>
      </c>
      <c r="AR45" s="40">
        <v>22.568191620481912</v>
      </c>
      <c r="AS45" s="40">
        <v>22.232255136844188</v>
      </c>
      <c r="AT45" s="40">
        <v>21.339773119354938</v>
      </c>
      <c r="AU45" s="40">
        <v>21.895953551222608</v>
      </c>
      <c r="AV45" s="40">
        <v>22.382571693636379</v>
      </c>
      <c r="AW45" s="40">
        <v>23.530193147412959</v>
      </c>
      <c r="AX45" s="40">
        <v>23.710183186275557</v>
      </c>
      <c r="AY45" s="40">
        <v>23.860484247779919</v>
      </c>
      <c r="AZ45" s="40">
        <v>23.745385843105907</v>
      </c>
      <c r="BA45" s="83">
        <f t="shared" si="6"/>
        <v>23.860484247779919</v>
      </c>
      <c r="BB45" s="86">
        <f t="shared" si="7"/>
        <v>21.339773119354938</v>
      </c>
      <c r="BC45" s="87">
        <f t="shared" si="8"/>
        <v>22.712121164268957</v>
      </c>
    </row>
    <row r="46" spans="1:55" s="2" customFormat="1" ht="14.25" customHeight="1" thickTop="1" x14ac:dyDescent="0.25">
      <c r="A46" s="72" t="s">
        <v>25</v>
      </c>
      <c r="B46" s="73">
        <f t="shared" ref="B46:N46" si="9">MAX(B15:B45)</f>
        <v>26</v>
      </c>
      <c r="C46" s="73">
        <f t="shared" si="9"/>
        <v>27.8</v>
      </c>
      <c r="D46" s="73">
        <f t="shared" si="9"/>
        <v>29.2</v>
      </c>
      <c r="E46" s="73">
        <f t="shared" si="9"/>
        <v>30.8</v>
      </c>
      <c r="F46" s="73">
        <f t="shared" si="9"/>
        <v>31.9</v>
      </c>
      <c r="G46" s="73">
        <f t="shared" si="9"/>
        <v>32</v>
      </c>
      <c r="H46" s="73">
        <f t="shared" si="9"/>
        <v>31.8</v>
      </c>
      <c r="I46" s="73">
        <f t="shared" si="9"/>
        <v>31.8</v>
      </c>
      <c r="J46" s="73">
        <f t="shared" si="9"/>
        <v>31</v>
      </c>
      <c r="K46" s="73">
        <f t="shared" si="9"/>
        <v>30.6</v>
      </c>
      <c r="L46" s="73">
        <f t="shared" si="9"/>
        <v>29.8</v>
      </c>
      <c r="M46" s="73">
        <f t="shared" si="9"/>
        <v>28</v>
      </c>
      <c r="N46" s="73">
        <f t="shared" si="9"/>
        <v>27.3</v>
      </c>
      <c r="O46" s="73">
        <f t="shared" ref="O46:Q46" si="10">MAX(O15:O45)</f>
        <v>32</v>
      </c>
      <c r="P46" s="73">
        <f t="shared" si="10"/>
        <v>26</v>
      </c>
      <c r="Q46" s="88">
        <f t="shared" si="10"/>
        <v>29.607692307692311</v>
      </c>
      <c r="T46" s="72" t="s">
        <v>25</v>
      </c>
      <c r="U46" s="73">
        <f t="shared" ref="U46:AJ46" si="11">MAX(U15:U45)</f>
        <v>24.2</v>
      </c>
      <c r="V46" s="73">
        <f t="shared" si="11"/>
        <v>25.5</v>
      </c>
      <c r="W46" s="73">
        <f t="shared" si="11"/>
        <v>26.2</v>
      </c>
      <c r="X46" s="73">
        <f t="shared" si="11"/>
        <v>27.7</v>
      </c>
      <c r="Y46" s="73">
        <f t="shared" si="11"/>
        <v>27.8</v>
      </c>
      <c r="Z46" s="73">
        <f t="shared" si="11"/>
        <v>27.8</v>
      </c>
      <c r="AA46" s="73">
        <f t="shared" si="11"/>
        <v>27.7</v>
      </c>
      <c r="AB46" s="73">
        <f t="shared" si="11"/>
        <v>27.6</v>
      </c>
      <c r="AC46" s="73">
        <f t="shared" si="11"/>
        <v>26.5</v>
      </c>
      <c r="AD46" s="73">
        <f t="shared" si="11"/>
        <v>26.2</v>
      </c>
      <c r="AE46" s="73">
        <f t="shared" si="11"/>
        <v>26.6</v>
      </c>
      <c r="AF46" s="73">
        <f t="shared" si="11"/>
        <v>26.1</v>
      </c>
      <c r="AG46" s="73">
        <f t="shared" si="11"/>
        <v>25.6</v>
      </c>
      <c r="AH46" s="78">
        <f t="shared" si="11"/>
        <v>27.8</v>
      </c>
      <c r="AI46" s="79">
        <f t="shared" si="11"/>
        <v>24</v>
      </c>
      <c r="AJ46" s="80">
        <f t="shared" si="11"/>
        <v>26.207692307692312</v>
      </c>
      <c r="AM46" s="72" t="s">
        <v>25</v>
      </c>
      <c r="AN46" s="73">
        <f t="shared" ref="AN46:BC46" si="12">MAX(AN15:AN45)</f>
        <v>23.834579423059534</v>
      </c>
      <c r="AO46" s="73">
        <f t="shared" si="12"/>
        <v>24.859287271906087</v>
      </c>
      <c r="AP46" s="73">
        <f t="shared" si="12"/>
        <v>25.311840807303817</v>
      </c>
      <c r="AQ46" s="73">
        <f t="shared" si="12"/>
        <v>26.739167363085926</v>
      </c>
      <c r="AR46" s="73">
        <f t="shared" si="12"/>
        <v>26.805554301261676</v>
      </c>
      <c r="AS46" s="73">
        <f t="shared" si="12"/>
        <v>26.919669933372798</v>
      </c>
      <c r="AT46" s="73">
        <f t="shared" si="12"/>
        <v>26.891688362501572</v>
      </c>
      <c r="AU46" s="73">
        <f t="shared" si="12"/>
        <v>26.749754941473679</v>
      </c>
      <c r="AV46" s="73">
        <f t="shared" si="12"/>
        <v>25.25451742833156</v>
      </c>
      <c r="AW46" s="73">
        <f t="shared" si="12"/>
        <v>25.001052317629107</v>
      </c>
      <c r="AX46" s="73">
        <f t="shared" si="12"/>
        <v>25.424658369419387</v>
      </c>
      <c r="AY46" s="73">
        <f t="shared" si="12"/>
        <v>25.312062992554267</v>
      </c>
      <c r="AZ46" s="73">
        <f t="shared" si="12"/>
        <v>25.004046888190331</v>
      </c>
      <c r="BA46" s="69">
        <f t="shared" si="12"/>
        <v>26.919669933372798</v>
      </c>
      <c r="BB46" s="79">
        <f t="shared" si="12"/>
        <v>23.17664094358928</v>
      </c>
      <c r="BC46" s="80">
        <f t="shared" si="12"/>
        <v>24.943481673077375</v>
      </c>
    </row>
    <row r="47" spans="1:55" s="2" customFormat="1" ht="14.25" customHeight="1" x14ac:dyDescent="0.25">
      <c r="A47" s="74" t="s">
        <v>26</v>
      </c>
      <c r="B47" s="75">
        <f t="shared" ref="B47:N47" si="13">MIN(B15:B45)</f>
        <v>22.8</v>
      </c>
      <c r="C47" s="75">
        <f t="shared" si="13"/>
        <v>23.6</v>
      </c>
      <c r="D47" s="75">
        <f t="shared" si="13"/>
        <v>23.8</v>
      </c>
      <c r="E47" s="75">
        <f t="shared" si="13"/>
        <v>24.3</v>
      </c>
      <c r="F47" s="75">
        <f t="shared" si="13"/>
        <v>24.5</v>
      </c>
      <c r="G47" s="75">
        <f t="shared" si="13"/>
        <v>24.2</v>
      </c>
      <c r="H47" s="75">
        <f t="shared" si="13"/>
        <v>25</v>
      </c>
      <c r="I47" s="75">
        <f t="shared" si="13"/>
        <v>24.6</v>
      </c>
      <c r="J47" s="75">
        <f t="shared" si="13"/>
        <v>24</v>
      </c>
      <c r="K47" s="75">
        <f t="shared" si="13"/>
        <v>23</v>
      </c>
      <c r="L47" s="75">
        <f t="shared" si="13"/>
        <v>22.4</v>
      </c>
      <c r="M47" s="75">
        <f t="shared" si="13"/>
        <v>22.2</v>
      </c>
      <c r="N47" s="75">
        <f t="shared" si="13"/>
        <v>22.4</v>
      </c>
      <c r="O47" s="75">
        <f t="shared" ref="O47:Q47" si="14">MIN(O15:O45)</f>
        <v>27.2</v>
      </c>
      <c r="P47" s="75">
        <f t="shared" si="14"/>
        <v>22.2</v>
      </c>
      <c r="Q47" s="89">
        <f t="shared" si="14"/>
        <v>25.323076923076918</v>
      </c>
      <c r="T47" s="74" t="s">
        <v>26</v>
      </c>
      <c r="U47" s="75">
        <f t="shared" ref="U47:AJ47" si="15">MIN(U15:U45)</f>
        <v>22.2</v>
      </c>
      <c r="V47" s="75">
        <f t="shared" si="15"/>
        <v>22.6</v>
      </c>
      <c r="W47" s="75">
        <f t="shared" si="15"/>
        <v>23</v>
      </c>
      <c r="X47" s="75">
        <f t="shared" si="15"/>
        <v>23.4</v>
      </c>
      <c r="Y47" s="75">
        <f t="shared" si="15"/>
        <v>23.4</v>
      </c>
      <c r="Z47" s="75">
        <f t="shared" si="15"/>
        <v>22.5</v>
      </c>
      <c r="AA47" s="75">
        <f t="shared" si="15"/>
        <v>23.2</v>
      </c>
      <c r="AB47" s="75">
        <f t="shared" si="15"/>
        <v>23.4</v>
      </c>
      <c r="AC47" s="75">
        <f t="shared" si="15"/>
        <v>23.6</v>
      </c>
      <c r="AD47" s="75">
        <f t="shared" si="15"/>
        <v>22.7</v>
      </c>
      <c r="AE47" s="75">
        <f t="shared" si="15"/>
        <v>22.2</v>
      </c>
      <c r="AF47" s="75">
        <f t="shared" si="15"/>
        <v>22</v>
      </c>
      <c r="AG47" s="75">
        <f t="shared" si="15"/>
        <v>22.2</v>
      </c>
      <c r="AH47" s="81">
        <f t="shared" si="15"/>
        <v>24.2</v>
      </c>
      <c r="AI47" s="75">
        <f t="shared" si="15"/>
        <v>22</v>
      </c>
      <c r="AJ47" s="82">
        <f t="shared" si="15"/>
        <v>23.630769230769229</v>
      </c>
      <c r="AM47" s="74" t="s">
        <v>26</v>
      </c>
      <c r="AN47" s="75">
        <f t="shared" ref="AN47:BC47" si="16">MIN(AN15:AN45)</f>
        <v>21.804514107972604</v>
      </c>
      <c r="AO47" s="75">
        <f t="shared" si="16"/>
        <v>21.725702399335123</v>
      </c>
      <c r="AP47" s="75">
        <f t="shared" si="16"/>
        <v>21.685426017897907</v>
      </c>
      <c r="AQ47" s="75">
        <f t="shared" si="16"/>
        <v>21.231291069821708</v>
      </c>
      <c r="AR47" s="75">
        <f t="shared" si="16"/>
        <v>20.755814499189071</v>
      </c>
      <c r="AS47" s="75">
        <f t="shared" si="16"/>
        <v>21.565366963628005</v>
      </c>
      <c r="AT47" s="75">
        <f t="shared" si="16"/>
        <v>21.339773119354938</v>
      </c>
      <c r="AU47" s="75">
        <f t="shared" si="16"/>
        <v>21.895953551222608</v>
      </c>
      <c r="AV47" s="75">
        <f t="shared" si="16"/>
        <v>21.403712824054175</v>
      </c>
      <c r="AW47" s="75">
        <f t="shared" si="16"/>
        <v>20.313173065025666</v>
      </c>
      <c r="AX47" s="75">
        <f t="shared" si="16"/>
        <v>20.755814499189071</v>
      </c>
      <c r="AY47" s="75">
        <f t="shared" si="16"/>
        <v>21.0496477864498</v>
      </c>
      <c r="AZ47" s="75">
        <f t="shared" si="16"/>
        <v>21.804514107972604</v>
      </c>
      <c r="BA47" s="81">
        <f t="shared" si="16"/>
        <v>22.905453010257961</v>
      </c>
      <c r="BB47" s="75">
        <f t="shared" si="16"/>
        <v>20.313173065025666</v>
      </c>
      <c r="BC47" s="82">
        <f t="shared" si="16"/>
        <v>22.167498710544859</v>
      </c>
    </row>
    <row r="48" spans="1:55" s="2" customFormat="1" ht="14.25" customHeight="1" thickBot="1" x14ac:dyDescent="0.3">
      <c r="A48" s="76" t="s">
        <v>27</v>
      </c>
      <c r="B48" s="77">
        <f t="shared" ref="B48:N48" si="17">AVERAGE(B15:B45)</f>
        <v>24.793548387096774</v>
      </c>
      <c r="C48" s="77">
        <f t="shared" si="17"/>
        <v>26.109677419354846</v>
      </c>
      <c r="D48" s="77">
        <f t="shared" si="17"/>
        <v>27.267741935483869</v>
      </c>
      <c r="E48" s="77">
        <f t="shared" si="17"/>
        <v>28.361290322580647</v>
      </c>
      <c r="F48" s="77">
        <f t="shared" si="17"/>
        <v>28.787096774193554</v>
      </c>
      <c r="G48" s="77">
        <f t="shared" si="17"/>
        <v>28.92903225806452</v>
      </c>
      <c r="H48" s="77">
        <f t="shared" si="17"/>
        <v>28.919354838709683</v>
      </c>
      <c r="I48" s="77">
        <f t="shared" si="17"/>
        <v>28.874193548387098</v>
      </c>
      <c r="J48" s="77">
        <f t="shared" si="17"/>
        <v>28.167741935483875</v>
      </c>
      <c r="K48" s="77">
        <f t="shared" si="17"/>
        <v>27.209677419354836</v>
      </c>
      <c r="L48" s="77">
        <f t="shared" si="17"/>
        <v>26.309677419354838</v>
      </c>
      <c r="M48" s="77">
        <f t="shared" si="17"/>
        <v>25.664516129032254</v>
      </c>
      <c r="N48" s="77">
        <f t="shared" si="17"/>
        <v>25.241935483870964</v>
      </c>
      <c r="O48" s="77">
        <f t="shared" ref="O48:Q48" si="18">AVERAGE(O15:O45)</f>
        <v>29.896774193548389</v>
      </c>
      <c r="P48" s="77">
        <f t="shared" si="18"/>
        <v>24.290322580645164</v>
      </c>
      <c r="Q48" s="87">
        <f t="shared" si="18"/>
        <v>27.279652605459059</v>
      </c>
      <c r="T48" s="76" t="s">
        <v>27</v>
      </c>
      <c r="U48" s="77">
        <f t="shared" ref="U48:AJ48" si="19">AVERAGE(U15:U45)</f>
        <v>23.603225806451622</v>
      </c>
      <c r="V48" s="77">
        <f t="shared" si="19"/>
        <v>24.054838709677419</v>
      </c>
      <c r="W48" s="77">
        <f t="shared" si="19"/>
        <v>24.351612903225806</v>
      </c>
      <c r="X48" s="77">
        <f t="shared" si="19"/>
        <v>24.864516129032257</v>
      </c>
      <c r="Y48" s="77">
        <f t="shared" si="19"/>
        <v>25.067741935483877</v>
      </c>
      <c r="Z48" s="77">
        <f t="shared" si="19"/>
        <v>25.125806451612906</v>
      </c>
      <c r="AA48" s="77">
        <f t="shared" si="19"/>
        <v>25.209677419354836</v>
      </c>
      <c r="AB48" s="77">
        <f t="shared" si="19"/>
        <v>25.280645161290316</v>
      </c>
      <c r="AC48" s="77">
        <f t="shared" si="19"/>
        <v>24.86774193548387</v>
      </c>
      <c r="AD48" s="77">
        <f t="shared" si="19"/>
        <v>24.493548387096773</v>
      </c>
      <c r="AE48" s="77">
        <f t="shared" si="19"/>
        <v>24.235483870967744</v>
      </c>
      <c r="AF48" s="77">
        <f t="shared" si="19"/>
        <v>24.006451612903231</v>
      </c>
      <c r="AG48" s="77">
        <f t="shared" si="19"/>
        <v>23.893548387096782</v>
      </c>
      <c r="AH48" s="83">
        <f t="shared" si="19"/>
        <v>25.729032258064517</v>
      </c>
      <c r="AI48" s="77">
        <f t="shared" si="19"/>
        <v>23.183870967741942</v>
      </c>
      <c r="AJ48" s="84">
        <f t="shared" si="19"/>
        <v>24.542679900744421</v>
      </c>
      <c r="AM48" s="76" t="s">
        <v>27</v>
      </c>
      <c r="AN48" s="77">
        <f t="shared" ref="AN48:BC48" si="20">AVERAGE(AN15:AN45)</f>
        <v>22.954350400626677</v>
      </c>
      <c r="AO48" s="77">
        <f t="shared" si="20"/>
        <v>23.02197687258661</v>
      </c>
      <c r="AP48" s="77">
        <f t="shared" si="20"/>
        <v>22.931941150823782</v>
      </c>
      <c r="AQ48" s="77">
        <f t="shared" si="20"/>
        <v>23.212694644097855</v>
      </c>
      <c r="AR48" s="77">
        <f t="shared" si="20"/>
        <v>23.327600842647698</v>
      </c>
      <c r="AS48" s="77">
        <f t="shared" si="20"/>
        <v>23.360381799214817</v>
      </c>
      <c r="AT48" s="77">
        <f t="shared" si="20"/>
        <v>23.491105373666596</v>
      </c>
      <c r="AU48" s="77">
        <f t="shared" si="20"/>
        <v>23.623480952322229</v>
      </c>
      <c r="AV48" s="77">
        <f t="shared" si="20"/>
        <v>23.31293674661697</v>
      </c>
      <c r="AW48" s="77">
        <f t="shared" si="20"/>
        <v>23.178854472184227</v>
      </c>
      <c r="AX48" s="77">
        <f t="shared" si="20"/>
        <v>23.210199402646268</v>
      </c>
      <c r="AY48" s="77">
        <f t="shared" si="20"/>
        <v>23.160866937061986</v>
      </c>
      <c r="AZ48" s="77">
        <f t="shared" si="20"/>
        <v>23.186257940610616</v>
      </c>
      <c r="BA48" s="83">
        <f t="shared" si="20"/>
        <v>24.300433612802241</v>
      </c>
      <c r="BB48" s="77">
        <f t="shared" si="20"/>
        <v>22.096352648175401</v>
      </c>
      <c r="BC48" s="84">
        <f t="shared" si="20"/>
        <v>23.228665195008183</v>
      </c>
    </row>
    <row r="49" spans="1:52" s="2" customFormat="1" ht="13.8" thickTop="1" x14ac:dyDescent="0.25">
      <c r="A49" s="1"/>
      <c r="T49" s="1"/>
      <c r="AM49" s="1"/>
    </row>
    <row r="50" spans="1:52" s="2" customFormat="1" ht="13.2" x14ac:dyDescent="0.25">
      <c r="A50" s="1"/>
      <c r="C50" s="1" t="str">
        <f>[7]QFF!C42</f>
        <v>Mengetahui,</v>
      </c>
      <c r="M50" s="2" t="s">
        <v>56</v>
      </c>
      <c r="T50" s="1"/>
      <c r="V50" s="1" t="str">
        <f>C50</f>
        <v>Mengetahui,</v>
      </c>
      <c r="AF50" s="2" t="str">
        <f>M50</f>
        <v>Yogyakarta, 04 Januari 2023</v>
      </c>
      <c r="AM50" s="1"/>
      <c r="AO50" s="1" t="str">
        <f>V50</f>
        <v>Mengetahui,</v>
      </c>
      <c r="AY50" s="2" t="str">
        <f>AF50</f>
        <v>Yogyakarta, 04 Januari 2023</v>
      </c>
    </row>
    <row r="51" spans="1:52" s="2" customFormat="1" ht="13.2" x14ac:dyDescent="0.25">
      <c r="A51" s="1"/>
      <c r="C51" s="1" t="str">
        <f>[7]QFF!C43</f>
        <v>Kepala Stasiun Klimatologi Kelas IV</v>
      </c>
      <c r="N51" s="1" t="str">
        <f>[7]QFF!N43</f>
        <v>Pengolah</v>
      </c>
      <c r="T51" s="1"/>
      <c r="V51" s="1" t="str">
        <f>C51</f>
        <v>Kepala Stasiun Klimatologi Kelas IV</v>
      </c>
      <c r="AG51" s="1" t="str">
        <f>N51</f>
        <v>Pengolah</v>
      </c>
      <c r="AM51" s="1"/>
      <c r="AO51" s="1" t="str">
        <f>V51</f>
        <v>Kepala Stasiun Klimatologi Kelas IV</v>
      </c>
      <c r="AZ51" s="1" t="str">
        <f>AG51</f>
        <v>Pengolah</v>
      </c>
    </row>
    <row r="52" spans="1:52" s="2" customFormat="1" ht="13.2" x14ac:dyDescent="0.25">
      <c r="A52" s="1"/>
      <c r="C52" s="1" t="str">
        <f>[7]QFF!C44</f>
        <v>Sleman Yogyakarta</v>
      </c>
      <c r="N52" s="1"/>
      <c r="T52" s="1"/>
      <c r="V52" s="1" t="str">
        <f>C52</f>
        <v>Sleman Yogyakarta</v>
      </c>
      <c r="AG52" s="1"/>
      <c r="AM52" s="1"/>
      <c r="AO52" s="1" t="str">
        <f>V52</f>
        <v>Sleman Yogyakarta</v>
      </c>
      <c r="AZ52" s="1"/>
    </row>
    <row r="53" spans="1:52" s="2" customFormat="1" ht="13.2" x14ac:dyDescent="0.25">
      <c r="A53" s="1"/>
      <c r="C53" s="1"/>
      <c r="N53" s="1"/>
      <c r="T53" s="1"/>
      <c r="V53" s="1"/>
      <c r="AG53" s="1"/>
      <c r="AM53" s="1"/>
      <c r="AO53" s="1"/>
      <c r="AZ53" s="1"/>
    </row>
    <row r="54" spans="1:52" s="2" customFormat="1" ht="13.2" x14ac:dyDescent="0.25">
      <c r="A54" s="1"/>
      <c r="C54" s="1"/>
      <c r="N54" s="1"/>
      <c r="T54" s="1"/>
      <c r="V54" s="1"/>
      <c r="AG54" s="1"/>
      <c r="AM54" s="1"/>
      <c r="AO54" s="1"/>
      <c r="AZ54" s="1"/>
    </row>
    <row r="55" spans="1:52" s="2" customFormat="1" ht="13.2" x14ac:dyDescent="0.25">
      <c r="A55" s="1"/>
      <c r="C55" s="1"/>
      <c r="N55" s="1"/>
      <c r="T55" s="1"/>
      <c r="V55" s="1"/>
      <c r="AG55" s="1"/>
      <c r="AM55" s="1"/>
      <c r="AO55" s="1"/>
      <c r="AZ55" s="1"/>
    </row>
    <row r="56" spans="1:52" s="2" customFormat="1" ht="13.2" x14ac:dyDescent="0.25">
      <c r="A56" s="1"/>
      <c r="C56" s="1"/>
      <c r="N56" s="1"/>
      <c r="T56" s="1"/>
      <c r="V56" s="1"/>
      <c r="AG56" s="1"/>
      <c r="AM56" s="1"/>
      <c r="AO56" s="1"/>
      <c r="AZ56" s="1"/>
    </row>
    <row r="57" spans="1:52" s="2" customFormat="1" ht="13.2" x14ac:dyDescent="0.25">
      <c r="A57" s="1"/>
      <c r="C57" s="30" t="str">
        <f>[7]QFF!C49</f>
        <v>RENI KRANINGTYAS, SP, M.Si</v>
      </c>
      <c r="N57" s="30" t="str">
        <f>[7]QFF!N49</f>
        <v xml:space="preserve">TIM PEMBUAT LAPORAN </v>
      </c>
      <c r="T57" s="1"/>
      <c r="V57" s="30" t="str">
        <f>C57</f>
        <v>RENI KRANINGTYAS, SP, M.Si</v>
      </c>
      <c r="AG57" s="30" t="str">
        <f>N57</f>
        <v xml:space="preserve">TIM PEMBUAT LAPORAN </v>
      </c>
      <c r="AM57" s="1"/>
      <c r="AO57" s="30" t="str">
        <f>V57</f>
        <v>RENI KRANINGTYAS, SP, M.Si</v>
      </c>
      <c r="AZ57" s="30" t="str">
        <f>AG57</f>
        <v xml:space="preserve">TIM PEMBUAT LAPORAN </v>
      </c>
    </row>
    <row r="58" spans="1:52" s="2" customFormat="1" ht="13.2" x14ac:dyDescent="0.25">
      <c r="A58" s="1"/>
      <c r="C58" s="1" t="str">
        <f>[7]QFF!C50</f>
        <v>NIP.  19740203 199703 2 001</v>
      </c>
      <c r="N58" s="1" t="str">
        <f>[7]QFF!N50</f>
        <v xml:space="preserve">PETUGAS OPERASIONAL </v>
      </c>
      <c r="T58" s="1"/>
      <c r="V58" s="1" t="str">
        <f>C58</f>
        <v>NIP.  19740203 199703 2 001</v>
      </c>
      <c r="AG58" s="1" t="str">
        <f>N58</f>
        <v xml:space="preserve">PETUGAS OPERASIONAL </v>
      </c>
      <c r="AM58" s="1"/>
      <c r="AO58" s="1" t="str">
        <f>V58</f>
        <v>NIP.  19740203 199703 2 001</v>
      </c>
      <c r="AZ58" s="1" t="str">
        <f>AG58</f>
        <v xml:space="preserve">PETUGAS OPERASIONAL </v>
      </c>
    </row>
    <row r="59" spans="1:52" s="2" customFormat="1" ht="13.2" x14ac:dyDescent="0.25">
      <c r="A59" s="1"/>
      <c r="T59" s="1"/>
      <c r="AM59" s="1"/>
    </row>
  </sheetData>
  <mergeCells count="69">
    <mergeCell ref="A1:Q1"/>
    <mergeCell ref="T1:AJ1"/>
    <mergeCell ref="AM1:BC1"/>
    <mergeCell ref="A2:Q2"/>
    <mergeCell ref="T2:AJ2"/>
    <mergeCell ref="AM2:BC2"/>
    <mergeCell ref="A3:Q3"/>
    <mergeCell ref="T3:AJ3"/>
    <mergeCell ref="AM3:BC3"/>
    <mergeCell ref="A4:Q4"/>
    <mergeCell ref="T4:AJ4"/>
    <mergeCell ref="AM4:BC4"/>
    <mergeCell ref="F13:F14"/>
    <mergeCell ref="A6:Q6"/>
    <mergeCell ref="T6:AJ6"/>
    <mergeCell ref="AM6:BC6"/>
    <mergeCell ref="A7:Q7"/>
    <mergeCell ref="T7:AJ7"/>
    <mergeCell ref="AM7:BC7"/>
    <mergeCell ref="A13:A14"/>
    <mergeCell ref="B13:B14"/>
    <mergeCell ref="C13:C14"/>
    <mergeCell ref="D13:D14"/>
    <mergeCell ref="E13:E14"/>
    <mergeCell ref="T13:T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AF13:AF14"/>
    <mergeCell ref="U13:U14"/>
    <mergeCell ref="V13:V14"/>
    <mergeCell ref="W13:W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T13:AT14"/>
    <mergeCell ref="AG13:AG14"/>
    <mergeCell ref="AH13:AH14"/>
    <mergeCell ref="AI13:AI14"/>
    <mergeCell ref="AJ13:AJ14"/>
    <mergeCell ref="AM13:AM14"/>
    <mergeCell ref="AN13:AN14"/>
    <mergeCell ref="AO13:AO14"/>
    <mergeCell ref="AP13:AP14"/>
    <mergeCell ref="AQ13:AQ14"/>
    <mergeCell ref="AR13:AR14"/>
    <mergeCell ref="AS13:AS14"/>
    <mergeCell ref="BA13:BA14"/>
    <mergeCell ref="BB13:BB14"/>
    <mergeCell ref="BC13:BC14"/>
    <mergeCell ref="AU13:AU14"/>
    <mergeCell ref="AV13:AV14"/>
    <mergeCell ref="AW13:AW14"/>
    <mergeCell ref="AX13:AX14"/>
    <mergeCell ref="AY13:AY14"/>
    <mergeCell ref="AZ13:AZ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BASE</vt:lpstr>
      <vt:lpstr>JANUARI 2022</vt:lpstr>
      <vt:lpstr>FEBRUARI 2022</vt:lpstr>
      <vt:lpstr>MARET 2022</vt:lpstr>
      <vt:lpstr>APRIL 2022</vt:lpstr>
      <vt:lpstr>MEI 2022</vt:lpstr>
      <vt:lpstr>JUNI 2022</vt:lpstr>
      <vt:lpstr>JULI 2022</vt:lpstr>
      <vt:lpstr>AGUSTUS 2022</vt:lpstr>
      <vt:lpstr>SEPTEMBER 2022</vt:lpstr>
      <vt:lpstr>OKTOBER</vt:lpstr>
      <vt:lpstr>NOVEMBER</vt:lpstr>
      <vt:lpstr>DESEMBER</vt:lpstr>
      <vt:lpstr>'APRIL 2022'!Print_Area</vt:lpstr>
      <vt:lpstr>'FEBRUARI 2022'!Print_Area</vt:lpstr>
      <vt:lpstr>'JANUARI 2022'!Print_Area</vt:lpstr>
      <vt:lpstr>'MEI 2022'!Print_Area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2022-06-08T01:33:46Z</cp:lastPrinted>
  <dcterms:created xsi:type="dcterms:W3CDTF">2022-02-02T02:30:28Z</dcterms:created>
  <dcterms:modified xsi:type="dcterms:W3CDTF">2023-06-20T01:55:20Z</dcterms:modified>
</cp:coreProperties>
</file>