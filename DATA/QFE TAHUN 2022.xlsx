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02. LAPORAN BULANAN\07. LAPBUL2022\"/>
    </mc:Choice>
  </mc:AlternateContent>
  <xr:revisionPtr revIDLastSave="0" documentId="13_ncr:1_{F4DC8D33-3CD1-4BA1-BB55-277A5EA1B08A}" xr6:coauthVersionLast="47" xr6:coauthVersionMax="47" xr10:uidLastSave="{00000000-0000-0000-0000-000000000000}"/>
  <bookViews>
    <workbookView xWindow="-120" yWindow="-120" windowWidth="29040" windowHeight="15720" firstSheet="2" activeTab="11" xr2:uid="{00000000-000D-0000-FFFF-FFFF00000000}"/>
  </bookViews>
  <sheets>
    <sheet name="JANUARI  " sheetId="1" r:id="rId1"/>
    <sheet name="FEBRUARI " sheetId="2" r:id="rId2"/>
    <sheet name="MARET " sheetId="3" r:id="rId3"/>
    <sheet name="APRIL " sheetId="4" r:id="rId4"/>
    <sheet name="MEI  " sheetId="5" r:id="rId5"/>
    <sheet name="JUNI " sheetId="6" r:id="rId6"/>
    <sheet name="JULI  " sheetId="7" r:id="rId7"/>
    <sheet name="AGUSTUS " sheetId="8" r:id="rId8"/>
    <sheet name="SEPTEMBER " sheetId="9" r:id="rId9"/>
    <sheet name="OKTOBER" sheetId="10" r:id="rId10"/>
    <sheet name="NOVEMBER" sheetId="14" r:id="rId11"/>
    <sheet name="DESEMBER" sheetId="11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aaaa">#REF!</definedName>
    <definedName name="HUJAN">#REF!</definedName>
    <definedName name="_xlnm.Print_Area" localSheetId="3">'APRIL '!$A$1:$Q$50</definedName>
    <definedName name="_xlnm.Print_Area" localSheetId="0">'JANUARI  '!$A$1:$R$53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2" i="11" l="1"/>
  <c r="Q42" i="14"/>
  <c r="P42" i="14"/>
  <c r="O42" i="14"/>
  <c r="P42" i="11"/>
  <c r="O42" i="11"/>
  <c r="N55" i="14"/>
  <c r="C55" i="14"/>
  <c r="N54" i="14"/>
  <c r="C54" i="14"/>
  <c r="C50" i="14"/>
  <c r="N49" i="14"/>
  <c r="C49" i="14"/>
  <c r="C48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Q43" i="14"/>
  <c r="P43" i="14"/>
  <c r="O43" i="14"/>
  <c r="Q41" i="14"/>
  <c r="P41" i="14"/>
  <c r="O41" i="14"/>
  <c r="Q40" i="14"/>
  <c r="P40" i="14"/>
  <c r="O40" i="14"/>
  <c r="Q39" i="14"/>
  <c r="P39" i="14"/>
  <c r="O39" i="14"/>
  <c r="Q38" i="14"/>
  <c r="P38" i="14"/>
  <c r="O38" i="14"/>
  <c r="Q37" i="14"/>
  <c r="P37" i="14"/>
  <c r="O37" i="14"/>
  <c r="Q36" i="14"/>
  <c r="P36" i="14"/>
  <c r="O36" i="14"/>
  <c r="Q35" i="14"/>
  <c r="P35" i="14"/>
  <c r="O35" i="14"/>
  <c r="Q34" i="14"/>
  <c r="P34" i="14"/>
  <c r="O34" i="14"/>
  <c r="Q33" i="14"/>
  <c r="P33" i="14"/>
  <c r="O33" i="14"/>
  <c r="Q32" i="14"/>
  <c r="P32" i="14"/>
  <c r="O32" i="14"/>
  <c r="Q31" i="14"/>
  <c r="P31" i="14"/>
  <c r="O31" i="14"/>
  <c r="Q30" i="14"/>
  <c r="P30" i="14"/>
  <c r="O30" i="14"/>
  <c r="Q29" i="14"/>
  <c r="P29" i="14"/>
  <c r="O29" i="14"/>
  <c r="Q28" i="14"/>
  <c r="P28" i="14"/>
  <c r="O28" i="14"/>
  <c r="Q27" i="14"/>
  <c r="P27" i="14"/>
  <c r="O27" i="14"/>
  <c r="Q26" i="14"/>
  <c r="P26" i="14"/>
  <c r="O26" i="14"/>
  <c r="Q25" i="14"/>
  <c r="P25" i="14"/>
  <c r="O25" i="14"/>
  <c r="Q24" i="14"/>
  <c r="P24" i="14"/>
  <c r="O24" i="14"/>
  <c r="Q23" i="14"/>
  <c r="P23" i="14"/>
  <c r="O23" i="14"/>
  <c r="Q22" i="14"/>
  <c r="P22" i="14"/>
  <c r="O22" i="14"/>
  <c r="Q21" i="14"/>
  <c r="P21" i="14"/>
  <c r="O21" i="14"/>
  <c r="Q20" i="14"/>
  <c r="P20" i="14"/>
  <c r="O20" i="14"/>
  <c r="Q19" i="14"/>
  <c r="P19" i="14"/>
  <c r="O19" i="14"/>
  <c r="Q18" i="14"/>
  <c r="P18" i="14"/>
  <c r="O18" i="14"/>
  <c r="Q17" i="14"/>
  <c r="P17" i="14"/>
  <c r="O17" i="14"/>
  <c r="Q16" i="14"/>
  <c r="P16" i="14"/>
  <c r="O16" i="14"/>
  <c r="Q15" i="14"/>
  <c r="P15" i="14"/>
  <c r="O15" i="14"/>
  <c r="Q14" i="14"/>
  <c r="P14" i="14"/>
  <c r="O14" i="14"/>
  <c r="Q47" i="10"/>
  <c r="O42" i="10"/>
  <c r="P42" i="10"/>
  <c r="Q42" i="10"/>
  <c r="N56" i="11"/>
  <c r="C56" i="11"/>
  <c r="N55" i="11"/>
  <c r="C55" i="11"/>
  <c r="C51" i="11"/>
  <c r="N50" i="11"/>
  <c r="C50" i="11"/>
  <c r="C49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Q44" i="11"/>
  <c r="P44" i="11"/>
  <c r="O44" i="11"/>
  <c r="Q43" i="11"/>
  <c r="P43" i="11"/>
  <c r="O43" i="11"/>
  <c r="Q41" i="11"/>
  <c r="P41" i="11"/>
  <c r="O41" i="11"/>
  <c r="Q40" i="11"/>
  <c r="P40" i="11"/>
  <c r="O40" i="11"/>
  <c r="Q39" i="11"/>
  <c r="P39" i="11"/>
  <c r="O39" i="11"/>
  <c r="Q38" i="11"/>
  <c r="P38" i="11"/>
  <c r="O38" i="11"/>
  <c r="Q37" i="11"/>
  <c r="P37" i="11"/>
  <c r="O37" i="11"/>
  <c r="Q36" i="11"/>
  <c r="P36" i="11"/>
  <c r="O36" i="11"/>
  <c r="Q35" i="11"/>
  <c r="P35" i="11"/>
  <c r="O35" i="11"/>
  <c r="Q34" i="11"/>
  <c r="P34" i="11"/>
  <c r="O34" i="11"/>
  <c r="Q33" i="11"/>
  <c r="P33" i="11"/>
  <c r="O33" i="11"/>
  <c r="Q32" i="11"/>
  <c r="P32" i="11"/>
  <c r="O32" i="11"/>
  <c r="Q31" i="11"/>
  <c r="P31" i="11"/>
  <c r="O31" i="11"/>
  <c r="Q30" i="11"/>
  <c r="P30" i="11"/>
  <c r="O30" i="11"/>
  <c r="Q29" i="11"/>
  <c r="P29" i="11"/>
  <c r="O29" i="11"/>
  <c r="Q28" i="11"/>
  <c r="P28" i="11"/>
  <c r="O28" i="11"/>
  <c r="Q27" i="11"/>
  <c r="P27" i="11"/>
  <c r="O27" i="11"/>
  <c r="Q26" i="11"/>
  <c r="P26" i="11"/>
  <c r="O26" i="11"/>
  <c r="Q25" i="11"/>
  <c r="P25" i="11"/>
  <c r="O25" i="11"/>
  <c r="Q24" i="11"/>
  <c r="P24" i="11"/>
  <c r="O24" i="11"/>
  <c r="Q23" i="11"/>
  <c r="P23" i="11"/>
  <c r="O23" i="11"/>
  <c r="Q22" i="11"/>
  <c r="P22" i="11"/>
  <c r="O22" i="11"/>
  <c r="Q21" i="11"/>
  <c r="P21" i="11"/>
  <c r="O21" i="11"/>
  <c r="Q20" i="11"/>
  <c r="P20" i="11"/>
  <c r="O20" i="11"/>
  <c r="Q19" i="11"/>
  <c r="P19" i="11"/>
  <c r="O19" i="11"/>
  <c r="Q18" i="11"/>
  <c r="P18" i="11"/>
  <c r="O18" i="11"/>
  <c r="Q17" i="11"/>
  <c r="P17" i="11"/>
  <c r="O17" i="11"/>
  <c r="Q16" i="11"/>
  <c r="P16" i="11"/>
  <c r="O16" i="11"/>
  <c r="Q15" i="11"/>
  <c r="P15" i="11"/>
  <c r="O15" i="11"/>
  <c r="Q14" i="11"/>
  <c r="P14" i="11"/>
  <c r="O14" i="11"/>
  <c r="N56" i="10"/>
  <c r="C56" i="10"/>
  <c r="N55" i="10"/>
  <c r="C55" i="10"/>
  <c r="C51" i="10"/>
  <c r="N51" i="10"/>
  <c r="C50" i="10"/>
  <c r="C49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Q44" i="10"/>
  <c r="P44" i="10"/>
  <c r="O44" i="10"/>
  <c r="Q43" i="10"/>
  <c r="P43" i="10"/>
  <c r="O43" i="10"/>
  <c r="Q41" i="10"/>
  <c r="P41" i="10"/>
  <c r="O41" i="10"/>
  <c r="Q40" i="10"/>
  <c r="P40" i="10"/>
  <c r="O40" i="10"/>
  <c r="Q39" i="10"/>
  <c r="P39" i="10"/>
  <c r="O39" i="10"/>
  <c r="Q38" i="10"/>
  <c r="P38" i="10"/>
  <c r="O38" i="10"/>
  <c r="Q37" i="10"/>
  <c r="P37" i="10"/>
  <c r="O37" i="10"/>
  <c r="Q36" i="10"/>
  <c r="P36" i="10"/>
  <c r="O36" i="10"/>
  <c r="Q35" i="10"/>
  <c r="P35" i="10"/>
  <c r="O35" i="10"/>
  <c r="Q34" i="10"/>
  <c r="P34" i="10"/>
  <c r="O34" i="10"/>
  <c r="Q33" i="10"/>
  <c r="P33" i="10"/>
  <c r="O33" i="10"/>
  <c r="Q32" i="10"/>
  <c r="P32" i="10"/>
  <c r="O32" i="10"/>
  <c r="Q31" i="10"/>
  <c r="P31" i="10"/>
  <c r="O31" i="10"/>
  <c r="Q30" i="10"/>
  <c r="P30" i="10"/>
  <c r="O30" i="10"/>
  <c r="Q29" i="10"/>
  <c r="P29" i="10"/>
  <c r="O29" i="10"/>
  <c r="Q28" i="10"/>
  <c r="P28" i="10"/>
  <c r="O28" i="10"/>
  <c r="Q27" i="10"/>
  <c r="P27" i="10"/>
  <c r="O27" i="10"/>
  <c r="Q26" i="10"/>
  <c r="P26" i="10"/>
  <c r="O26" i="10"/>
  <c r="Q25" i="10"/>
  <c r="P25" i="10"/>
  <c r="O25" i="10"/>
  <c r="Q24" i="10"/>
  <c r="P24" i="10"/>
  <c r="O24" i="10"/>
  <c r="Q23" i="10"/>
  <c r="P23" i="10"/>
  <c r="O23" i="10"/>
  <c r="Q22" i="10"/>
  <c r="P22" i="10"/>
  <c r="O22" i="10"/>
  <c r="Q21" i="10"/>
  <c r="P21" i="10"/>
  <c r="O21" i="10"/>
  <c r="Q20" i="10"/>
  <c r="P20" i="10"/>
  <c r="O20" i="10"/>
  <c r="Q19" i="10"/>
  <c r="P19" i="10"/>
  <c r="O19" i="10"/>
  <c r="Q18" i="10"/>
  <c r="P18" i="10"/>
  <c r="O18" i="10"/>
  <c r="Q17" i="10"/>
  <c r="P17" i="10"/>
  <c r="O17" i="10"/>
  <c r="Q16" i="10"/>
  <c r="P16" i="10"/>
  <c r="O16" i="10"/>
  <c r="Q15" i="10"/>
  <c r="P15" i="10"/>
  <c r="O15" i="10"/>
  <c r="Q14" i="10"/>
  <c r="P14" i="10"/>
  <c r="O14" i="10"/>
  <c r="N55" i="9"/>
  <c r="C55" i="9"/>
  <c r="N54" i="9"/>
  <c r="C54" i="9"/>
  <c r="C50" i="9"/>
  <c r="N49" i="9"/>
  <c r="C49" i="9"/>
  <c r="C48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Q43" i="9"/>
  <c r="P43" i="9"/>
  <c r="O43" i="9"/>
  <c r="Q42" i="9"/>
  <c r="P42" i="9"/>
  <c r="O42" i="9"/>
  <c r="Q41" i="9"/>
  <c r="P41" i="9"/>
  <c r="O41" i="9"/>
  <c r="Q40" i="9"/>
  <c r="P40" i="9"/>
  <c r="O40" i="9"/>
  <c r="Q39" i="9"/>
  <c r="P39" i="9"/>
  <c r="O39" i="9"/>
  <c r="Q38" i="9"/>
  <c r="P38" i="9"/>
  <c r="O38" i="9"/>
  <c r="Q37" i="9"/>
  <c r="P37" i="9"/>
  <c r="O37" i="9"/>
  <c r="Q36" i="9"/>
  <c r="P36" i="9"/>
  <c r="O36" i="9"/>
  <c r="Q35" i="9"/>
  <c r="P35" i="9"/>
  <c r="O35" i="9"/>
  <c r="Q34" i="9"/>
  <c r="P34" i="9"/>
  <c r="O34" i="9"/>
  <c r="Q33" i="9"/>
  <c r="P33" i="9"/>
  <c r="O33" i="9"/>
  <c r="Q32" i="9"/>
  <c r="P32" i="9"/>
  <c r="O32" i="9"/>
  <c r="Q31" i="9"/>
  <c r="P31" i="9"/>
  <c r="O31" i="9"/>
  <c r="Q30" i="9"/>
  <c r="P30" i="9"/>
  <c r="O30" i="9"/>
  <c r="Q29" i="9"/>
  <c r="P29" i="9"/>
  <c r="O29" i="9"/>
  <c r="Q28" i="9"/>
  <c r="P28" i="9"/>
  <c r="O28" i="9"/>
  <c r="Q27" i="9"/>
  <c r="P27" i="9"/>
  <c r="O27" i="9"/>
  <c r="Q26" i="9"/>
  <c r="P26" i="9"/>
  <c r="O26" i="9"/>
  <c r="Q25" i="9"/>
  <c r="P25" i="9"/>
  <c r="O25" i="9"/>
  <c r="Q24" i="9"/>
  <c r="P24" i="9"/>
  <c r="O24" i="9"/>
  <c r="Q23" i="9"/>
  <c r="P23" i="9"/>
  <c r="O23" i="9"/>
  <c r="Q22" i="9"/>
  <c r="P22" i="9"/>
  <c r="O22" i="9"/>
  <c r="Q21" i="9"/>
  <c r="P21" i="9"/>
  <c r="O21" i="9"/>
  <c r="Q20" i="9"/>
  <c r="P20" i="9"/>
  <c r="O20" i="9"/>
  <c r="Q19" i="9"/>
  <c r="P19" i="9"/>
  <c r="O19" i="9"/>
  <c r="Q18" i="9"/>
  <c r="P18" i="9"/>
  <c r="O18" i="9"/>
  <c r="Q17" i="9"/>
  <c r="P17" i="9"/>
  <c r="O17" i="9"/>
  <c r="Q16" i="9"/>
  <c r="P16" i="9"/>
  <c r="O16" i="9"/>
  <c r="Q15" i="9"/>
  <c r="P15" i="9"/>
  <c r="O15" i="9"/>
  <c r="Q14" i="9"/>
  <c r="P14" i="9"/>
  <c r="O14" i="9"/>
  <c r="O46" i="11" l="1"/>
  <c r="Q47" i="11"/>
  <c r="O46" i="14"/>
  <c r="Q44" i="14"/>
  <c r="P44" i="14"/>
  <c r="P46" i="14"/>
  <c r="Q46" i="14"/>
  <c r="Q45" i="14"/>
  <c r="P47" i="11"/>
  <c r="O44" i="14"/>
  <c r="O45" i="14"/>
  <c r="P45" i="14"/>
  <c r="O47" i="11"/>
  <c r="P45" i="11"/>
  <c r="P46" i="11"/>
  <c r="O45" i="11"/>
  <c r="Q45" i="11"/>
  <c r="Q46" i="11"/>
  <c r="O47" i="10"/>
  <c r="P46" i="10"/>
  <c r="P47" i="10"/>
  <c r="O45" i="10"/>
  <c r="O46" i="10"/>
  <c r="P45" i="10"/>
  <c r="Q45" i="10"/>
  <c r="Q46" i="10"/>
  <c r="P46" i="9"/>
  <c r="Q44" i="9"/>
  <c r="Q46" i="9"/>
  <c r="O46" i="9"/>
  <c r="O44" i="9"/>
  <c r="O45" i="9"/>
  <c r="P44" i="9"/>
  <c r="P45" i="9"/>
  <c r="Q45" i="9"/>
  <c r="C45" i="8"/>
  <c r="D45" i="8"/>
  <c r="E45" i="8"/>
  <c r="F45" i="8"/>
  <c r="G45" i="8"/>
  <c r="H45" i="8"/>
  <c r="I45" i="8"/>
  <c r="J45" i="8"/>
  <c r="K45" i="8"/>
  <c r="L45" i="8"/>
  <c r="M45" i="8"/>
  <c r="N45" i="8"/>
  <c r="B45" i="8"/>
  <c r="O44" i="8"/>
  <c r="P44" i="8"/>
  <c r="Q44" i="8"/>
  <c r="N56" i="8" l="1"/>
  <c r="C56" i="8"/>
  <c r="N55" i="8"/>
  <c r="C55" i="8"/>
  <c r="C51" i="8"/>
  <c r="N50" i="8"/>
  <c r="C50" i="8"/>
  <c r="C49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Q43" i="8"/>
  <c r="P43" i="8"/>
  <c r="O43" i="8"/>
  <c r="Q42" i="8"/>
  <c r="P42" i="8"/>
  <c r="O42" i="8"/>
  <c r="Q41" i="8"/>
  <c r="P41" i="8"/>
  <c r="O41" i="8"/>
  <c r="Q40" i="8"/>
  <c r="P40" i="8"/>
  <c r="O40" i="8"/>
  <c r="Q39" i="8"/>
  <c r="P39" i="8"/>
  <c r="O39" i="8"/>
  <c r="Q38" i="8"/>
  <c r="P38" i="8"/>
  <c r="O38" i="8"/>
  <c r="Q37" i="8"/>
  <c r="P37" i="8"/>
  <c r="O37" i="8"/>
  <c r="Q36" i="8"/>
  <c r="P36" i="8"/>
  <c r="O36" i="8"/>
  <c r="Q35" i="8"/>
  <c r="P35" i="8"/>
  <c r="O35" i="8"/>
  <c r="Q34" i="8"/>
  <c r="P34" i="8"/>
  <c r="O34" i="8"/>
  <c r="Q33" i="8"/>
  <c r="P33" i="8"/>
  <c r="O33" i="8"/>
  <c r="Q32" i="8"/>
  <c r="P32" i="8"/>
  <c r="O32" i="8"/>
  <c r="Q31" i="8"/>
  <c r="P31" i="8"/>
  <c r="O31" i="8"/>
  <c r="Q30" i="8"/>
  <c r="P30" i="8"/>
  <c r="O30" i="8"/>
  <c r="Q29" i="8"/>
  <c r="P29" i="8"/>
  <c r="O29" i="8"/>
  <c r="Q28" i="8"/>
  <c r="P28" i="8"/>
  <c r="O28" i="8"/>
  <c r="Q27" i="8"/>
  <c r="P27" i="8"/>
  <c r="O27" i="8"/>
  <c r="Q26" i="8"/>
  <c r="P26" i="8"/>
  <c r="O26" i="8"/>
  <c r="Q25" i="8"/>
  <c r="P25" i="8"/>
  <c r="O25" i="8"/>
  <c r="Q24" i="8"/>
  <c r="P24" i="8"/>
  <c r="O24" i="8"/>
  <c r="Q23" i="8"/>
  <c r="P23" i="8"/>
  <c r="O23" i="8"/>
  <c r="Q22" i="8"/>
  <c r="P22" i="8"/>
  <c r="O22" i="8"/>
  <c r="Q21" i="8"/>
  <c r="P21" i="8"/>
  <c r="O21" i="8"/>
  <c r="Q20" i="8"/>
  <c r="P20" i="8"/>
  <c r="O20" i="8"/>
  <c r="Q19" i="8"/>
  <c r="P19" i="8"/>
  <c r="O19" i="8"/>
  <c r="Q18" i="8"/>
  <c r="P18" i="8"/>
  <c r="O18" i="8"/>
  <c r="Q17" i="8"/>
  <c r="P17" i="8"/>
  <c r="O17" i="8"/>
  <c r="Q16" i="8"/>
  <c r="P16" i="8"/>
  <c r="O16" i="8"/>
  <c r="Q15" i="8"/>
  <c r="P15" i="8"/>
  <c r="O15" i="8"/>
  <c r="Q14" i="8"/>
  <c r="P14" i="8"/>
  <c r="O14" i="8"/>
  <c r="P45" i="8" l="1"/>
  <c r="O45" i="8"/>
  <c r="Q46" i="8"/>
  <c r="Q47" i="8"/>
  <c r="Q45" i="8"/>
  <c r="P47" i="8"/>
  <c r="P46" i="8"/>
  <c r="O46" i="8"/>
  <c r="O47" i="8"/>
  <c r="O37" i="7"/>
  <c r="P37" i="7"/>
  <c r="Q37" i="7"/>
  <c r="C38" i="7"/>
  <c r="D38" i="7"/>
  <c r="E38" i="7"/>
  <c r="F38" i="7"/>
  <c r="G38" i="7"/>
  <c r="H38" i="7"/>
  <c r="I38" i="7"/>
  <c r="J38" i="7"/>
  <c r="K38" i="7"/>
  <c r="L38" i="7"/>
  <c r="M38" i="7"/>
  <c r="N38" i="7"/>
  <c r="B38" i="7"/>
  <c r="O28" i="7"/>
  <c r="O50" i="7"/>
  <c r="C50" i="7"/>
  <c r="O49" i="7"/>
  <c r="C49" i="7"/>
  <c r="O43" i="7"/>
  <c r="C43" i="7"/>
  <c r="C42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Q36" i="7"/>
  <c r="P36" i="7"/>
  <c r="O36" i="7"/>
  <c r="Q35" i="7"/>
  <c r="P35" i="7"/>
  <c r="O35" i="7"/>
  <c r="Q34" i="7"/>
  <c r="P34" i="7"/>
  <c r="O34" i="7"/>
  <c r="Q33" i="7"/>
  <c r="P33" i="7"/>
  <c r="O33" i="7"/>
  <c r="Q32" i="7"/>
  <c r="P32" i="7"/>
  <c r="O32" i="7"/>
  <c r="Q31" i="7"/>
  <c r="P31" i="7"/>
  <c r="O31" i="7"/>
  <c r="Q30" i="7"/>
  <c r="P30" i="7"/>
  <c r="O30" i="7"/>
  <c r="Q29" i="7"/>
  <c r="P29" i="7"/>
  <c r="O29" i="7"/>
  <c r="Q28" i="7"/>
  <c r="P28" i="7"/>
  <c r="Q27" i="7"/>
  <c r="P27" i="7"/>
  <c r="O27" i="7"/>
  <c r="Q26" i="7"/>
  <c r="P26" i="7"/>
  <c r="O26" i="7"/>
  <c r="Q25" i="7"/>
  <c r="P25" i="7"/>
  <c r="O25" i="7"/>
  <c r="Q24" i="7"/>
  <c r="P24" i="7"/>
  <c r="O24" i="7"/>
  <c r="Q23" i="7"/>
  <c r="P23" i="7"/>
  <c r="O23" i="7"/>
  <c r="Q22" i="7"/>
  <c r="P22" i="7"/>
  <c r="O22" i="7"/>
  <c r="Q21" i="7"/>
  <c r="P21" i="7"/>
  <c r="O21" i="7"/>
  <c r="Q20" i="7"/>
  <c r="P20" i="7"/>
  <c r="O20" i="7"/>
  <c r="Q19" i="7"/>
  <c r="P19" i="7"/>
  <c r="O19" i="7"/>
  <c r="Q18" i="7"/>
  <c r="P18" i="7"/>
  <c r="O18" i="7"/>
  <c r="Q17" i="7"/>
  <c r="P17" i="7"/>
  <c r="O17" i="7"/>
  <c r="Q16" i="7"/>
  <c r="P16" i="7"/>
  <c r="O16" i="7"/>
  <c r="Q15" i="7"/>
  <c r="P15" i="7"/>
  <c r="O15" i="7"/>
  <c r="Q14" i="7"/>
  <c r="P14" i="7"/>
  <c r="O14" i="7"/>
  <c r="Q13" i="7"/>
  <c r="P13" i="7"/>
  <c r="O13" i="7"/>
  <c r="Q12" i="7"/>
  <c r="P12" i="7"/>
  <c r="O12" i="7"/>
  <c r="Q11" i="7"/>
  <c r="P11" i="7"/>
  <c r="O11" i="7"/>
  <c r="Q10" i="7"/>
  <c r="P10" i="7"/>
  <c r="O10" i="7"/>
  <c r="Q9" i="7"/>
  <c r="P9" i="7"/>
  <c r="O9" i="7"/>
  <c r="Q8" i="7"/>
  <c r="P8" i="7"/>
  <c r="O8" i="7"/>
  <c r="Q7" i="7"/>
  <c r="P7" i="7"/>
  <c r="O7" i="7"/>
  <c r="N5" i="7"/>
  <c r="O40" i="7" l="1"/>
  <c r="Q40" i="7"/>
  <c r="P40" i="7"/>
  <c r="P38" i="7"/>
  <c r="P39" i="7"/>
  <c r="O38" i="7"/>
  <c r="O39" i="7"/>
  <c r="Q38" i="7"/>
  <c r="Q39" i="7"/>
  <c r="B39" i="6"/>
  <c r="B38" i="6"/>
  <c r="B37" i="6"/>
  <c r="Q7" i="6"/>
  <c r="P7" i="6"/>
  <c r="O7" i="6"/>
  <c r="O49" i="6"/>
  <c r="C49" i="6"/>
  <c r="O48" i="6"/>
  <c r="C48" i="6"/>
  <c r="O42" i="6"/>
  <c r="C42" i="6"/>
  <c r="C41" i="6"/>
  <c r="P35" i="6"/>
  <c r="Q33" i="6"/>
  <c r="P31" i="6"/>
  <c r="Q29" i="6"/>
  <c r="P27" i="6"/>
  <c r="Q25" i="6"/>
  <c r="Q20" i="6"/>
  <c r="O19" i="6"/>
  <c r="P17" i="6"/>
  <c r="Q12" i="6"/>
  <c r="O11" i="6"/>
  <c r="P9" i="6"/>
  <c r="N5" i="6"/>
  <c r="Q11" i="6" l="1"/>
  <c r="Q19" i="6"/>
  <c r="F39" i="6"/>
  <c r="J39" i="6"/>
  <c r="N39" i="6"/>
  <c r="O9" i="6"/>
  <c r="Q9" i="6"/>
  <c r="Q10" i="6"/>
  <c r="P15" i="6"/>
  <c r="O17" i="6"/>
  <c r="Q17" i="6"/>
  <c r="Q18" i="6"/>
  <c r="P23" i="6"/>
  <c r="P25" i="6"/>
  <c r="Q26" i="6"/>
  <c r="P28" i="6"/>
  <c r="Q30" i="6"/>
  <c r="P32" i="6"/>
  <c r="Q34" i="6"/>
  <c r="P36" i="6"/>
  <c r="K39" i="6"/>
  <c r="O15" i="6"/>
  <c r="Q15" i="6"/>
  <c r="Q16" i="6"/>
  <c r="P21" i="6"/>
  <c r="O23" i="6"/>
  <c r="Q23" i="6"/>
  <c r="Q24" i="6"/>
  <c r="Q27" i="6"/>
  <c r="P29" i="6"/>
  <c r="Q31" i="6"/>
  <c r="P33" i="6"/>
  <c r="Q35" i="6"/>
  <c r="C39" i="6"/>
  <c r="G39" i="6"/>
  <c r="Q8" i="6"/>
  <c r="P13" i="6"/>
  <c r="D39" i="6"/>
  <c r="H39" i="6"/>
  <c r="L39" i="6"/>
  <c r="P11" i="6"/>
  <c r="O13" i="6"/>
  <c r="Q13" i="6"/>
  <c r="Q14" i="6"/>
  <c r="P19" i="6"/>
  <c r="O21" i="6"/>
  <c r="Q21" i="6"/>
  <c r="Q22" i="6"/>
  <c r="Q28" i="6"/>
  <c r="P30" i="6"/>
  <c r="Q32" i="6"/>
  <c r="P34" i="6"/>
  <c r="Q36" i="6"/>
  <c r="P8" i="6"/>
  <c r="P10" i="6"/>
  <c r="P12" i="6"/>
  <c r="P14" i="6"/>
  <c r="P16" i="6"/>
  <c r="P18" i="6"/>
  <c r="P20" i="6"/>
  <c r="P22" i="6"/>
  <c r="P24" i="6"/>
  <c r="E39" i="6"/>
  <c r="E38" i="6"/>
  <c r="E37" i="6"/>
  <c r="I39" i="6"/>
  <c r="I37" i="6"/>
  <c r="I38" i="6"/>
  <c r="M38" i="6"/>
  <c r="M37" i="6"/>
  <c r="M39" i="6"/>
  <c r="O8" i="6"/>
  <c r="O10" i="6"/>
  <c r="O12" i="6"/>
  <c r="O14" i="6"/>
  <c r="O16" i="6"/>
  <c r="O18" i="6"/>
  <c r="O20" i="6"/>
  <c r="O22" i="6"/>
  <c r="O24" i="6"/>
  <c r="P26" i="6"/>
  <c r="F37" i="6"/>
  <c r="J37" i="6"/>
  <c r="N37" i="6"/>
  <c r="F38" i="6"/>
  <c r="J38" i="6"/>
  <c r="N38" i="6"/>
  <c r="O26" i="6"/>
  <c r="O27" i="6"/>
  <c r="O35" i="6"/>
  <c r="K37" i="6"/>
  <c r="O25" i="6"/>
  <c r="O28" i="6"/>
  <c r="O29" i="6"/>
  <c r="O30" i="6"/>
  <c r="O31" i="6"/>
  <c r="O32" i="6"/>
  <c r="O33" i="6"/>
  <c r="O34" i="6"/>
  <c r="O36" i="6"/>
  <c r="C37" i="6"/>
  <c r="G37" i="6"/>
  <c r="C38" i="6"/>
  <c r="G38" i="6"/>
  <c r="K38" i="6"/>
  <c r="D37" i="6"/>
  <c r="H37" i="6"/>
  <c r="L37" i="6"/>
  <c r="D38" i="6"/>
  <c r="H38" i="6"/>
  <c r="L38" i="6"/>
  <c r="Q38" i="6" l="1"/>
  <c r="P37" i="6"/>
  <c r="Q37" i="6"/>
  <c r="P38" i="6"/>
  <c r="P39" i="6"/>
  <c r="Q39" i="6"/>
  <c r="O38" i="6"/>
  <c r="O37" i="6"/>
  <c r="O39" i="6"/>
  <c r="N37" i="5" l="1"/>
  <c r="M37" i="5"/>
  <c r="L37" i="5"/>
  <c r="K37" i="5"/>
  <c r="J37" i="5"/>
  <c r="I37" i="5"/>
  <c r="H37" i="5"/>
  <c r="G37" i="5"/>
  <c r="F37" i="5"/>
  <c r="E37" i="5"/>
  <c r="D37" i="5"/>
  <c r="C37" i="5"/>
  <c r="B37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N8" i="5"/>
  <c r="M8" i="5"/>
  <c r="L8" i="5"/>
  <c r="K8" i="5"/>
  <c r="J8" i="5"/>
  <c r="I8" i="5"/>
  <c r="H8" i="5"/>
  <c r="G8" i="5"/>
  <c r="F8" i="5"/>
  <c r="E8" i="5"/>
  <c r="D8" i="5"/>
  <c r="C8" i="5"/>
  <c r="B8" i="5"/>
  <c r="N7" i="5"/>
  <c r="M7" i="5"/>
  <c r="L7" i="5"/>
  <c r="K7" i="5"/>
  <c r="J7" i="5"/>
  <c r="I7" i="5"/>
  <c r="H7" i="5"/>
  <c r="G7" i="5"/>
  <c r="F7" i="5"/>
  <c r="E7" i="5"/>
  <c r="D7" i="5"/>
  <c r="C7" i="5"/>
  <c r="B7" i="5"/>
  <c r="O50" i="5"/>
  <c r="C50" i="5"/>
  <c r="O49" i="5"/>
  <c r="C49" i="5"/>
  <c r="O43" i="5"/>
  <c r="C43" i="5"/>
  <c r="C42" i="5"/>
  <c r="N5" i="5"/>
  <c r="E40" i="5" l="1"/>
  <c r="I40" i="5"/>
  <c r="M40" i="5"/>
  <c r="Q10" i="5"/>
  <c r="Q14" i="5"/>
  <c r="Q18" i="5"/>
  <c r="Q22" i="5"/>
  <c r="Q26" i="5"/>
  <c r="Q30" i="5"/>
  <c r="Q34" i="5"/>
  <c r="Q7" i="5"/>
  <c r="N39" i="5"/>
  <c r="Q11" i="5"/>
  <c r="Q15" i="5"/>
  <c r="Q19" i="5"/>
  <c r="Q23" i="5"/>
  <c r="Q27" i="5"/>
  <c r="Q31" i="5"/>
  <c r="Q35" i="5"/>
  <c r="C40" i="5"/>
  <c r="G40" i="5"/>
  <c r="K40" i="5"/>
  <c r="Q8" i="5"/>
  <c r="Q12" i="5"/>
  <c r="Q16" i="5"/>
  <c r="Q20" i="5"/>
  <c r="Q24" i="5"/>
  <c r="Q28" i="5"/>
  <c r="Q32" i="5"/>
  <c r="Q36" i="5"/>
  <c r="F39" i="5"/>
  <c r="J40" i="5"/>
  <c r="D40" i="5"/>
  <c r="H40" i="5"/>
  <c r="L40" i="5"/>
  <c r="Q9" i="5"/>
  <c r="Q13" i="5"/>
  <c r="Q17" i="5"/>
  <c r="Q21" i="5"/>
  <c r="Q25" i="5"/>
  <c r="Q29" i="5"/>
  <c r="Q33" i="5"/>
  <c r="Q37" i="5"/>
  <c r="B38" i="5"/>
  <c r="J38" i="5"/>
  <c r="B39" i="5"/>
  <c r="J39" i="5"/>
  <c r="B40" i="5"/>
  <c r="F40" i="5"/>
  <c r="N40" i="5"/>
  <c r="O7" i="5"/>
  <c r="O17" i="5"/>
  <c r="O21" i="5"/>
  <c r="O22" i="5"/>
  <c r="O24" i="5"/>
  <c r="O28" i="5"/>
  <c r="O29" i="5"/>
  <c r="O30" i="5"/>
  <c r="O33" i="5"/>
  <c r="O34" i="5"/>
  <c r="O35" i="5"/>
  <c r="O36" i="5"/>
  <c r="O37" i="5"/>
  <c r="C38" i="5"/>
  <c r="G38" i="5"/>
  <c r="K38" i="5"/>
  <c r="C39" i="5"/>
  <c r="G39" i="5"/>
  <c r="K39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D38" i="5"/>
  <c r="H38" i="5"/>
  <c r="L38" i="5"/>
  <c r="D39" i="5"/>
  <c r="H39" i="5"/>
  <c r="L39" i="5"/>
  <c r="F38" i="5"/>
  <c r="N38" i="5"/>
  <c r="O8" i="5"/>
  <c r="O9" i="5"/>
  <c r="O10" i="5"/>
  <c r="O11" i="5"/>
  <c r="O12" i="5"/>
  <c r="O13" i="5"/>
  <c r="O14" i="5"/>
  <c r="O15" i="5"/>
  <c r="O16" i="5"/>
  <c r="O18" i="5"/>
  <c r="O19" i="5"/>
  <c r="O20" i="5"/>
  <c r="O23" i="5"/>
  <c r="O25" i="5"/>
  <c r="O26" i="5"/>
  <c r="O27" i="5"/>
  <c r="O31" i="5"/>
  <c r="O32" i="5"/>
  <c r="E38" i="5"/>
  <c r="I38" i="5"/>
  <c r="M38" i="5"/>
  <c r="E39" i="5"/>
  <c r="I39" i="5"/>
  <c r="M39" i="5"/>
  <c r="O50" i="4"/>
  <c r="C50" i="4"/>
  <c r="O49" i="4"/>
  <c r="C49" i="4"/>
  <c r="C44" i="4"/>
  <c r="O43" i="4"/>
  <c r="C43" i="4"/>
  <c r="C42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M7" i="4"/>
  <c r="L7" i="4"/>
  <c r="K7" i="4"/>
  <c r="J7" i="4"/>
  <c r="I7" i="4"/>
  <c r="H7" i="4"/>
  <c r="G7" i="4"/>
  <c r="F7" i="4"/>
  <c r="E7" i="4"/>
  <c r="D7" i="4"/>
  <c r="C7" i="4"/>
  <c r="B7" i="4"/>
  <c r="N5" i="4"/>
  <c r="C3" i="4"/>
  <c r="G1" i="4"/>
  <c r="F39" i="4" l="1"/>
  <c r="N39" i="4"/>
  <c r="Q15" i="4"/>
  <c r="Q23" i="4"/>
  <c r="J39" i="4"/>
  <c r="O14" i="4"/>
  <c r="O18" i="4"/>
  <c r="O22" i="4"/>
  <c r="Q27" i="4"/>
  <c r="C39" i="4"/>
  <c r="G39" i="4"/>
  <c r="K39" i="4"/>
  <c r="O19" i="4"/>
  <c r="Q20" i="4"/>
  <c r="O32" i="4"/>
  <c r="Q34" i="4"/>
  <c r="O36" i="4"/>
  <c r="E39" i="4"/>
  <c r="I39" i="4"/>
  <c r="M39" i="4"/>
  <c r="O13" i="4"/>
  <c r="Q26" i="4"/>
  <c r="Q28" i="4"/>
  <c r="O30" i="4"/>
  <c r="Q32" i="4"/>
  <c r="O34" i="4"/>
  <c r="Q36" i="4"/>
  <c r="Q39" i="5"/>
  <c r="Q40" i="5"/>
  <c r="Q38" i="5"/>
  <c r="O40" i="5"/>
  <c r="O39" i="5"/>
  <c r="O38" i="5"/>
  <c r="P40" i="5"/>
  <c r="P39" i="5"/>
  <c r="P38" i="5"/>
  <c r="D39" i="4"/>
  <c r="H39" i="4"/>
  <c r="L39" i="4"/>
  <c r="Q9" i="4"/>
  <c r="O12" i="4"/>
  <c r="Q13" i="4"/>
  <c r="O16" i="4"/>
  <c r="Q17" i="4"/>
  <c r="O20" i="4"/>
  <c r="Q21" i="4"/>
  <c r="Q25" i="4"/>
  <c r="P27" i="4"/>
  <c r="O29" i="4"/>
  <c r="Q31" i="4"/>
  <c r="O33" i="4"/>
  <c r="Q35" i="4"/>
  <c r="Q10" i="4"/>
  <c r="Q14" i="4"/>
  <c r="O17" i="4"/>
  <c r="Q18" i="4"/>
  <c r="O21" i="4"/>
  <c r="Q22" i="4"/>
  <c r="P24" i="4"/>
  <c r="Q7" i="4"/>
  <c r="B39" i="4"/>
  <c r="Q11" i="4"/>
  <c r="Q19" i="4"/>
  <c r="P25" i="4"/>
  <c r="Q29" i="4"/>
  <c r="O31" i="4"/>
  <c r="Q33" i="4"/>
  <c r="O35" i="4"/>
  <c r="Q8" i="4"/>
  <c r="Q12" i="4"/>
  <c r="O15" i="4"/>
  <c r="Q16" i="4"/>
  <c r="Q24" i="4"/>
  <c r="P26" i="4"/>
  <c r="O28" i="4"/>
  <c r="Q30" i="4"/>
  <c r="B37" i="4"/>
  <c r="F37" i="4"/>
  <c r="J37" i="4"/>
  <c r="N37" i="4"/>
  <c r="B38" i="4"/>
  <c r="F38" i="4"/>
  <c r="J38" i="4"/>
  <c r="N38" i="4"/>
  <c r="O7" i="4"/>
  <c r="O8" i="4"/>
  <c r="O23" i="4"/>
  <c r="O24" i="4"/>
  <c r="O25" i="4"/>
  <c r="O26" i="4"/>
  <c r="O27" i="4"/>
  <c r="C37" i="4"/>
  <c r="G37" i="4"/>
  <c r="K37" i="4"/>
  <c r="C38" i="4"/>
  <c r="G38" i="4"/>
  <c r="K38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8" i="4"/>
  <c r="P29" i="4"/>
  <c r="P30" i="4"/>
  <c r="P31" i="4"/>
  <c r="P32" i="4"/>
  <c r="P33" i="4"/>
  <c r="P34" i="4"/>
  <c r="P35" i="4"/>
  <c r="P36" i="4"/>
  <c r="D37" i="4"/>
  <c r="H37" i="4"/>
  <c r="L37" i="4"/>
  <c r="D38" i="4"/>
  <c r="H38" i="4"/>
  <c r="L38" i="4"/>
  <c r="O9" i="4"/>
  <c r="O10" i="4"/>
  <c r="O11" i="4"/>
  <c r="E37" i="4"/>
  <c r="I37" i="4"/>
  <c r="M37" i="4"/>
  <c r="E38" i="4"/>
  <c r="I38" i="4"/>
  <c r="M38" i="4"/>
  <c r="Q39" i="4" l="1"/>
  <c r="Q37" i="4"/>
  <c r="Q38" i="4"/>
  <c r="P39" i="4"/>
  <c r="P38" i="4"/>
  <c r="P37" i="4"/>
  <c r="O39" i="4"/>
  <c r="O38" i="4"/>
  <c r="O37" i="4"/>
  <c r="O51" i="3" l="1"/>
  <c r="C51" i="3"/>
  <c r="O50" i="3"/>
  <c r="C50" i="3"/>
  <c r="C45" i="3"/>
  <c r="O44" i="3"/>
  <c r="C44" i="3"/>
  <c r="C43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N8" i="3"/>
  <c r="M8" i="3"/>
  <c r="L8" i="3"/>
  <c r="K8" i="3"/>
  <c r="J8" i="3"/>
  <c r="I8" i="3"/>
  <c r="H8" i="3"/>
  <c r="G8" i="3"/>
  <c r="F8" i="3"/>
  <c r="E8" i="3"/>
  <c r="D8" i="3"/>
  <c r="C8" i="3"/>
  <c r="B8" i="3"/>
  <c r="N7" i="3"/>
  <c r="M7" i="3"/>
  <c r="L7" i="3"/>
  <c r="K7" i="3"/>
  <c r="J7" i="3"/>
  <c r="I7" i="3"/>
  <c r="H7" i="3"/>
  <c r="G7" i="3"/>
  <c r="F7" i="3"/>
  <c r="E7" i="3"/>
  <c r="D7" i="3"/>
  <c r="C7" i="3"/>
  <c r="B7" i="3"/>
  <c r="N5" i="3"/>
  <c r="C3" i="3"/>
  <c r="G1" i="3"/>
  <c r="F39" i="3" l="1"/>
  <c r="N40" i="3"/>
  <c r="Q11" i="3"/>
  <c r="Q15" i="3"/>
  <c r="Q19" i="3"/>
  <c r="Q27" i="3"/>
  <c r="Q35" i="3"/>
  <c r="Q7" i="3"/>
  <c r="J40" i="3"/>
  <c r="Q23" i="3"/>
  <c r="Q31" i="3"/>
  <c r="C40" i="3"/>
  <c r="Q8" i="3"/>
  <c r="Q16" i="3"/>
  <c r="Q32" i="3"/>
  <c r="D40" i="3"/>
  <c r="L40" i="3"/>
  <c r="Q9" i="3"/>
  <c r="Q13" i="3"/>
  <c r="Q17" i="3"/>
  <c r="Q21" i="3"/>
  <c r="Q25" i="3"/>
  <c r="Q29" i="3"/>
  <c r="Q33" i="3"/>
  <c r="Q37" i="3"/>
  <c r="E40" i="3"/>
  <c r="I40" i="3"/>
  <c r="M40" i="3"/>
  <c r="Q10" i="3"/>
  <c r="Q14" i="3"/>
  <c r="Q18" i="3"/>
  <c r="Q22" i="3"/>
  <c r="Q26" i="3"/>
  <c r="Q30" i="3"/>
  <c r="Q34" i="3"/>
  <c r="K40" i="3"/>
  <c r="Q12" i="3"/>
  <c r="Q20" i="3"/>
  <c r="Q24" i="3"/>
  <c r="Q28" i="3"/>
  <c r="Q36" i="3"/>
  <c r="G40" i="3"/>
  <c r="H40" i="3"/>
  <c r="N38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C38" i="3"/>
  <c r="G38" i="3"/>
  <c r="K38" i="3"/>
  <c r="C39" i="3"/>
  <c r="G39" i="3"/>
  <c r="K39" i="3"/>
  <c r="B38" i="3"/>
  <c r="J38" i="3"/>
  <c r="B39" i="3"/>
  <c r="J39" i="3"/>
  <c r="N39" i="3"/>
  <c r="F40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D38" i="3"/>
  <c r="H38" i="3"/>
  <c r="L38" i="3"/>
  <c r="D39" i="3"/>
  <c r="H39" i="3"/>
  <c r="L39" i="3"/>
  <c r="F38" i="3"/>
  <c r="B40" i="3"/>
  <c r="E38" i="3"/>
  <c r="I38" i="3"/>
  <c r="M38" i="3"/>
  <c r="E39" i="3"/>
  <c r="I39" i="3"/>
  <c r="M39" i="3"/>
  <c r="O51" i="2"/>
  <c r="C51" i="2"/>
  <c r="O50" i="2"/>
  <c r="C50" i="2"/>
  <c r="C45" i="2"/>
  <c r="O44" i="2"/>
  <c r="C44" i="2"/>
  <c r="C43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N8" i="2"/>
  <c r="M8" i="2"/>
  <c r="L8" i="2"/>
  <c r="K8" i="2"/>
  <c r="J8" i="2"/>
  <c r="I8" i="2"/>
  <c r="H8" i="2"/>
  <c r="G8" i="2"/>
  <c r="F8" i="2"/>
  <c r="E8" i="2"/>
  <c r="D8" i="2"/>
  <c r="C8" i="2"/>
  <c r="B8" i="2"/>
  <c r="N7" i="2"/>
  <c r="M7" i="2"/>
  <c r="L7" i="2"/>
  <c r="K7" i="2"/>
  <c r="J7" i="2"/>
  <c r="I7" i="2"/>
  <c r="H7" i="2"/>
  <c r="G7" i="2"/>
  <c r="F7" i="2"/>
  <c r="E7" i="2"/>
  <c r="D7" i="2"/>
  <c r="C7" i="2"/>
  <c r="B7" i="2"/>
  <c r="N5" i="2"/>
  <c r="G1" i="2"/>
  <c r="Q15" i="2" l="1"/>
  <c r="Q7" i="2"/>
  <c r="F39" i="2"/>
  <c r="J38" i="2"/>
  <c r="N40" i="2"/>
  <c r="Q31" i="2"/>
  <c r="Q11" i="2"/>
  <c r="Q19" i="2"/>
  <c r="Q23" i="2"/>
  <c r="Q27" i="2"/>
  <c r="Q40" i="3"/>
  <c r="Q38" i="3"/>
  <c r="Q39" i="3"/>
  <c r="G40" i="2"/>
  <c r="Q8" i="2"/>
  <c r="Q32" i="2"/>
  <c r="H40" i="2"/>
  <c r="Q9" i="2"/>
  <c r="Q13" i="2"/>
  <c r="Q17" i="2"/>
  <c r="Q21" i="2"/>
  <c r="Q25" i="2"/>
  <c r="Q29" i="2"/>
  <c r="Q33" i="2"/>
  <c r="C40" i="2"/>
  <c r="K40" i="2"/>
  <c r="Q12" i="2"/>
  <c r="Q16" i="2"/>
  <c r="Q20" i="2"/>
  <c r="Q24" i="2"/>
  <c r="Q28" i="2"/>
  <c r="D40" i="2"/>
  <c r="L40" i="2"/>
  <c r="E40" i="2"/>
  <c r="I40" i="2"/>
  <c r="M40" i="2"/>
  <c r="Q10" i="2"/>
  <c r="Q14" i="2"/>
  <c r="Q18" i="2"/>
  <c r="Q22" i="2"/>
  <c r="Q26" i="2"/>
  <c r="Q30" i="2"/>
  <c r="Q34" i="2"/>
  <c r="P40" i="3"/>
  <c r="P39" i="3"/>
  <c r="P38" i="3"/>
  <c r="O40" i="3"/>
  <c r="O39" i="3"/>
  <c r="O38" i="3"/>
  <c r="F38" i="2"/>
  <c r="B39" i="2"/>
  <c r="J39" i="2"/>
  <c r="N39" i="2"/>
  <c r="F40" i="2"/>
  <c r="J40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C38" i="2"/>
  <c r="G38" i="2"/>
  <c r="K38" i="2"/>
  <c r="C39" i="2"/>
  <c r="G39" i="2"/>
  <c r="K39" i="2"/>
  <c r="B38" i="2"/>
  <c r="N38" i="2"/>
  <c r="B40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D38" i="2"/>
  <c r="H38" i="2"/>
  <c r="L38" i="2"/>
  <c r="D39" i="2"/>
  <c r="H39" i="2"/>
  <c r="L39" i="2"/>
  <c r="E38" i="2"/>
  <c r="I38" i="2"/>
  <c r="M38" i="2"/>
  <c r="E39" i="2"/>
  <c r="I39" i="2"/>
  <c r="M39" i="2"/>
  <c r="Q38" i="2" l="1"/>
  <c r="Q40" i="2"/>
  <c r="Q39" i="2"/>
  <c r="P40" i="2"/>
  <c r="P39" i="2"/>
  <c r="P38" i="2"/>
  <c r="O40" i="2"/>
  <c r="O39" i="2"/>
  <c r="O38" i="2"/>
  <c r="O51" i="1" l="1"/>
  <c r="C51" i="1"/>
  <c r="O50" i="1"/>
  <c r="C50" i="1"/>
  <c r="C45" i="1"/>
  <c r="O44" i="1"/>
  <c r="C44" i="1"/>
  <c r="C43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N8" i="1"/>
  <c r="M8" i="1"/>
  <c r="L8" i="1"/>
  <c r="K8" i="1"/>
  <c r="J8" i="1"/>
  <c r="I8" i="1"/>
  <c r="H8" i="1"/>
  <c r="G8" i="1"/>
  <c r="F8" i="1"/>
  <c r="E8" i="1"/>
  <c r="D8" i="1"/>
  <c r="C8" i="1"/>
  <c r="B8" i="1"/>
  <c r="N7" i="1"/>
  <c r="M7" i="1"/>
  <c r="L7" i="1"/>
  <c r="K7" i="1"/>
  <c r="J7" i="1"/>
  <c r="I7" i="1"/>
  <c r="H7" i="1"/>
  <c r="G7" i="1"/>
  <c r="F7" i="1"/>
  <c r="E7" i="1"/>
  <c r="D7" i="1"/>
  <c r="C7" i="1"/>
  <c r="B7" i="1"/>
  <c r="N5" i="1"/>
  <c r="C3" i="1"/>
  <c r="G1" i="1"/>
  <c r="I40" i="1" l="1"/>
  <c r="M40" i="1"/>
  <c r="Q10" i="1"/>
  <c r="Q14" i="1"/>
  <c r="Q22" i="1"/>
  <c r="Q30" i="1"/>
  <c r="Q34" i="1"/>
  <c r="E40" i="1"/>
  <c r="Q26" i="1"/>
  <c r="Q18" i="1"/>
  <c r="Q31" i="1"/>
  <c r="K40" i="1"/>
  <c r="Q12" i="1"/>
  <c r="Q16" i="1"/>
  <c r="Q20" i="1"/>
  <c r="Q24" i="1"/>
  <c r="Q7" i="1"/>
  <c r="F40" i="1"/>
  <c r="J40" i="1"/>
  <c r="N40" i="1"/>
  <c r="Q11" i="1"/>
  <c r="Q15" i="1"/>
  <c r="Q19" i="1"/>
  <c r="Q23" i="1"/>
  <c r="Q27" i="1"/>
  <c r="Q35" i="1"/>
  <c r="C40" i="1"/>
  <c r="G40" i="1"/>
  <c r="Q8" i="1"/>
  <c r="Q28" i="1"/>
  <c r="Q32" i="1"/>
  <c r="Q36" i="1"/>
  <c r="D40" i="1"/>
  <c r="H40" i="1"/>
  <c r="L40" i="1"/>
  <c r="Q9" i="1"/>
  <c r="Q13" i="1"/>
  <c r="Q17" i="1"/>
  <c r="Q21" i="1"/>
  <c r="Q25" i="1"/>
  <c r="Q29" i="1"/>
  <c r="Q33" i="1"/>
  <c r="Q37" i="1"/>
  <c r="B38" i="1"/>
  <c r="F38" i="1"/>
  <c r="N38" i="1"/>
  <c r="F39" i="1"/>
  <c r="N39" i="1"/>
  <c r="O8" i="1"/>
  <c r="O13" i="1"/>
  <c r="O19" i="1"/>
  <c r="O20" i="1"/>
  <c r="O31" i="1"/>
  <c r="O34" i="1"/>
  <c r="O35" i="1"/>
  <c r="O36" i="1"/>
  <c r="O37" i="1"/>
  <c r="C38" i="1"/>
  <c r="G38" i="1"/>
  <c r="K38" i="1"/>
  <c r="C39" i="1"/>
  <c r="G39" i="1"/>
  <c r="K39" i="1"/>
  <c r="O9" i="1"/>
  <c r="O11" i="1"/>
  <c r="O14" i="1"/>
  <c r="O16" i="1"/>
  <c r="O17" i="1"/>
  <c r="O21" i="1"/>
  <c r="O23" i="1"/>
  <c r="O25" i="1"/>
  <c r="O27" i="1"/>
  <c r="O30" i="1"/>
  <c r="O33" i="1"/>
  <c r="P7" i="1"/>
  <c r="P8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D38" i="1"/>
  <c r="H38" i="1"/>
  <c r="L38" i="1"/>
  <c r="D39" i="1"/>
  <c r="H39" i="1"/>
  <c r="L39" i="1"/>
  <c r="J38" i="1"/>
  <c r="B39" i="1"/>
  <c r="J39" i="1"/>
  <c r="B40" i="1"/>
  <c r="O7" i="1"/>
  <c r="O10" i="1"/>
  <c r="O12" i="1"/>
  <c r="O15" i="1"/>
  <c r="O18" i="1"/>
  <c r="O22" i="1"/>
  <c r="O24" i="1"/>
  <c r="O26" i="1"/>
  <c r="O28" i="1"/>
  <c r="O29" i="1"/>
  <c r="O32" i="1"/>
  <c r="P9" i="1"/>
  <c r="P10" i="1"/>
  <c r="P11" i="1"/>
  <c r="E38" i="1"/>
  <c r="I38" i="1"/>
  <c r="M38" i="1"/>
  <c r="E39" i="1"/>
  <c r="I39" i="1"/>
  <c r="M39" i="1"/>
  <c r="Q38" i="1" l="1"/>
  <c r="Q40" i="1"/>
  <c r="Q39" i="1"/>
  <c r="P40" i="1"/>
  <c r="P39" i="1"/>
  <c r="P38" i="1"/>
  <c r="O40" i="1"/>
  <c r="O39" i="1"/>
  <c r="O38" i="1"/>
</calcChain>
</file>

<file path=xl/sharedStrings.xml><?xml version="1.0" encoding="utf-8"?>
<sst xmlns="http://schemas.openxmlformats.org/spreadsheetml/2006/main" count="373" uniqueCount="55">
  <si>
    <t>DATA UNSUR  :</t>
  </si>
  <si>
    <t>Tekanan Udara Perm.Stasiun (QFE)</t>
  </si>
  <si>
    <t>BULAN              :</t>
  </si>
  <si>
    <t>SATUAN            :</t>
  </si>
  <si>
    <t>Milibar</t>
  </si>
  <si>
    <t xml:space="preserve">Pengamat : </t>
  </si>
  <si>
    <t>Tgl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</si>
  <si>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</si>
  <si>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</si>
  <si>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</si>
  <si>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</si>
  <si>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</si>
  <si>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</si>
  <si>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</si>
  <si>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</si>
  <si>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</si>
  <si>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</si>
  <si>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</si>
  <si>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</si>
  <si>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</si>
  <si>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MAX</t>
  </si>
  <si>
    <t>MIN</t>
  </si>
  <si>
    <t>RATA-RATA</t>
  </si>
  <si>
    <t>Max</t>
  </si>
  <si>
    <t>Min</t>
  </si>
  <si>
    <t>Rata-Rata</t>
  </si>
  <si>
    <t>Februari 2022</t>
  </si>
  <si>
    <t>STASIUN KLIMATOLOGI KL. IV D.I YOGYAKARTA</t>
  </si>
  <si>
    <t>Mei 2022</t>
  </si>
  <si>
    <t>D.I YOGYAKARTA</t>
  </si>
  <si>
    <t>Juni 2022</t>
  </si>
  <si>
    <t>STASIUN KLIMATOLOGI KELAS IV D.I YOGYAKARTA</t>
  </si>
  <si>
    <t>JULI 2022</t>
  </si>
  <si>
    <t>BADAN  METEOROLOGI, KLIMATOLOGI  DAN  GEOFISIKA</t>
  </si>
  <si>
    <t>STASIUN  KLIMATOLOGI  KELAS IV D.I. YOGYAKARTA</t>
  </si>
  <si>
    <t>jl. Kabupaten KM 5.5 Duwet Sendangadi Mlati Sleman  telp. (0274) 2880152</t>
  </si>
  <si>
    <t>email : staklim.yogya@gmail.com</t>
  </si>
  <si>
    <t>BULAN  : AGUSTUS 2022</t>
  </si>
  <si>
    <t>Lintang</t>
  </si>
  <si>
    <t>: 7° 43' 52.23" LS</t>
  </si>
  <si>
    <t>Bujur</t>
  </si>
  <si>
    <t>: 110° 21' 13.27" BT</t>
  </si>
  <si>
    <t>Elevasi</t>
  </si>
  <si>
    <t>: 182 meter</t>
  </si>
  <si>
    <t>Satuan</t>
  </si>
  <si>
    <t>: Milibar</t>
  </si>
  <si>
    <t>No. Sta. Hujan</t>
  </si>
  <si>
    <t>:  96851</t>
  </si>
  <si>
    <t>DATA TEKANAN UDARA PERMUKAAN STASIUN ( QFE )</t>
  </si>
  <si>
    <t>BULAN  : SEPTEMBER 2022</t>
  </si>
  <si>
    <t>BULAN  : OKTOBER 2022</t>
  </si>
  <si>
    <t>BULAN  : DESEMBER 2022</t>
  </si>
  <si>
    <t>BULAN  : NOVEMBER 2022</t>
  </si>
  <si>
    <t>Yogyakarta, 04 November 2022</t>
  </si>
  <si>
    <t>STASIUN  KLIMATOLOGI  KELAS IV D.I 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</si>
</sst>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double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1" fillId="0" borderId="0" xfId="1"/>
    <xf numFmtId="0" fontId="2" fillId="0" borderId="0" xfId="1" quotePrefix="1" applyFont="1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49" fontId="2" fillId="0" borderId="0" xfId="1" applyNumberFormat="1" applyFont="1"/>
    <xf numFmtId="0" fontId="1" fillId="0" borderId="0" xfId="1" applyAlignment="1">
      <alignment horizontal="center"/>
    </xf>
    <xf numFmtId="0" fontId="2" fillId="0" borderId="1" xfId="1" applyFont="1" applyBorder="1"/>
    <xf numFmtId="49" fontId="2" fillId="0" borderId="1" xfId="1" applyNumberFormat="1" applyFont="1" applyBorder="1"/>
    <xf numFmtId="0" fontId="2" fillId="0" borderId="2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1" fillId="0" borderId="0" xfId="1" applyNumberFormat="1"/>
    <xf numFmtId="0" fontId="2" fillId="0" borderId="7" xfId="1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164" fontId="2" fillId="0" borderId="10" xfId="1" applyNumberFormat="1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164" fontId="2" fillId="0" borderId="14" xfId="1" applyNumberFormat="1" applyFont="1" applyBorder="1" applyAlignment="1">
      <alignment horizontal="center" vertical="center"/>
    </xf>
    <xf numFmtId="164" fontId="2" fillId="0" borderId="15" xfId="1" applyNumberFormat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164" fontId="2" fillId="0" borderId="17" xfId="1" applyNumberFormat="1" applyFont="1" applyBorder="1" applyAlignment="1">
      <alignment horizontal="center" vertical="center"/>
    </xf>
    <xf numFmtId="164" fontId="2" fillId="0" borderId="18" xfId="1" applyNumberFormat="1" applyFont="1" applyBorder="1" applyAlignment="1">
      <alignment horizontal="center" vertical="center"/>
    </xf>
    <xf numFmtId="164" fontId="2" fillId="0" borderId="19" xfId="1" applyNumberFormat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164" fontId="2" fillId="0" borderId="21" xfId="1" applyNumberFormat="1" applyFont="1" applyBorder="1" applyAlignment="1">
      <alignment horizontal="center" vertical="center"/>
    </xf>
    <xf numFmtId="164" fontId="2" fillId="0" borderId="22" xfId="1" applyNumberFormat="1" applyFont="1" applyBorder="1" applyAlignment="1">
      <alignment horizontal="center" vertical="center"/>
    </xf>
    <xf numFmtId="164" fontId="2" fillId="0" borderId="23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5" fillId="0" borderId="0" xfId="1" applyFont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/>
    </xf>
    <xf numFmtId="164" fontId="2" fillId="2" borderId="8" xfId="1" applyNumberFormat="1" applyFont="1" applyFill="1" applyBorder="1" applyAlignment="1">
      <alignment horizontal="center" vertical="center"/>
    </xf>
    <xf numFmtId="0" fontId="3" fillId="0" borderId="0" xfId="1" applyFont="1"/>
    <xf numFmtId="164" fontId="2" fillId="0" borderId="24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3" borderId="0" xfId="0" applyFont="1" applyFill="1"/>
    <xf numFmtId="0" fontId="12" fillId="3" borderId="0" xfId="0" quotePrefix="1" applyFont="1" applyFill="1"/>
    <xf numFmtId="0" fontId="12" fillId="0" borderId="0" xfId="1" applyFont="1"/>
    <xf numFmtId="0" fontId="13" fillId="0" borderId="0" xfId="0" applyFont="1"/>
    <xf numFmtId="0" fontId="12" fillId="0" borderId="0" xfId="1" applyFont="1" applyAlignment="1">
      <alignment horizontal="left"/>
    </xf>
    <xf numFmtId="0" fontId="12" fillId="0" borderId="0" xfId="1" quotePrefix="1" applyFont="1"/>
    <xf numFmtId="0" fontId="12" fillId="3" borderId="0" xfId="0" applyFont="1" applyFill="1" applyAlignment="1">
      <alignment horizontal="right"/>
    </xf>
    <xf numFmtId="0" fontId="12" fillId="3" borderId="0" xfId="0" quotePrefix="1" applyFont="1" applyFill="1" applyAlignment="1">
      <alignment horizontal="right"/>
    </xf>
    <xf numFmtId="0" fontId="12" fillId="0" borderId="2" xfId="1" applyFont="1" applyBorder="1" applyAlignment="1">
      <alignment horizontal="center" vertical="center"/>
    </xf>
    <xf numFmtId="49" fontId="12" fillId="0" borderId="3" xfId="1" applyNumberFormat="1" applyFont="1" applyBorder="1" applyAlignment="1">
      <alignment horizontal="center" vertical="center"/>
    </xf>
    <xf numFmtId="49" fontId="12" fillId="0" borderId="4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2" fillId="0" borderId="6" xfId="1" applyNumberFormat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164" fontId="12" fillId="0" borderId="8" xfId="1" applyNumberFormat="1" applyFont="1" applyBorder="1" applyAlignment="1">
      <alignment horizontal="center" vertical="center"/>
    </xf>
    <xf numFmtId="164" fontId="14" fillId="0" borderId="9" xfId="1" applyNumberFormat="1" applyFont="1" applyBorder="1" applyAlignment="1">
      <alignment horizontal="center" vertical="center"/>
    </xf>
    <xf numFmtId="164" fontId="14" fillId="0" borderId="10" xfId="1" applyNumberFormat="1" applyFont="1" applyBorder="1" applyAlignment="1">
      <alignment horizontal="center" vertical="center"/>
    </xf>
    <xf numFmtId="164" fontId="14" fillId="0" borderId="11" xfId="1" applyNumberFormat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164" fontId="14" fillId="0" borderId="14" xfId="1" applyNumberFormat="1" applyFont="1" applyBorder="1" applyAlignment="1">
      <alignment horizontal="center" vertical="center"/>
    </xf>
    <xf numFmtId="164" fontId="14" fillId="0" borderId="15" xfId="1" applyNumberFormat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164" fontId="14" fillId="0" borderId="17" xfId="1" applyNumberFormat="1" applyFont="1" applyBorder="1" applyAlignment="1">
      <alignment horizontal="center" vertical="center"/>
    </xf>
    <xf numFmtId="164" fontId="14" fillId="0" borderId="18" xfId="1" applyNumberFormat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164" fontId="14" fillId="0" borderId="21" xfId="1" applyNumberFormat="1" applyFont="1" applyBorder="1" applyAlignment="1">
      <alignment horizontal="center" vertical="center"/>
    </xf>
    <xf numFmtId="164" fontId="14" fillId="0" borderId="22" xfId="1" applyNumberFormat="1" applyFont="1" applyBorder="1" applyAlignment="1">
      <alignment horizontal="center" vertical="center"/>
    </xf>
    <xf numFmtId="0" fontId="15" fillId="0" borderId="0" xfId="1" applyFont="1"/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164" fontId="12" fillId="0" borderId="26" xfId="1" applyNumberFormat="1" applyFont="1" applyBorder="1" applyAlignment="1">
      <alignment horizontal="center" vertical="center"/>
    </xf>
    <xf numFmtId="164" fontId="12" fillId="0" borderId="27" xfId="1" applyNumberFormat="1" applyFont="1" applyBorder="1" applyAlignment="1">
      <alignment horizontal="center" vertical="center"/>
    </xf>
    <xf numFmtId="164" fontId="12" fillId="0" borderId="28" xfId="1" applyNumberFormat="1" applyFont="1" applyBorder="1" applyAlignment="1">
      <alignment horizontal="center" vertical="center"/>
    </xf>
    <xf numFmtId="164" fontId="12" fillId="0" borderId="29" xfId="1" applyNumberFormat="1" applyFont="1" applyBorder="1" applyAlignment="1">
      <alignment horizontal="center" vertical="center"/>
    </xf>
    <xf numFmtId="164" fontId="12" fillId="0" borderId="30" xfId="1" applyNumberFormat="1" applyFont="1" applyBorder="1" applyAlignment="1">
      <alignment horizontal="center" vertical="center"/>
    </xf>
    <xf numFmtId="164" fontId="12" fillId="0" borderId="31" xfId="1" applyNumberFormat="1" applyFont="1" applyBorder="1" applyAlignment="1">
      <alignment horizontal="center" vertical="center"/>
    </xf>
    <xf numFmtId="49" fontId="12" fillId="4" borderId="5" xfId="1" applyNumberFormat="1" applyFont="1" applyFill="1" applyBorder="1" applyAlignment="1">
      <alignment horizontal="center" vertical="center"/>
    </xf>
    <xf numFmtId="49" fontId="12" fillId="4" borderId="4" xfId="1" applyNumberFormat="1" applyFont="1" applyFill="1" applyBorder="1" applyAlignment="1">
      <alignment horizontal="center" vertical="center"/>
    </xf>
    <xf numFmtId="49" fontId="12" fillId="4" borderId="6" xfId="1" applyNumberFormat="1" applyFont="1" applyFill="1" applyBorder="1" applyAlignment="1">
      <alignment horizontal="center" vertical="center"/>
    </xf>
    <xf numFmtId="164" fontId="14" fillId="4" borderId="9" xfId="1" applyNumberFormat="1" applyFont="1" applyFill="1" applyBorder="1" applyAlignment="1">
      <alignment horizontal="center" vertical="center"/>
    </xf>
    <xf numFmtId="164" fontId="14" fillId="4" borderId="10" xfId="1" applyNumberFormat="1" applyFont="1" applyFill="1" applyBorder="1" applyAlignment="1">
      <alignment horizontal="center" vertical="center"/>
    </xf>
    <xf numFmtId="164" fontId="14" fillId="4" borderId="11" xfId="1" applyNumberFormat="1" applyFont="1" applyFill="1" applyBorder="1" applyAlignment="1">
      <alignment horizontal="center" vertical="center"/>
    </xf>
    <xf numFmtId="164" fontId="14" fillId="4" borderId="15" xfId="1" applyNumberFormat="1" applyFont="1" applyFill="1" applyBorder="1" applyAlignment="1">
      <alignment horizontal="center" vertical="center"/>
    </xf>
    <xf numFmtId="164" fontId="14" fillId="4" borderId="18" xfId="1" applyNumberFormat="1" applyFont="1" applyFill="1" applyBorder="1" applyAlignment="1">
      <alignment horizontal="center" vertical="center"/>
    </xf>
    <xf numFmtId="164" fontId="14" fillId="4" borderId="22" xfId="1" applyNumberFormat="1" applyFont="1" applyFill="1" applyBorder="1" applyAlignment="1">
      <alignment horizontal="center" vertical="center"/>
    </xf>
    <xf numFmtId="0" fontId="14" fillId="4" borderId="13" xfId="1" applyFont="1" applyFill="1" applyBorder="1" applyAlignment="1">
      <alignment horizontal="center" vertical="center"/>
    </xf>
    <xf numFmtId="164" fontId="14" fillId="4" borderId="14" xfId="1" applyNumberFormat="1" applyFont="1" applyFill="1" applyBorder="1" applyAlignment="1">
      <alignment horizontal="center" vertical="center"/>
    </xf>
    <xf numFmtId="0" fontId="14" fillId="4" borderId="12" xfId="1" applyFont="1" applyFill="1" applyBorder="1" applyAlignment="1">
      <alignment horizontal="center" vertical="center"/>
    </xf>
    <xf numFmtId="164" fontId="14" fillId="4" borderId="17" xfId="1" applyNumberFormat="1" applyFont="1" applyFill="1" applyBorder="1" applyAlignment="1">
      <alignment horizontal="center" vertical="center"/>
    </xf>
    <xf numFmtId="0" fontId="14" fillId="4" borderId="20" xfId="1" applyFont="1" applyFill="1" applyBorder="1" applyAlignment="1">
      <alignment horizontal="center" vertical="center"/>
    </xf>
    <xf numFmtId="164" fontId="14" fillId="4" borderId="2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2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50452</xdr:colOff>
      <xdr:row>0</xdr:row>
      <xdr:rowOff>36322</xdr:rowOff>
    </xdr:from>
    <xdr:to>
      <xdr:col>2</xdr:col>
      <xdr:colOff>719223</xdr:colOff>
      <xdr:row>3</xdr:row>
      <xdr:rowOff>143713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5877" y="36322"/>
          <a:ext cx="668771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50452</xdr:colOff>
      <xdr:row>0</xdr:row>
      <xdr:rowOff>36322</xdr:rowOff>
    </xdr:from>
    <xdr:to>
      <xdr:col>2</xdr:col>
      <xdr:colOff>719223</xdr:colOff>
      <xdr:row>3</xdr:row>
      <xdr:rowOff>143713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5877" y="36322"/>
          <a:ext cx="668771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50452</xdr:colOff>
      <xdr:row>0</xdr:row>
      <xdr:rowOff>36322</xdr:rowOff>
    </xdr:from>
    <xdr:to>
      <xdr:col>2</xdr:col>
      <xdr:colOff>719223</xdr:colOff>
      <xdr:row>3</xdr:row>
      <xdr:rowOff>143713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1A6E5A4-3D14-4484-BF97-28D72616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5877" y="36322"/>
          <a:ext cx="668771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50452</xdr:colOff>
      <xdr:row>0</xdr:row>
      <xdr:rowOff>36322</xdr:rowOff>
    </xdr:from>
    <xdr:to>
      <xdr:col>2</xdr:col>
      <xdr:colOff>719223</xdr:colOff>
      <xdr:row>3</xdr:row>
      <xdr:rowOff>143713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34639157-4ECF-4AC3-AD61-227D49531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5877" y="36322"/>
          <a:ext cx="668771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50452</xdr:colOff>
      <xdr:row>0</xdr:row>
      <xdr:rowOff>36322</xdr:rowOff>
    </xdr:from>
    <xdr:to>
      <xdr:col>2</xdr:col>
      <xdr:colOff>719223</xdr:colOff>
      <xdr:row>3</xdr:row>
      <xdr:rowOff>143713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31712D9E-D7E7-4FBC-8766-64829B07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5877" y="36322"/>
          <a:ext cx="668771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1.JANUAR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2.FEBRUAR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3.MARET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4.%20APRIL%20new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5.MEI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JANUARI</v>
          </cell>
        </row>
        <row r="6">
          <cell r="Z6">
            <v>990.5</v>
          </cell>
        </row>
        <row r="7">
          <cell r="Z7">
            <v>990.7</v>
          </cell>
        </row>
        <row r="8">
          <cell r="Z8">
            <v>990.9</v>
          </cell>
        </row>
        <row r="9">
          <cell r="Z9">
            <v>990.3</v>
          </cell>
        </row>
        <row r="10">
          <cell r="Z10">
            <v>990.1</v>
          </cell>
        </row>
        <row r="11">
          <cell r="Z11">
            <v>989.4</v>
          </cell>
        </row>
        <row r="12">
          <cell r="Z12">
            <v>988.9</v>
          </cell>
        </row>
        <row r="13">
          <cell r="Z13">
            <v>987.7</v>
          </cell>
        </row>
        <row r="14">
          <cell r="Z14">
            <v>987.8</v>
          </cell>
        </row>
        <row r="15">
          <cell r="Z15">
            <v>987.9</v>
          </cell>
        </row>
        <row r="16">
          <cell r="Z16">
            <v>988.1</v>
          </cell>
        </row>
        <row r="17">
          <cell r="Z17">
            <v>988.4</v>
          </cell>
        </row>
        <row r="18">
          <cell r="Z18">
            <v>989.8</v>
          </cell>
        </row>
        <row r="42">
          <cell r="Z42">
            <v>990.3</v>
          </cell>
        </row>
        <row r="43">
          <cell r="Z43">
            <v>990.9</v>
          </cell>
        </row>
        <row r="44">
          <cell r="Z44">
            <v>991.1</v>
          </cell>
        </row>
        <row r="45">
          <cell r="Z45">
            <v>990.4</v>
          </cell>
        </row>
        <row r="46">
          <cell r="Z46">
            <v>990.1</v>
          </cell>
        </row>
        <row r="47">
          <cell r="Z47">
            <v>989.4</v>
          </cell>
        </row>
        <row r="48">
          <cell r="Z48">
            <v>988.7</v>
          </cell>
        </row>
        <row r="49">
          <cell r="Z49">
            <v>988</v>
          </cell>
        </row>
        <row r="50">
          <cell r="Z50">
            <v>987.5</v>
          </cell>
        </row>
        <row r="51">
          <cell r="Z51">
            <v>987.8</v>
          </cell>
        </row>
        <row r="52">
          <cell r="Z52">
            <v>988.4</v>
          </cell>
        </row>
        <row r="53">
          <cell r="Z53">
            <v>989.2</v>
          </cell>
        </row>
        <row r="54">
          <cell r="Z54">
            <v>989.6</v>
          </cell>
        </row>
        <row r="78">
          <cell r="Z78">
            <v>990.9</v>
          </cell>
        </row>
        <row r="79">
          <cell r="Z79">
            <v>991.2</v>
          </cell>
        </row>
        <row r="80">
          <cell r="Z80">
            <v>991.5</v>
          </cell>
        </row>
        <row r="81">
          <cell r="Z81">
            <v>991</v>
          </cell>
        </row>
        <row r="82">
          <cell r="Z82">
            <v>990.3</v>
          </cell>
        </row>
        <row r="83">
          <cell r="Z83">
            <v>989.7</v>
          </cell>
        </row>
        <row r="84">
          <cell r="Z84">
            <v>989.2</v>
          </cell>
        </row>
        <row r="85">
          <cell r="Z85">
            <v>988.67</v>
          </cell>
        </row>
        <row r="86">
          <cell r="Z86">
            <v>988.37</v>
          </cell>
        </row>
        <row r="87">
          <cell r="Z87">
            <v>988.56</v>
          </cell>
        </row>
        <row r="88">
          <cell r="Z88">
            <v>988.87</v>
          </cell>
        </row>
        <row r="89">
          <cell r="Z89">
            <v>989.44</v>
          </cell>
        </row>
        <row r="90">
          <cell r="Z90">
            <v>990.1</v>
          </cell>
        </row>
        <row r="114">
          <cell r="Z114">
            <v>991.67</v>
          </cell>
        </row>
        <row r="115">
          <cell r="Z115">
            <v>992.27</v>
          </cell>
        </row>
        <row r="116">
          <cell r="Z116">
            <v>992.1</v>
          </cell>
        </row>
        <row r="117">
          <cell r="Z117">
            <v>991.82</v>
          </cell>
        </row>
        <row r="118">
          <cell r="Z118">
            <v>991.22</v>
          </cell>
        </row>
        <row r="119">
          <cell r="Z119">
            <v>990.31</v>
          </cell>
        </row>
        <row r="120">
          <cell r="Z120">
            <v>989.49</v>
          </cell>
        </row>
        <row r="121">
          <cell r="Z121">
            <v>989.2</v>
          </cell>
        </row>
        <row r="122">
          <cell r="Z122">
            <v>988.2</v>
          </cell>
        </row>
        <row r="123">
          <cell r="Z123">
            <v>988.4</v>
          </cell>
        </row>
        <row r="124">
          <cell r="Z124">
            <v>988.9</v>
          </cell>
        </row>
        <row r="125">
          <cell r="Z125">
            <v>989.4</v>
          </cell>
        </row>
        <row r="126">
          <cell r="Z126">
            <v>990</v>
          </cell>
        </row>
        <row r="150">
          <cell r="Z150">
            <v>991.8</v>
          </cell>
        </row>
        <row r="151">
          <cell r="Z151">
            <v>992.1</v>
          </cell>
        </row>
        <row r="152">
          <cell r="Z152">
            <v>992</v>
          </cell>
        </row>
        <row r="153">
          <cell r="Z153">
            <v>991.4</v>
          </cell>
        </row>
        <row r="154">
          <cell r="Z154">
            <v>990.8</v>
          </cell>
        </row>
        <row r="155">
          <cell r="Z155">
            <v>990</v>
          </cell>
        </row>
        <row r="156">
          <cell r="Z156">
            <v>989.3</v>
          </cell>
        </row>
        <row r="157">
          <cell r="Z157">
            <v>988.7</v>
          </cell>
        </row>
        <row r="158">
          <cell r="Z158">
            <v>988.5</v>
          </cell>
        </row>
        <row r="159">
          <cell r="Z159">
            <v>988.5</v>
          </cell>
        </row>
        <row r="160">
          <cell r="Z160">
            <v>989</v>
          </cell>
        </row>
        <row r="161">
          <cell r="Z161">
            <v>989.5</v>
          </cell>
        </row>
        <row r="162">
          <cell r="Z162">
            <v>989.9</v>
          </cell>
        </row>
        <row r="186">
          <cell r="Z186">
            <v>991.7</v>
          </cell>
        </row>
        <row r="187">
          <cell r="Z187">
            <v>992</v>
          </cell>
        </row>
        <row r="188">
          <cell r="Z188">
            <v>991.9</v>
          </cell>
        </row>
        <row r="189">
          <cell r="Z189">
            <v>991.1</v>
          </cell>
        </row>
        <row r="190">
          <cell r="Z190">
            <v>990.8</v>
          </cell>
        </row>
        <row r="191">
          <cell r="Z191">
            <v>990.3</v>
          </cell>
        </row>
        <row r="192">
          <cell r="Z192">
            <v>989.8</v>
          </cell>
        </row>
        <row r="193">
          <cell r="Z193">
            <v>989.2</v>
          </cell>
        </row>
        <row r="194">
          <cell r="Z194">
            <v>988.8</v>
          </cell>
        </row>
        <row r="195">
          <cell r="Z195">
            <v>988.4</v>
          </cell>
        </row>
        <row r="196">
          <cell r="Z196">
            <v>989.2</v>
          </cell>
        </row>
        <row r="197">
          <cell r="Z197">
            <v>990</v>
          </cell>
        </row>
        <row r="198">
          <cell r="Z198">
            <v>990.7</v>
          </cell>
        </row>
        <row r="222">
          <cell r="Z222">
            <v>992</v>
          </cell>
        </row>
        <row r="223">
          <cell r="Z223">
            <v>992.1</v>
          </cell>
        </row>
        <row r="224">
          <cell r="Z224">
            <v>992.2</v>
          </cell>
        </row>
        <row r="225">
          <cell r="Z225">
            <v>991.8</v>
          </cell>
        </row>
        <row r="226">
          <cell r="Z226">
            <v>991.3</v>
          </cell>
        </row>
        <row r="227">
          <cell r="Z227">
            <v>990.8</v>
          </cell>
        </row>
        <row r="228">
          <cell r="Z228">
            <v>990.1</v>
          </cell>
        </row>
        <row r="229">
          <cell r="Z229">
            <v>989.4</v>
          </cell>
        </row>
        <row r="230">
          <cell r="Z230">
            <v>989.3</v>
          </cell>
        </row>
        <row r="231">
          <cell r="Z231">
            <v>989.6</v>
          </cell>
        </row>
        <row r="232">
          <cell r="Z232">
            <v>990.4</v>
          </cell>
        </row>
        <row r="233">
          <cell r="Z233">
            <v>991.1</v>
          </cell>
        </row>
        <row r="234">
          <cell r="Z234">
            <v>991.8</v>
          </cell>
        </row>
        <row r="258">
          <cell r="Z258">
            <v>991.3</v>
          </cell>
        </row>
        <row r="259">
          <cell r="Z259">
            <v>991.5</v>
          </cell>
        </row>
        <row r="260">
          <cell r="Z260">
            <v>991.5</v>
          </cell>
        </row>
        <row r="261">
          <cell r="Z261">
            <v>991.3</v>
          </cell>
        </row>
        <row r="262">
          <cell r="Z262">
            <v>990.8</v>
          </cell>
        </row>
        <row r="263">
          <cell r="Z263">
            <v>989.5</v>
          </cell>
        </row>
        <row r="264">
          <cell r="Z264">
            <v>988.6</v>
          </cell>
        </row>
        <row r="265">
          <cell r="Z265">
            <v>987.54</v>
          </cell>
        </row>
        <row r="266">
          <cell r="Z266">
            <v>986.99</v>
          </cell>
        </row>
        <row r="267">
          <cell r="Z267">
            <v>987.26</v>
          </cell>
        </row>
        <row r="268">
          <cell r="Z268">
            <v>988.29</v>
          </cell>
        </row>
        <row r="269">
          <cell r="Z269">
            <v>989.08</v>
          </cell>
        </row>
        <row r="270">
          <cell r="Z270">
            <v>990.14</v>
          </cell>
        </row>
        <row r="294">
          <cell r="Z294">
            <v>990.84</v>
          </cell>
        </row>
        <row r="295">
          <cell r="Z295">
            <v>990.6</v>
          </cell>
        </row>
        <row r="296">
          <cell r="Z296">
            <v>990.49</v>
          </cell>
        </row>
        <row r="297">
          <cell r="Z297">
            <v>990.37</v>
          </cell>
        </row>
        <row r="298">
          <cell r="Z298">
            <v>989.37</v>
          </cell>
        </row>
        <row r="299">
          <cell r="Z299">
            <v>988.64</v>
          </cell>
        </row>
        <row r="300">
          <cell r="Z300">
            <v>987.8</v>
          </cell>
        </row>
        <row r="301">
          <cell r="Z301">
            <v>987.9</v>
          </cell>
        </row>
        <row r="302">
          <cell r="Z302">
            <v>987.7</v>
          </cell>
        </row>
        <row r="303">
          <cell r="Z303">
            <v>987.7</v>
          </cell>
        </row>
        <row r="304">
          <cell r="Z304">
            <v>987.9</v>
          </cell>
        </row>
        <row r="305">
          <cell r="Z305">
            <v>988.5</v>
          </cell>
        </row>
        <row r="306">
          <cell r="Z306">
            <v>989.1</v>
          </cell>
        </row>
        <row r="330">
          <cell r="Z330">
            <v>990.7</v>
          </cell>
        </row>
        <row r="331">
          <cell r="Z331">
            <v>991</v>
          </cell>
        </row>
        <row r="332">
          <cell r="Z332">
            <v>990.2</v>
          </cell>
        </row>
        <row r="333">
          <cell r="Z333">
            <v>989.9</v>
          </cell>
        </row>
        <row r="334">
          <cell r="Z334">
            <v>989.7</v>
          </cell>
        </row>
        <row r="335">
          <cell r="Z335">
            <v>988.4</v>
          </cell>
        </row>
        <row r="336">
          <cell r="Z336">
            <v>987.7</v>
          </cell>
        </row>
        <row r="337">
          <cell r="Z337">
            <v>986.9</v>
          </cell>
        </row>
        <row r="338">
          <cell r="Z338">
            <v>987.3</v>
          </cell>
        </row>
        <row r="339">
          <cell r="Z339">
            <v>986.9</v>
          </cell>
        </row>
        <row r="340">
          <cell r="Z340">
            <v>987.6</v>
          </cell>
        </row>
        <row r="341">
          <cell r="Z341">
            <v>988.4</v>
          </cell>
        </row>
        <row r="342">
          <cell r="Z342">
            <v>989.3</v>
          </cell>
        </row>
        <row r="366">
          <cell r="Z366">
            <v>990.5</v>
          </cell>
        </row>
        <row r="367">
          <cell r="Z367">
            <v>991.1</v>
          </cell>
        </row>
        <row r="368">
          <cell r="Z368">
            <v>991.1</v>
          </cell>
        </row>
        <row r="369">
          <cell r="Z369">
            <v>991</v>
          </cell>
        </row>
        <row r="370">
          <cell r="Z370">
            <v>990.1</v>
          </cell>
        </row>
        <row r="371">
          <cell r="Z371">
            <v>989.1</v>
          </cell>
        </row>
        <row r="372">
          <cell r="Z372">
            <v>988.4</v>
          </cell>
        </row>
        <row r="373">
          <cell r="Z373">
            <v>987.8</v>
          </cell>
        </row>
        <row r="374">
          <cell r="Z374">
            <v>988.5</v>
          </cell>
        </row>
        <row r="375">
          <cell r="Z375">
            <v>989</v>
          </cell>
        </row>
        <row r="376">
          <cell r="Z376">
            <v>989.7</v>
          </cell>
        </row>
        <row r="377">
          <cell r="Z377">
            <v>990.6</v>
          </cell>
        </row>
        <row r="378">
          <cell r="Z378">
            <v>991.5</v>
          </cell>
        </row>
        <row r="402">
          <cell r="Z402">
            <v>991</v>
          </cell>
        </row>
        <row r="403">
          <cell r="Z403">
            <v>991.6</v>
          </cell>
        </row>
        <row r="404">
          <cell r="Z404">
            <v>991.4</v>
          </cell>
        </row>
        <row r="405">
          <cell r="Z405">
            <v>991.2</v>
          </cell>
        </row>
        <row r="406">
          <cell r="Z406">
            <v>990.6</v>
          </cell>
        </row>
        <row r="407">
          <cell r="Z407">
            <v>989.6</v>
          </cell>
        </row>
        <row r="408">
          <cell r="Z408">
            <v>988.6</v>
          </cell>
        </row>
        <row r="409">
          <cell r="Z409">
            <v>988.5</v>
          </cell>
        </row>
        <row r="410">
          <cell r="Z410">
            <v>988.4</v>
          </cell>
        </row>
        <row r="411">
          <cell r="Z411">
            <v>988.5</v>
          </cell>
        </row>
        <row r="412">
          <cell r="Z412">
            <v>988.9</v>
          </cell>
        </row>
        <row r="413">
          <cell r="Z413">
            <v>990.4</v>
          </cell>
        </row>
        <row r="414">
          <cell r="Z414">
            <v>991</v>
          </cell>
        </row>
        <row r="438">
          <cell r="Z438">
            <v>990.9</v>
          </cell>
        </row>
        <row r="439">
          <cell r="Z439">
            <v>991.4</v>
          </cell>
        </row>
        <row r="440">
          <cell r="Z440">
            <v>991.8</v>
          </cell>
        </row>
        <row r="441">
          <cell r="Z441">
            <v>991.6</v>
          </cell>
        </row>
        <row r="442">
          <cell r="Z442">
            <v>991.4</v>
          </cell>
        </row>
        <row r="443">
          <cell r="Z443">
            <v>990.4</v>
          </cell>
        </row>
        <row r="444">
          <cell r="Z444">
            <v>989.3</v>
          </cell>
        </row>
        <row r="445">
          <cell r="Z445">
            <v>988.5</v>
          </cell>
        </row>
        <row r="446">
          <cell r="Z446">
            <v>988.47</v>
          </cell>
        </row>
        <row r="447">
          <cell r="Z447">
            <v>988.57</v>
          </cell>
        </row>
        <row r="448">
          <cell r="Z448">
            <v>989.11</v>
          </cell>
        </row>
        <row r="449">
          <cell r="Z449">
            <v>989.89</v>
          </cell>
        </row>
        <row r="450">
          <cell r="Z450">
            <v>990.42</v>
          </cell>
        </row>
        <row r="474">
          <cell r="Z474">
            <v>990.76</v>
          </cell>
        </row>
        <row r="475">
          <cell r="Z475">
            <v>991.09</v>
          </cell>
        </row>
        <row r="476">
          <cell r="Z476">
            <v>991.14</v>
          </cell>
        </row>
        <row r="477">
          <cell r="Z477">
            <v>991.1</v>
          </cell>
        </row>
        <row r="478">
          <cell r="Z478">
            <v>989.77</v>
          </cell>
        </row>
        <row r="479">
          <cell r="Z479">
            <v>988.91</v>
          </cell>
        </row>
        <row r="480">
          <cell r="Z480">
            <v>988.35</v>
          </cell>
        </row>
        <row r="481">
          <cell r="Z481">
            <v>987.8</v>
          </cell>
        </row>
        <row r="482">
          <cell r="Z482">
            <v>987.4</v>
          </cell>
        </row>
        <row r="483">
          <cell r="Z483">
            <v>987.3</v>
          </cell>
        </row>
        <row r="484">
          <cell r="Z484">
            <v>988.3</v>
          </cell>
        </row>
        <row r="485">
          <cell r="Z485">
            <v>989</v>
          </cell>
        </row>
        <row r="486">
          <cell r="Z486">
            <v>989.6</v>
          </cell>
        </row>
        <row r="510">
          <cell r="Z510">
            <v>989.9</v>
          </cell>
        </row>
        <row r="511">
          <cell r="Z511">
            <v>990.2</v>
          </cell>
        </row>
        <row r="512">
          <cell r="Z512">
            <v>990.4</v>
          </cell>
        </row>
        <row r="513">
          <cell r="Z513">
            <v>990.6</v>
          </cell>
        </row>
        <row r="514">
          <cell r="Z514">
            <v>989.4</v>
          </cell>
        </row>
        <row r="515">
          <cell r="Z515">
            <v>989.2</v>
          </cell>
        </row>
        <row r="516">
          <cell r="Z516">
            <v>988.7</v>
          </cell>
        </row>
        <row r="517">
          <cell r="Z517">
            <v>987.5</v>
          </cell>
        </row>
        <row r="518">
          <cell r="Z518">
            <v>987.5</v>
          </cell>
        </row>
        <row r="519">
          <cell r="Z519">
            <v>987.8</v>
          </cell>
        </row>
        <row r="520">
          <cell r="Z520">
            <v>988.4</v>
          </cell>
        </row>
        <row r="521">
          <cell r="Z521">
            <v>989.2</v>
          </cell>
        </row>
        <row r="522">
          <cell r="Z522">
            <v>989.9</v>
          </cell>
        </row>
        <row r="546">
          <cell r="Z546">
            <v>989.5</v>
          </cell>
        </row>
        <row r="547">
          <cell r="Z547">
            <v>990.3</v>
          </cell>
        </row>
        <row r="548">
          <cell r="Z548">
            <v>990.4</v>
          </cell>
        </row>
        <row r="549">
          <cell r="Z549">
            <v>989.9</v>
          </cell>
        </row>
        <row r="550">
          <cell r="Z550">
            <v>989.1</v>
          </cell>
        </row>
        <row r="551">
          <cell r="Z551">
            <v>988.5</v>
          </cell>
        </row>
        <row r="552">
          <cell r="Z552">
            <v>987.6</v>
          </cell>
        </row>
        <row r="553">
          <cell r="Z553">
            <v>987.4</v>
          </cell>
        </row>
        <row r="554">
          <cell r="Z554">
            <v>986.8</v>
          </cell>
        </row>
        <row r="555">
          <cell r="Z555">
            <v>987.1</v>
          </cell>
        </row>
        <row r="556">
          <cell r="Z556">
            <v>987.7</v>
          </cell>
        </row>
        <row r="557">
          <cell r="Z557">
            <v>988.4</v>
          </cell>
        </row>
        <row r="558">
          <cell r="Z558">
            <v>989.8</v>
          </cell>
        </row>
        <row r="582">
          <cell r="Z582">
            <v>989.8</v>
          </cell>
        </row>
        <row r="583">
          <cell r="Z583">
            <v>990.2</v>
          </cell>
        </row>
        <row r="584">
          <cell r="Z584">
            <v>989.9</v>
          </cell>
        </row>
        <row r="585">
          <cell r="Z585">
            <v>989.7</v>
          </cell>
        </row>
        <row r="586">
          <cell r="Z586">
            <v>989.2</v>
          </cell>
        </row>
        <row r="587">
          <cell r="Z587">
            <v>988.7</v>
          </cell>
        </row>
        <row r="588">
          <cell r="Z588">
            <v>987.9</v>
          </cell>
        </row>
        <row r="589">
          <cell r="Z589">
            <v>987.4</v>
          </cell>
        </row>
        <row r="590">
          <cell r="Z590">
            <v>987.3</v>
          </cell>
        </row>
        <row r="591">
          <cell r="Z591">
            <v>987.5</v>
          </cell>
        </row>
        <row r="592">
          <cell r="Z592">
            <v>987.7</v>
          </cell>
        </row>
        <row r="593">
          <cell r="Z593">
            <v>988.5</v>
          </cell>
        </row>
        <row r="594">
          <cell r="Z594">
            <v>988.6</v>
          </cell>
        </row>
        <row r="618">
          <cell r="Z618">
            <v>989.3</v>
          </cell>
        </row>
        <row r="619">
          <cell r="Z619">
            <v>989.8</v>
          </cell>
        </row>
        <row r="620">
          <cell r="Z620">
            <v>990</v>
          </cell>
        </row>
        <row r="621">
          <cell r="Z621">
            <v>989.7</v>
          </cell>
        </row>
        <row r="622">
          <cell r="Z622">
            <v>989</v>
          </cell>
        </row>
        <row r="623">
          <cell r="Z623">
            <v>988.1</v>
          </cell>
        </row>
        <row r="624">
          <cell r="Z624">
            <v>987</v>
          </cell>
        </row>
        <row r="625">
          <cell r="Z625">
            <v>986.28</v>
          </cell>
        </row>
        <row r="626">
          <cell r="Z626">
            <v>986.18</v>
          </cell>
        </row>
        <row r="627">
          <cell r="Z627">
            <v>986.71</v>
          </cell>
        </row>
        <row r="628">
          <cell r="Z628">
            <v>987.66</v>
          </cell>
        </row>
        <row r="629">
          <cell r="Z629">
            <v>987.76</v>
          </cell>
        </row>
        <row r="630">
          <cell r="Z630">
            <v>988.4</v>
          </cell>
        </row>
        <row r="654">
          <cell r="Z654">
            <v>988.65</v>
          </cell>
        </row>
        <row r="655">
          <cell r="Z655">
            <v>989.05</v>
          </cell>
        </row>
        <row r="656">
          <cell r="Z656">
            <v>989.19</v>
          </cell>
        </row>
        <row r="657">
          <cell r="Z657">
            <v>988.84</v>
          </cell>
        </row>
        <row r="658">
          <cell r="Z658">
            <v>988.12</v>
          </cell>
        </row>
        <row r="659">
          <cell r="Z659">
            <v>987.78</v>
          </cell>
        </row>
        <row r="660">
          <cell r="Z660">
            <v>986.76</v>
          </cell>
        </row>
        <row r="661">
          <cell r="Z661">
            <v>985.5</v>
          </cell>
        </row>
        <row r="662">
          <cell r="Z662">
            <v>985.91</v>
          </cell>
        </row>
        <row r="663">
          <cell r="Z663">
            <v>985.98</v>
          </cell>
        </row>
        <row r="664">
          <cell r="Z664">
            <v>986.99</v>
          </cell>
        </row>
        <row r="665">
          <cell r="Z665">
            <v>987.4</v>
          </cell>
        </row>
        <row r="666">
          <cell r="Z666">
            <v>987.6</v>
          </cell>
        </row>
        <row r="690">
          <cell r="Z690">
            <v>989.89</v>
          </cell>
        </row>
        <row r="691">
          <cell r="Z691">
            <v>990.04</v>
          </cell>
        </row>
        <row r="692">
          <cell r="Z692">
            <v>989.9</v>
          </cell>
        </row>
        <row r="693">
          <cell r="Z693">
            <v>990</v>
          </cell>
        </row>
        <row r="694">
          <cell r="Z694">
            <v>989.71</v>
          </cell>
        </row>
        <row r="695">
          <cell r="Z695">
            <v>988.8</v>
          </cell>
        </row>
        <row r="696">
          <cell r="Z696">
            <v>988.4</v>
          </cell>
        </row>
        <row r="697">
          <cell r="Z697">
            <v>988.1</v>
          </cell>
        </row>
        <row r="698">
          <cell r="Z698">
            <v>987.6</v>
          </cell>
        </row>
        <row r="699">
          <cell r="Z699">
            <v>987.9</v>
          </cell>
        </row>
        <row r="700">
          <cell r="Z700">
            <v>988.4</v>
          </cell>
        </row>
        <row r="701">
          <cell r="Z701">
            <v>989.2</v>
          </cell>
        </row>
        <row r="702">
          <cell r="Z702">
            <v>989.7</v>
          </cell>
        </row>
        <row r="726">
          <cell r="Z726">
            <v>989.5</v>
          </cell>
        </row>
        <row r="727">
          <cell r="Z727">
            <v>990.1</v>
          </cell>
        </row>
        <row r="728">
          <cell r="Z728">
            <v>990.4</v>
          </cell>
        </row>
        <row r="729">
          <cell r="Z729">
            <v>989.9</v>
          </cell>
        </row>
        <row r="730">
          <cell r="Z730">
            <v>989.4</v>
          </cell>
        </row>
        <row r="731">
          <cell r="Z731">
            <v>989.1</v>
          </cell>
        </row>
        <row r="732">
          <cell r="Z732">
            <v>988.3</v>
          </cell>
        </row>
        <row r="733">
          <cell r="Z733">
            <v>987.8</v>
          </cell>
        </row>
        <row r="734">
          <cell r="Z734">
            <v>987.1</v>
          </cell>
        </row>
        <row r="735">
          <cell r="Z735">
            <v>987.5</v>
          </cell>
        </row>
        <row r="736">
          <cell r="Z736">
            <v>987.9</v>
          </cell>
        </row>
        <row r="737">
          <cell r="Z737">
            <v>988.2</v>
          </cell>
        </row>
        <row r="738">
          <cell r="Z738">
            <v>988.8</v>
          </cell>
        </row>
        <row r="762">
          <cell r="Z762">
            <v>990.1</v>
          </cell>
        </row>
        <row r="764">
          <cell r="Z764">
            <v>990.5</v>
          </cell>
        </row>
        <row r="765">
          <cell r="Z765">
            <v>989.8</v>
          </cell>
        </row>
        <row r="766">
          <cell r="Z766">
            <v>989.4</v>
          </cell>
        </row>
        <row r="767">
          <cell r="Z767">
            <v>988.8</v>
          </cell>
        </row>
        <row r="768">
          <cell r="Z768">
            <v>988.2</v>
          </cell>
        </row>
        <row r="769">
          <cell r="Z769">
            <v>987.2</v>
          </cell>
        </row>
        <row r="770">
          <cell r="Z770">
            <v>986.9</v>
          </cell>
        </row>
        <row r="771">
          <cell r="Z771">
            <v>987.2</v>
          </cell>
        </row>
        <row r="772">
          <cell r="Z772">
            <v>987.6</v>
          </cell>
        </row>
        <row r="773">
          <cell r="Z773">
            <v>988.4</v>
          </cell>
        </row>
        <row r="774">
          <cell r="Z774">
            <v>989</v>
          </cell>
        </row>
        <row r="798">
          <cell r="Z798">
            <v>989.87</v>
          </cell>
        </row>
        <row r="799">
          <cell r="Z799">
            <v>990.39</v>
          </cell>
        </row>
        <row r="800">
          <cell r="Z800">
            <v>990.41</v>
          </cell>
        </row>
        <row r="801">
          <cell r="Z801">
            <v>989.73</v>
          </cell>
        </row>
        <row r="802">
          <cell r="Z802">
            <v>989.25</v>
          </cell>
        </row>
        <row r="803">
          <cell r="Z803">
            <v>988.53</v>
          </cell>
        </row>
        <row r="804">
          <cell r="Z804">
            <v>987.74</v>
          </cell>
        </row>
        <row r="805">
          <cell r="Z805">
            <v>986.9</v>
          </cell>
        </row>
        <row r="806">
          <cell r="Z806">
            <v>986.2</v>
          </cell>
        </row>
        <row r="807">
          <cell r="Z807">
            <v>986.8</v>
          </cell>
        </row>
        <row r="808">
          <cell r="Z808">
            <v>987.4</v>
          </cell>
        </row>
        <row r="809">
          <cell r="Z809">
            <v>988.1</v>
          </cell>
        </row>
        <row r="810">
          <cell r="Z810">
            <v>988.6</v>
          </cell>
        </row>
        <row r="834">
          <cell r="Z834">
            <v>988.7</v>
          </cell>
        </row>
        <row r="835">
          <cell r="Z835">
            <v>989</v>
          </cell>
        </row>
        <row r="836">
          <cell r="Z836">
            <v>988.8</v>
          </cell>
        </row>
        <row r="837">
          <cell r="Z837">
            <v>988.3</v>
          </cell>
        </row>
        <row r="838">
          <cell r="Z838">
            <v>987.4</v>
          </cell>
        </row>
        <row r="839">
          <cell r="Z839">
            <v>986.7</v>
          </cell>
        </row>
        <row r="840">
          <cell r="Z840">
            <v>985.9</v>
          </cell>
        </row>
        <row r="841">
          <cell r="Z841">
            <v>985.6</v>
          </cell>
        </row>
        <row r="842">
          <cell r="Z842">
            <v>985.2</v>
          </cell>
        </row>
        <row r="843">
          <cell r="Z843">
            <v>985.4</v>
          </cell>
        </row>
        <row r="844">
          <cell r="Z844">
            <v>986.1</v>
          </cell>
        </row>
        <row r="845">
          <cell r="Z845">
            <v>986.8</v>
          </cell>
        </row>
        <row r="846">
          <cell r="Z846">
            <v>987.6</v>
          </cell>
        </row>
        <row r="870">
          <cell r="Z870">
            <v>987.9</v>
          </cell>
        </row>
        <row r="871">
          <cell r="Z871">
            <v>988.3</v>
          </cell>
        </row>
        <row r="872">
          <cell r="Z872">
            <v>988.5</v>
          </cell>
        </row>
        <row r="873">
          <cell r="Z873">
            <v>987.9</v>
          </cell>
        </row>
        <row r="874">
          <cell r="Z874">
            <v>987</v>
          </cell>
        </row>
        <row r="875">
          <cell r="Z875">
            <v>986.4</v>
          </cell>
        </row>
        <row r="876">
          <cell r="Z876">
            <v>986</v>
          </cell>
        </row>
        <row r="877">
          <cell r="Z877">
            <v>985.4</v>
          </cell>
        </row>
        <row r="878">
          <cell r="Z878">
            <v>984.79</v>
          </cell>
        </row>
        <row r="879">
          <cell r="Z879">
            <v>984.87</v>
          </cell>
        </row>
        <row r="880">
          <cell r="Z880">
            <v>985.69</v>
          </cell>
        </row>
        <row r="881">
          <cell r="Z881">
            <v>986.52</v>
          </cell>
        </row>
        <row r="882">
          <cell r="Z882">
            <v>986.76</v>
          </cell>
        </row>
        <row r="906">
          <cell r="Z906">
            <v>988.83</v>
          </cell>
        </row>
        <row r="907">
          <cell r="Z907">
            <v>988.78</v>
          </cell>
        </row>
        <row r="908">
          <cell r="Z908">
            <v>988.68</v>
          </cell>
        </row>
        <row r="909">
          <cell r="Z909">
            <v>988.06</v>
          </cell>
        </row>
        <row r="910">
          <cell r="Z910">
            <v>987.8</v>
          </cell>
        </row>
        <row r="911">
          <cell r="Z911">
            <v>986.88</v>
          </cell>
        </row>
        <row r="912">
          <cell r="Z912">
            <v>986.12</v>
          </cell>
        </row>
        <row r="913">
          <cell r="Z913">
            <v>985.8</v>
          </cell>
        </row>
        <row r="914">
          <cell r="Z914">
            <v>985.5</v>
          </cell>
        </row>
        <row r="915">
          <cell r="Z915">
            <v>985.9</v>
          </cell>
        </row>
        <row r="916">
          <cell r="Z916">
            <v>986.9</v>
          </cell>
        </row>
        <row r="917">
          <cell r="Z917">
            <v>987.5</v>
          </cell>
        </row>
        <row r="918">
          <cell r="Z918">
            <v>988.3</v>
          </cell>
        </row>
        <row r="942">
          <cell r="Z942">
            <v>989.3</v>
          </cell>
        </row>
        <row r="943">
          <cell r="Z943">
            <v>989.9</v>
          </cell>
        </row>
        <row r="944">
          <cell r="Z944">
            <v>990.1</v>
          </cell>
        </row>
        <row r="945">
          <cell r="Z945">
            <v>989.7</v>
          </cell>
        </row>
        <row r="946">
          <cell r="Z946">
            <v>989.2</v>
          </cell>
        </row>
        <row r="947">
          <cell r="Z947">
            <v>988.3</v>
          </cell>
        </row>
        <row r="948">
          <cell r="Z948">
            <v>987.6</v>
          </cell>
        </row>
        <row r="949">
          <cell r="Z949">
            <v>987.3</v>
          </cell>
        </row>
        <row r="950">
          <cell r="Z950">
            <v>987.3</v>
          </cell>
        </row>
        <row r="951">
          <cell r="Z951">
            <v>987.3</v>
          </cell>
        </row>
        <row r="952">
          <cell r="Z952">
            <v>987.8</v>
          </cell>
        </row>
        <row r="953">
          <cell r="Z953">
            <v>988.3</v>
          </cell>
        </row>
        <row r="954">
          <cell r="Z954">
            <v>989.3</v>
          </cell>
        </row>
        <row r="978">
          <cell r="Z978">
            <v>990.14</v>
          </cell>
        </row>
        <row r="979">
          <cell r="Z979">
            <v>990.82</v>
          </cell>
        </row>
        <row r="980">
          <cell r="Z980">
            <v>991.03</v>
          </cell>
        </row>
        <row r="981">
          <cell r="Z981">
            <v>990.84</v>
          </cell>
        </row>
        <row r="982">
          <cell r="Z982">
            <v>990.25</v>
          </cell>
        </row>
        <row r="983">
          <cell r="Z983">
            <v>989.47</v>
          </cell>
        </row>
        <row r="984">
          <cell r="Z984">
            <v>988.44</v>
          </cell>
        </row>
        <row r="985">
          <cell r="Z985">
            <v>988.3</v>
          </cell>
        </row>
        <row r="986">
          <cell r="Z986">
            <v>988.3</v>
          </cell>
        </row>
        <row r="987">
          <cell r="Z987">
            <v>987.4</v>
          </cell>
        </row>
        <row r="988">
          <cell r="Z988">
            <v>988.2</v>
          </cell>
        </row>
        <row r="989">
          <cell r="Z989">
            <v>989.1</v>
          </cell>
        </row>
        <row r="990">
          <cell r="Z990">
            <v>990.4</v>
          </cell>
        </row>
        <row r="1014">
          <cell r="Z1014">
            <v>990.8</v>
          </cell>
        </row>
        <row r="1015">
          <cell r="Z1015">
            <v>991.2</v>
          </cell>
        </row>
        <row r="1016">
          <cell r="Z1016">
            <v>990.9</v>
          </cell>
        </row>
        <row r="1017">
          <cell r="Z1017">
            <v>990.6</v>
          </cell>
        </row>
        <row r="1018">
          <cell r="Z1018">
            <v>989.9</v>
          </cell>
        </row>
        <row r="1019">
          <cell r="Z1019">
            <v>988.9</v>
          </cell>
        </row>
        <row r="1020">
          <cell r="Z1020">
            <v>988.2</v>
          </cell>
        </row>
        <row r="1021">
          <cell r="Z1021">
            <v>987.1</v>
          </cell>
        </row>
        <row r="1022">
          <cell r="Z1022">
            <v>986.6</v>
          </cell>
        </row>
        <row r="1023">
          <cell r="Z1023">
            <v>986.9</v>
          </cell>
        </row>
        <row r="1024">
          <cell r="Z1024">
            <v>987.4</v>
          </cell>
        </row>
        <row r="1025">
          <cell r="Z1025">
            <v>988.2</v>
          </cell>
        </row>
        <row r="1026">
          <cell r="Z1026">
            <v>989.6</v>
          </cell>
        </row>
        <row r="1050">
          <cell r="Z1050">
            <v>990.5</v>
          </cell>
        </row>
        <row r="1051">
          <cell r="Z1051">
            <v>990.9</v>
          </cell>
        </row>
        <row r="1052">
          <cell r="Z1052">
            <v>990.9</v>
          </cell>
        </row>
        <row r="1053">
          <cell r="Z1053">
            <v>990.7</v>
          </cell>
        </row>
        <row r="1054">
          <cell r="Z1054">
            <v>990.4</v>
          </cell>
        </row>
        <row r="1055">
          <cell r="Z1055">
            <v>989.2</v>
          </cell>
        </row>
        <row r="1056">
          <cell r="Z1056">
            <v>988.2</v>
          </cell>
        </row>
        <row r="1057">
          <cell r="Z1057">
            <v>987.09</v>
          </cell>
        </row>
        <row r="1058">
          <cell r="Z1058">
            <v>986.73</v>
          </cell>
        </row>
        <row r="1059">
          <cell r="Z1059">
            <v>986.95</v>
          </cell>
        </row>
        <row r="1060">
          <cell r="Z1060">
            <v>987.22</v>
          </cell>
        </row>
        <row r="1061">
          <cell r="Z1061">
            <v>987.7</v>
          </cell>
        </row>
        <row r="1062">
          <cell r="Z1062">
            <v>988.19</v>
          </cell>
        </row>
        <row r="1086">
          <cell r="Z1086">
            <v>990.23</v>
          </cell>
        </row>
        <row r="1087">
          <cell r="Z1087">
            <v>990.33</v>
          </cell>
        </row>
        <row r="1088">
          <cell r="Z1088">
            <v>990.24</v>
          </cell>
        </row>
        <row r="1089">
          <cell r="Z1089">
            <v>990.08</v>
          </cell>
        </row>
        <row r="1090">
          <cell r="Z1090">
            <v>989.77</v>
          </cell>
        </row>
        <row r="1091">
          <cell r="Z1091">
            <v>988.65</v>
          </cell>
        </row>
        <row r="1092">
          <cell r="Z1092">
            <v>988.25</v>
          </cell>
        </row>
        <row r="1093">
          <cell r="Z1093">
            <v>987.11</v>
          </cell>
        </row>
        <row r="1094">
          <cell r="Z1094">
            <v>987.1</v>
          </cell>
        </row>
        <row r="1095">
          <cell r="Z1095">
            <v>986.67</v>
          </cell>
        </row>
        <row r="1096">
          <cell r="Z1096">
            <v>987.1</v>
          </cell>
        </row>
        <row r="1097">
          <cell r="Z1097">
            <v>987.82</v>
          </cell>
        </row>
        <row r="1098">
          <cell r="Z1098">
            <v>988.83</v>
          </cell>
        </row>
        <row r="1121">
          <cell r="R1121" t="str">
            <v xml:space="preserve">TIM PEMBUAT LAPORAN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3">
          <cell r="M43" t="str">
            <v>Mengetahui,</v>
          </cell>
        </row>
        <row r="44">
          <cell r="M44" t="str">
            <v>Kepala Stasiun Klimatologi Kelas IV</v>
          </cell>
          <cell r="T44" t="str">
            <v>Pengolah</v>
          </cell>
        </row>
        <row r="45">
          <cell r="M45" t="str">
            <v>Sleman Yogyakarta</v>
          </cell>
        </row>
        <row r="50">
          <cell r="M50" t="str">
            <v>RENI KRANINGTYAS, SP, M.Si</v>
          </cell>
          <cell r="T50" t="str">
            <v xml:space="preserve">TIM PEMBUAT LAPORAN </v>
          </cell>
        </row>
        <row r="51">
          <cell r="M51" t="str">
            <v>NIP.  19740203 199703 2 001</v>
          </cell>
          <cell r="T51" t="str">
            <v xml:space="preserve">PETUGAS OPERASIONAL </v>
          </cell>
        </row>
      </sheetData>
      <sheetData sheetId="10"/>
      <sheetData sheetId="11"/>
      <sheetData sheetId="12"/>
      <sheetData sheetId="13">
        <row r="11">
          <cell r="Y11" t="str">
            <v>Januari 2022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C3" t="str">
            <v>Januari 2022</v>
          </cell>
        </row>
      </sheetData>
      <sheetData sheetId="20">
        <row r="42">
          <cell r="C42" t="str">
            <v>Mengetahui,</v>
          </cell>
        </row>
      </sheetData>
      <sheetData sheetId="21">
        <row r="1">
          <cell r="F1" t="str">
            <v>STASIUN KLIMATOLOGI KL. IV SLEMAN</v>
          </cell>
        </row>
      </sheetData>
      <sheetData sheetId="22">
        <row r="1">
          <cell r="H1" t="str">
            <v>STASIUN KLIMATOLOGI KL. IV SLEMAN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FEBRUARI</v>
          </cell>
        </row>
        <row r="6">
          <cell r="Z6">
            <v>989.04</v>
          </cell>
        </row>
        <row r="7">
          <cell r="Z7">
            <v>989.66</v>
          </cell>
        </row>
        <row r="8">
          <cell r="Z8">
            <v>989.67</v>
          </cell>
        </row>
        <row r="9">
          <cell r="Z9">
            <v>989.48</v>
          </cell>
        </row>
        <row r="10">
          <cell r="Z10">
            <v>989.15</v>
          </cell>
        </row>
        <row r="11">
          <cell r="Z11">
            <v>988.42</v>
          </cell>
        </row>
        <row r="12">
          <cell r="Z12">
            <v>987.48</v>
          </cell>
        </row>
        <row r="13">
          <cell r="Z13">
            <v>986.5</v>
          </cell>
        </row>
        <row r="14">
          <cell r="Z14">
            <v>985.9</v>
          </cell>
        </row>
        <row r="15">
          <cell r="Z15">
            <v>986.1</v>
          </cell>
        </row>
        <row r="16">
          <cell r="Z16">
            <v>986.5</v>
          </cell>
        </row>
        <row r="17">
          <cell r="Z17">
            <v>987.2</v>
          </cell>
        </row>
        <row r="18">
          <cell r="Z18">
            <v>987.9</v>
          </cell>
        </row>
        <row r="42">
          <cell r="Z42">
            <v>989.6</v>
          </cell>
        </row>
        <row r="43">
          <cell r="Z43">
            <v>990.1</v>
          </cell>
        </row>
        <row r="44">
          <cell r="Z44">
            <v>990.1</v>
          </cell>
        </row>
        <row r="45">
          <cell r="Z45">
            <v>989.9</v>
          </cell>
        </row>
        <row r="46">
          <cell r="Z46">
            <v>989.5</v>
          </cell>
        </row>
        <row r="47">
          <cell r="Z47">
            <v>988.6</v>
          </cell>
        </row>
        <row r="48">
          <cell r="Z48">
            <v>987.7</v>
          </cell>
        </row>
        <row r="49">
          <cell r="Z49">
            <v>988.1</v>
          </cell>
        </row>
        <row r="50">
          <cell r="Z50">
            <v>987.8</v>
          </cell>
        </row>
        <row r="51">
          <cell r="Z51">
            <v>987.8</v>
          </cell>
        </row>
        <row r="52">
          <cell r="Z52">
            <v>988.3</v>
          </cell>
        </row>
        <row r="53">
          <cell r="Z53">
            <v>988.8</v>
          </cell>
        </row>
        <row r="54">
          <cell r="Z54">
            <v>989.4</v>
          </cell>
        </row>
        <row r="78">
          <cell r="Z78">
            <v>989.7</v>
          </cell>
        </row>
        <row r="79">
          <cell r="Z79">
            <v>989.7</v>
          </cell>
        </row>
        <row r="80">
          <cell r="Z80">
            <v>989.7</v>
          </cell>
        </row>
        <row r="81">
          <cell r="Z81">
            <v>989.3</v>
          </cell>
        </row>
        <row r="82">
          <cell r="Z82">
            <v>988.7</v>
          </cell>
        </row>
        <row r="83">
          <cell r="Z83">
            <v>988.1</v>
          </cell>
        </row>
        <row r="84">
          <cell r="Z84">
            <v>987.5</v>
          </cell>
        </row>
        <row r="85">
          <cell r="Z85">
            <v>988</v>
          </cell>
        </row>
        <row r="86">
          <cell r="Z86">
            <v>988.3</v>
          </cell>
        </row>
        <row r="87">
          <cell r="Z87">
            <v>987.2</v>
          </cell>
        </row>
        <row r="88">
          <cell r="Z88">
            <v>987.7</v>
          </cell>
        </row>
        <row r="89">
          <cell r="Z89">
            <v>988.1</v>
          </cell>
        </row>
        <row r="90">
          <cell r="Z90">
            <v>988.7</v>
          </cell>
        </row>
        <row r="114">
          <cell r="Z114">
            <v>989</v>
          </cell>
        </row>
        <row r="115">
          <cell r="Z115">
            <v>989.2</v>
          </cell>
        </row>
        <row r="117">
          <cell r="Z117">
            <v>988.5</v>
          </cell>
        </row>
        <row r="118">
          <cell r="Z118">
            <v>987.6</v>
          </cell>
        </row>
        <row r="119">
          <cell r="Z119">
            <v>987.4</v>
          </cell>
        </row>
        <row r="120">
          <cell r="Z120">
            <v>986.2</v>
          </cell>
        </row>
        <row r="121">
          <cell r="Z121">
            <v>985.5</v>
          </cell>
        </row>
        <row r="122">
          <cell r="Z122">
            <v>985.2</v>
          </cell>
        </row>
        <row r="123">
          <cell r="Z123">
            <v>985.4</v>
          </cell>
        </row>
        <row r="124">
          <cell r="Z124">
            <v>986.5</v>
          </cell>
        </row>
        <row r="125">
          <cell r="Z125">
            <v>987</v>
          </cell>
        </row>
        <row r="126">
          <cell r="Z126">
            <v>987.8</v>
          </cell>
        </row>
        <row r="150">
          <cell r="Z150">
            <v>988.8</v>
          </cell>
        </row>
        <row r="151">
          <cell r="Z151">
            <v>989.1</v>
          </cell>
        </row>
        <row r="152">
          <cell r="Z152">
            <v>989.8</v>
          </cell>
        </row>
        <row r="153">
          <cell r="Z153">
            <v>989.8</v>
          </cell>
        </row>
        <row r="154">
          <cell r="Z154">
            <v>989.5</v>
          </cell>
        </row>
        <row r="155">
          <cell r="Z155">
            <v>988.3</v>
          </cell>
        </row>
        <row r="156">
          <cell r="Z156">
            <v>988.3</v>
          </cell>
        </row>
        <row r="157">
          <cell r="Z157">
            <v>986.85</v>
          </cell>
        </row>
        <row r="158">
          <cell r="Z158">
            <v>986.41</v>
          </cell>
        </row>
        <row r="159">
          <cell r="Z159">
            <v>986.4</v>
          </cell>
        </row>
        <row r="160">
          <cell r="Z160">
            <v>986.61</v>
          </cell>
        </row>
        <row r="161">
          <cell r="Z161">
            <v>987.21</v>
          </cell>
        </row>
        <row r="162">
          <cell r="Z162">
            <v>987.9</v>
          </cell>
        </row>
        <row r="186">
          <cell r="Z186">
            <v>987.99</v>
          </cell>
        </row>
        <row r="187">
          <cell r="Z187">
            <v>988.3</v>
          </cell>
        </row>
        <row r="188">
          <cell r="Z188">
            <v>988.32</v>
          </cell>
        </row>
        <row r="189">
          <cell r="Z189">
            <v>987.9</v>
          </cell>
        </row>
        <row r="190">
          <cell r="Z190">
            <v>987.51</v>
          </cell>
        </row>
        <row r="191">
          <cell r="Z191">
            <v>986.38</v>
          </cell>
        </row>
        <row r="192">
          <cell r="Z192">
            <v>986.26</v>
          </cell>
        </row>
        <row r="193">
          <cell r="Z193">
            <v>986.57</v>
          </cell>
        </row>
        <row r="194">
          <cell r="Z194">
            <v>985.87</v>
          </cell>
        </row>
        <row r="195">
          <cell r="Z195">
            <v>985.77</v>
          </cell>
        </row>
        <row r="196">
          <cell r="Z196">
            <v>986.1</v>
          </cell>
        </row>
        <row r="197">
          <cell r="Z197">
            <v>987.18</v>
          </cell>
        </row>
        <row r="198">
          <cell r="Z198">
            <v>987.8</v>
          </cell>
        </row>
        <row r="222">
          <cell r="Z222">
            <v>988.11</v>
          </cell>
        </row>
        <row r="223">
          <cell r="Z223">
            <v>988.22</v>
          </cell>
        </row>
        <row r="224">
          <cell r="Z224">
            <v>988.49</v>
          </cell>
        </row>
        <row r="225">
          <cell r="Z225">
            <v>988.09</v>
          </cell>
        </row>
        <row r="226">
          <cell r="Z226">
            <v>987.7</v>
          </cell>
        </row>
        <row r="227">
          <cell r="Z227">
            <v>987.33</v>
          </cell>
        </row>
        <row r="228">
          <cell r="Z228">
            <v>986.8</v>
          </cell>
        </row>
        <row r="229">
          <cell r="Z229">
            <v>986.5</v>
          </cell>
        </row>
        <row r="230">
          <cell r="Z230">
            <v>985.9</v>
          </cell>
        </row>
        <row r="231">
          <cell r="Z231">
            <v>985.9</v>
          </cell>
        </row>
        <row r="232">
          <cell r="Z232">
            <v>986.1</v>
          </cell>
        </row>
        <row r="233">
          <cell r="Z233">
            <v>986.4</v>
          </cell>
        </row>
        <row r="234">
          <cell r="Z234">
            <v>987.4</v>
          </cell>
        </row>
        <row r="258">
          <cell r="Z258">
            <v>989.5</v>
          </cell>
        </row>
        <row r="259">
          <cell r="Z259">
            <v>990.1</v>
          </cell>
        </row>
        <row r="260">
          <cell r="Z260">
            <v>990.2</v>
          </cell>
        </row>
        <row r="261">
          <cell r="Z261">
            <v>989.6</v>
          </cell>
        </row>
        <row r="262">
          <cell r="Z262">
            <v>989.2</v>
          </cell>
        </row>
        <row r="263">
          <cell r="Z263">
            <v>988.5</v>
          </cell>
        </row>
        <row r="264">
          <cell r="Z264">
            <v>987.5</v>
          </cell>
        </row>
        <row r="265">
          <cell r="Z265">
            <v>987.3</v>
          </cell>
        </row>
        <row r="266">
          <cell r="Z266">
            <v>987</v>
          </cell>
        </row>
        <row r="267">
          <cell r="Z267">
            <v>987.2</v>
          </cell>
        </row>
        <row r="268">
          <cell r="Z268">
            <v>987.5</v>
          </cell>
        </row>
        <row r="269">
          <cell r="Z269">
            <v>987.8</v>
          </cell>
        </row>
        <row r="270">
          <cell r="Z270">
            <v>988.5</v>
          </cell>
        </row>
        <row r="294">
          <cell r="Z294">
            <v>989.4</v>
          </cell>
        </row>
        <row r="295">
          <cell r="Z295">
            <v>990.1</v>
          </cell>
        </row>
        <row r="296">
          <cell r="Z296">
            <v>990</v>
          </cell>
        </row>
        <row r="297">
          <cell r="Z297">
            <v>989.8</v>
          </cell>
        </row>
        <row r="298">
          <cell r="Z298">
            <v>988.7</v>
          </cell>
        </row>
        <row r="299">
          <cell r="Z299">
            <v>987.9</v>
          </cell>
        </row>
        <row r="300">
          <cell r="Z300">
            <v>987.4</v>
          </cell>
        </row>
        <row r="301">
          <cell r="Z301">
            <v>987.1</v>
          </cell>
        </row>
        <row r="302">
          <cell r="Z302">
            <v>987.1</v>
          </cell>
        </row>
        <row r="303">
          <cell r="Z303">
            <v>987.5</v>
          </cell>
        </row>
        <row r="304">
          <cell r="Z304">
            <v>988.3</v>
          </cell>
        </row>
        <row r="305">
          <cell r="Z305">
            <v>989</v>
          </cell>
        </row>
        <row r="306">
          <cell r="Z306">
            <v>989.4</v>
          </cell>
        </row>
        <row r="330">
          <cell r="Z330">
            <v>987.4</v>
          </cell>
        </row>
        <row r="331">
          <cell r="Z331">
            <v>988.1</v>
          </cell>
        </row>
        <row r="332">
          <cell r="Z332">
            <v>988.8</v>
          </cell>
        </row>
        <row r="333">
          <cell r="Z333">
            <v>988.5</v>
          </cell>
        </row>
        <row r="334">
          <cell r="Z334">
            <v>987.5</v>
          </cell>
        </row>
        <row r="335">
          <cell r="Z335">
            <v>986.8</v>
          </cell>
        </row>
        <row r="336">
          <cell r="Z336">
            <v>985.9</v>
          </cell>
        </row>
        <row r="337">
          <cell r="Z337">
            <v>985.5</v>
          </cell>
        </row>
        <row r="338">
          <cell r="Z338">
            <v>984.9</v>
          </cell>
        </row>
        <row r="339">
          <cell r="Z339">
            <v>984.9</v>
          </cell>
        </row>
        <row r="340">
          <cell r="Z340">
            <v>985.4</v>
          </cell>
        </row>
        <row r="341">
          <cell r="Z341">
            <v>986.4</v>
          </cell>
        </row>
        <row r="342">
          <cell r="Z342">
            <v>988</v>
          </cell>
        </row>
        <row r="366">
          <cell r="Z366">
            <v>988.2</v>
          </cell>
        </row>
        <row r="367">
          <cell r="Z367">
            <v>988.6</v>
          </cell>
        </row>
        <row r="368">
          <cell r="Z368">
            <v>988.5</v>
          </cell>
        </row>
        <row r="369">
          <cell r="Z369">
            <v>988.3</v>
          </cell>
        </row>
        <row r="370">
          <cell r="Z370">
            <v>987.8</v>
          </cell>
        </row>
        <row r="371">
          <cell r="Z371">
            <v>987.2</v>
          </cell>
        </row>
        <row r="372">
          <cell r="Z372">
            <v>986</v>
          </cell>
        </row>
        <row r="373">
          <cell r="Z373">
            <v>985.33</v>
          </cell>
        </row>
        <row r="374">
          <cell r="Z374">
            <v>985.02</v>
          </cell>
        </row>
        <row r="375">
          <cell r="Z375">
            <v>986.36</v>
          </cell>
        </row>
        <row r="376">
          <cell r="Z376">
            <v>986.15</v>
          </cell>
        </row>
        <row r="377">
          <cell r="Z377">
            <v>986.91</v>
          </cell>
        </row>
        <row r="378">
          <cell r="Z378">
            <v>987.6</v>
          </cell>
        </row>
        <row r="402">
          <cell r="Z402">
            <v>987.37</v>
          </cell>
        </row>
        <row r="403">
          <cell r="Z403">
            <v>987.96</v>
          </cell>
        </row>
        <row r="404">
          <cell r="Z404">
            <v>987.72</v>
          </cell>
        </row>
        <row r="405">
          <cell r="Z405">
            <v>987.14</v>
          </cell>
        </row>
        <row r="406">
          <cell r="Z406">
            <v>986.56</v>
          </cell>
        </row>
        <row r="407">
          <cell r="Z407">
            <v>985.79</v>
          </cell>
        </row>
        <row r="408">
          <cell r="Z408">
            <v>985.2</v>
          </cell>
        </row>
        <row r="409">
          <cell r="Z409">
            <v>984.08</v>
          </cell>
        </row>
        <row r="410">
          <cell r="Z410">
            <v>983.62</v>
          </cell>
        </row>
        <row r="411">
          <cell r="Z411">
            <v>983.41</v>
          </cell>
        </row>
        <row r="412">
          <cell r="Z412">
            <v>984.61</v>
          </cell>
        </row>
        <row r="413">
          <cell r="Z413">
            <v>985.82</v>
          </cell>
        </row>
        <row r="414">
          <cell r="Z414">
            <v>986.55</v>
          </cell>
        </row>
        <row r="438">
          <cell r="Z438">
            <v>987.12</v>
          </cell>
        </row>
        <row r="439">
          <cell r="Z439">
            <v>987.55</v>
          </cell>
        </row>
        <row r="440">
          <cell r="Z440">
            <v>987.61</v>
          </cell>
        </row>
        <row r="441">
          <cell r="Z441">
            <v>987.86</v>
          </cell>
        </row>
        <row r="442">
          <cell r="Z442">
            <v>986.84</v>
          </cell>
        </row>
        <row r="443">
          <cell r="Z443">
            <v>986.38</v>
          </cell>
        </row>
        <row r="444">
          <cell r="Z444">
            <v>985.39</v>
          </cell>
        </row>
        <row r="445">
          <cell r="Z445">
            <v>984.6</v>
          </cell>
        </row>
        <row r="446">
          <cell r="Z446">
            <v>984</v>
          </cell>
        </row>
        <row r="447">
          <cell r="Z447">
            <v>984.5</v>
          </cell>
        </row>
        <row r="448">
          <cell r="Z448">
            <v>985.6</v>
          </cell>
        </row>
        <row r="449">
          <cell r="Z449">
            <v>986.2</v>
          </cell>
        </row>
        <row r="450">
          <cell r="Z450">
            <v>987.3</v>
          </cell>
        </row>
        <row r="474">
          <cell r="Z474">
            <v>989.6</v>
          </cell>
        </row>
        <row r="475">
          <cell r="Z475">
            <v>989.7</v>
          </cell>
        </row>
        <row r="476">
          <cell r="Z476">
            <v>989.9</v>
          </cell>
        </row>
        <row r="477">
          <cell r="Z477">
            <v>990</v>
          </cell>
        </row>
        <row r="478">
          <cell r="Z478">
            <v>989.9</v>
          </cell>
        </row>
        <row r="479">
          <cell r="Z479">
            <v>988.9</v>
          </cell>
        </row>
        <row r="480">
          <cell r="Z480">
            <v>987.8</v>
          </cell>
        </row>
        <row r="481">
          <cell r="Z481">
            <v>987</v>
          </cell>
        </row>
        <row r="482">
          <cell r="Z482">
            <v>986.9</v>
          </cell>
        </row>
        <row r="483">
          <cell r="Z483">
            <v>986.9</v>
          </cell>
        </row>
        <row r="484">
          <cell r="Z484">
            <v>987.7</v>
          </cell>
        </row>
        <row r="485">
          <cell r="Z485">
            <v>988.2</v>
          </cell>
        </row>
        <row r="486">
          <cell r="Z486">
            <v>988.9</v>
          </cell>
        </row>
        <row r="510">
          <cell r="Z510">
            <v>990.7</v>
          </cell>
        </row>
        <row r="511">
          <cell r="Z511">
            <v>991.5</v>
          </cell>
        </row>
        <row r="512">
          <cell r="Z512">
            <v>991.8</v>
          </cell>
        </row>
        <row r="513">
          <cell r="Z513">
            <v>991.3</v>
          </cell>
        </row>
        <row r="514">
          <cell r="Z514">
            <v>990.9</v>
          </cell>
        </row>
        <row r="515">
          <cell r="Z515">
            <v>990.3</v>
          </cell>
        </row>
        <row r="516">
          <cell r="Z516">
            <v>988.9</v>
          </cell>
        </row>
        <row r="517">
          <cell r="Z517">
            <v>988.2</v>
          </cell>
        </row>
        <row r="518">
          <cell r="Z518">
            <v>987.1</v>
          </cell>
        </row>
        <row r="519">
          <cell r="Z519">
            <v>986.8</v>
          </cell>
        </row>
        <row r="520">
          <cell r="Z520">
            <v>986.7</v>
          </cell>
        </row>
        <row r="521">
          <cell r="Z521">
            <v>987.7</v>
          </cell>
        </row>
        <row r="522">
          <cell r="Z522">
            <v>988.5</v>
          </cell>
        </row>
        <row r="546">
          <cell r="Z546">
            <v>988.26</v>
          </cell>
        </row>
        <row r="547">
          <cell r="Z547">
            <v>988.64</v>
          </cell>
        </row>
        <row r="548">
          <cell r="Z548">
            <v>988.56</v>
          </cell>
        </row>
        <row r="549">
          <cell r="Z549">
            <v>987.63</v>
          </cell>
        </row>
        <row r="550">
          <cell r="Z550">
            <v>987.19</v>
          </cell>
        </row>
        <row r="551">
          <cell r="Z551">
            <v>986.14</v>
          </cell>
        </row>
        <row r="552">
          <cell r="Z552">
            <v>985.15</v>
          </cell>
        </row>
        <row r="553">
          <cell r="Z553">
            <v>984.6</v>
          </cell>
        </row>
        <row r="554">
          <cell r="Z554">
            <v>984.1</v>
          </cell>
        </row>
        <row r="555">
          <cell r="Z555">
            <v>984.3</v>
          </cell>
        </row>
        <row r="556">
          <cell r="Z556">
            <v>984.4</v>
          </cell>
        </row>
        <row r="557">
          <cell r="Z557">
            <v>985.8</v>
          </cell>
        </row>
        <row r="558">
          <cell r="Z558">
            <v>986.6</v>
          </cell>
        </row>
        <row r="582">
          <cell r="Z582">
            <v>987.4</v>
          </cell>
        </row>
        <row r="583">
          <cell r="Z583">
            <v>987.8</v>
          </cell>
        </row>
        <row r="584">
          <cell r="Z584">
            <v>987.4</v>
          </cell>
        </row>
        <row r="585">
          <cell r="Z585">
            <v>987</v>
          </cell>
        </row>
        <row r="586">
          <cell r="Z586">
            <v>986.4</v>
          </cell>
        </row>
        <row r="587">
          <cell r="Z587">
            <v>985.6</v>
          </cell>
        </row>
        <row r="588">
          <cell r="Z588">
            <v>984.7</v>
          </cell>
        </row>
        <row r="589">
          <cell r="Z589">
            <v>983.61</v>
          </cell>
        </row>
        <row r="590">
          <cell r="Z590">
            <v>983.62</v>
          </cell>
        </row>
        <row r="591">
          <cell r="Z591">
            <v>984.82</v>
          </cell>
        </row>
        <row r="592">
          <cell r="Z592">
            <v>986.3</v>
          </cell>
        </row>
        <row r="593">
          <cell r="Z593">
            <v>987.01</v>
          </cell>
        </row>
        <row r="594">
          <cell r="Z594">
            <v>987.7</v>
          </cell>
        </row>
        <row r="618">
          <cell r="Z618">
            <v>989.18</v>
          </cell>
        </row>
        <row r="619">
          <cell r="Z619">
            <v>989.6</v>
          </cell>
        </row>
        <row r="620">
          <cell r="Z620">
            <v>989.68</v>
          </cell>
        </row>
        <row r="621">
          <cell r="Z621">
            <v>989.4</v>
          </cell>
        </row>
        <row r="622">
          <cell r="Z622">
            <v>989.11</v>
          </cell>
        </row>
        <row r="623">
          <cell r="Z623">
            <v>988.52</v>
          </cell>
        </row>
        <row r="624">
          <cell r="Z624">
            <v>987.86</v>
          </cell>
        </row>
        <row r="625">
          <cell r="Z625">
            <v>987.7</v>
          </cell>
        </row>
        <row r="626">
          <cell r="Z626">
            <v>987.2</v>
          </cell>
        </row>
        <row r="627">
          <cell r="Z627">
            <v>987.3</v>
          </cell>
        </row>
        <row r="628">
          <cell r="Z628">
            <v>988.2</v>
          </cell>
        </row>
        <row r="629">
          <cell r="Z629">
            <v>988.6</v>
          </cell>
        </row>
        <row r="630">
          <cell r="Z630">
            <v>989.2</v>
          </cell>
        </row>
        <row r="654">
          <cell r="Z654">
            <v>990.2</v>
          </cell>
        </row>
        <row r="655">
          <cell r="Z655">
            <v>990.4</v>
          </cell>
        </row>
        <row r="656">
          <cell r="Z656">
            <v>990.4</v>
          </cell>
        </row>
        <row r="657">
          <cell r="Z657">
            <v>990.1</v>
          </cell>
        </row>
        <row r="658">
          <cell r="Z658">
            <v>989.9</v>
          </cell>
        </row>
        <row r="659">
          <cell r="Z659">
            <v>988.9</v>
          </cell>
        </row>
        <row r="660">
          <cell r="Z660">
            <v>988.6</v>
          </cell>
        </row>
        <row r="661">
          <cell r="Z661">
            <v>987.82</v>
          </cell>
        </row>
        <row r="662">
          <cell r="Z662">
            <v>987.63</v>
          </cell>
        </row>
        <row r="663">
          <cell r="Z663">
            <v>987.4</v>
          </cell>
        </row>
        <row r="664">
          <cell r="Z664">
            <v>987.74</v>
          </cell>
        </row>
        <row r="665">
          <cell r="Z665">
            <v>988.57</v>
          </cell>
        </row>
        <row r="666">
          <cell r="Z666">
            <v>989.08</v>
          </cell>
        </row>
        <row r="690">
          <cell r="Z690">
            <v>990.6</v>
          </cell>
        </row>
        <row r="691">
          <cell r="Z691">
            <v>990.8</v>
          </cell>
        </row>
        <row r="692">
          <cell r="Z692">
            <v>991</v>
          </cell>
        </row>
        <row r="693">
          <cell r="Z693">
            <v>990.6</v>
          </cell>
        </row>
        <row r="694">
          <cell r="Z694">
            <v>990.1</v>
          </cell>
        </row>
        <row r="695">
          <cell r="Z695">
            <v>989.2</v>
          </cell>
        </row>
        <row r="696">
          <cell r="Z696">
            <v>988.3</v>
          </cell>
        </row>
        <row r="697">
          <cell r="Z697">
            <v>987.6</v>
          </cell>
        </row>
        <row r="698">
          <cell r="Z698">
            <v>987</v>
          </cell>
        </row>
        <row r="699">
          <cell r="Z699">
            <v>987</v>
          </cell>
        </row>
        <row r="700">
          <cell r="Z700">
            <v>987.6</v>
          </cell>
        </row>
        <row r="701">
          <cell r="Z701">
            <v>988.5</v>
          </cell>
        </row>
        <row r="702">
          <cell r="Z702">
            <v>988.8</v>
          </cell>
        </row>
        <row r="726">
          <cell r="Z726">
            <v>989.7</v>
          </cell>
        </row>
        <row r="727">
          <cell r="Z727">
            <v>990.4</v>
          </cell>
        </row>
        <row r="728">
          <cell r="Z728">
            <v>990.1</v>
          </cell>
        </row>
        <row r="729">
          <cell r="Z729">
            <v>989.8</v>
          </cell>
        </row>
        <row r="730">
          <cell r="Z730">
            <v>989.6</v>
          </cell>
        </row>
        <row r="731">
          <cell r="Z731">
            <v>988.9</v>
          </cell>
        </row>
        <row r="732">
          <cell r="Z732">
            <v>988.2</v>
          </cell>
        </row>
        <row r="733">
          <cell r="Z733">
            <v>987.9</v>
          </cell>
        </row>
        <row r="734">
          <cell r="Z734">
            <v>1007.6</v>
          </cell>
        </row>
        <row r="735">
          <cell r="Z735">
            <v>987.3</v>
          </cell>
        </row>
        <row r="736">
          <cell r="Z736">
            <v>987.9</v>
          </cell>
        </row>
        <row r="737">
          <cell r="Z737">
            <v>988.6</v>
          </cell>
        </row>
        <row r="738">
          <cell r="Z738">
            <v>989.5</v>
          </cell>
        </row>
        <row r="762">
          <cell r="Z762">
            <v>991.8</v>
          </cell>
        </row>
        <row r="764">
          <cell r="Z764">
            <v>993.1</v>
          </cell>
        </row>
        <row r="765">
          <cell r="Z765">
            <v>991.8</v>
          </cell>
        </row>
        <row r="766">
          <cell r="Z766">
            <v>990.4</v>
          </cell>
        </row>
        <row r="767">
          <cell r="Z767">
            <v>989.9</v>
          </cell>
        </row>
        <row r="768">
          <cell r="Z768">
            <v>989.5</v>
          </cell>
        </row>
        <row r="769">
          <cell r="Z769">
            <v>988.9</v>
          </cell>
        </row>
        <row r="770">
          <cell r="Z770">
            <v>988.7</v>
          </cell>
        </row>
        <row r="771">
          <cell r="Z771">
            <v>988.6</v>
          </cell>
        </row>
        <row r="772">
          <cell r="Z772">
            <v>988.9</v>
          </cell>
        </row>
        <row r="773">
          <cell r="Z773">
            <v>989.6</v>
          </cell>
        </row>
        <row r="774">
          <cell r="Z774">
            <v>990.4</v>
          </cell>
        </row>
        <row r="798">
          <cell r="Z798">
            <v>990.72</v>
          </cell>
        </row>
        <row r="799">
          <cell r="Z799">
            <v>990.79</v>
          </cell>
        </row>
        <row r="800">
          <cell r="Z800">
            <v>991.06</v>
          </cell>
        </row>
        <row r="801">
          <cell r="Z801">
            <v>991</v>
          </cell>
        </row>
        <row r="802">
          <cell r="Z802">
            <v>990.23</v>
          </cell>
        </row>
        <row r="803">
          <cell r="Z803">
            <v>989.35</v>
          </cell>
        </row>
        <row r="804">
          <cell r="Z804">
            <v>988.88</v>
          </cell>
        </row>
        <row r="805">
          <cell r="Z805">
            <v>988.33</v>
          </cell>
        </row>
        <row r="806">
          <cell r="Z806">
            <v>988.37</v>
          </cell>
        </row>
        <row r="807">
          <cell r="Z807">
            <v>988.61</v>
          </cell>
        </row>
        <row r="808">
          <cell r="Z808">
            <v>989.05</v>
          </cell>
        </row>
        <row r="809">
          <cell r="Z809">
            <v>989.35</v>
          </cell>
        </row>
        <row r="810">
          <cell r="Z810">
            <v>990.1</v>
          </cell>
        </row>
        <row r="834">
          <cell r="Z834">
            <v>990.91</v>
          </cell>
        </row>
        <row r="835">
          <cell r="Z835">
            <v>997.83</v>
          </cell>
        </row>
        <row r="836">
          <cell r="Z836">
            <v>991.97</v>
          </cell>
        </row>
        <row r="837">
          <cell r="Z837">
            <v>991.69</v>
          </cell>
        </row>
        <row r="838">
          <cell r="Z838">
            <v>991.41</v>
          </cell>
        </row>
        <row r="839">
          <cell r="Z839">
            <v>990.26</v>
          </cell>
        </row>
        <row r="840">
          <cell r="Z840">
            <v>989.87</v>
          </cell>
        </row>
        <row r="841">
          <cell r="Z841">
            <v>988.6</v>
          </cell>
        </row>
        <row r="842">
          <cell r="Z842">
            <v>987.9</v>
          </cell>
        </row>
        <row r="843">
          <cell r="Z843">
            <v>988</v>
          </cell>
        </row>
        <row r="844">
          <cell r="Z844">
            <v>988.5</v>
          </cell>
        </row>
        <row r="845">
          <cell r="Z845">
            <v>989.4</v>
          </cell>
        </row>
        <row r="846">
          <cell r="Z846">
            <v>990.2</v>
          </cell>
        </row>
        <row r="870">
          <cell r="Z870">
            <v>990.45</v>
          </cell>
        </row>
        <row r="871">
          <cell r="Z871">
            <v>991.67</v>
          </cell>
        </row>
        <row r="872">
          <cell r="Z872">
            <v>991.4</v>
          </cell>
        </row>
        <row r="873">
          <cell r="Z873">
            <v>991.27</v>
          </cell>
        </row>
        <row r="874">
          <cell r="Z874">
            <v>990.46</v>
          </cell>
        </row>
        <row r="875">
          <cell r="Z875">
            <v>989.36</v>
          </cell>
        </row>
        <row r="876">
          <cell r="Z876">
            <v>988.6</v>
          </cell>
        </row>
        <row r="877">
          <cell r="Z877">
            <v>987.55</v>
          </cell>
        </row>
        <row r="878">
          <cell r="Z878">
            <v>987.28</v>
          </cell>
        </row>
        <row r="879">
          <cell r="Z879">
            <v>987.58</v>
          </cell>
        </row>
        <row r="880">
          <cell r="Z880">
            <v>988.34</v>
          </cell>
        </row>
        <row r="881">
          <cell r="Z881">
            <v>989.23</v>
          </cell>
        </row>
        <row r="882">
          <cell r="Z882">
            <v>989.87</v>
          </cell>
        </row>
        <row r="906">
          <cell r="Z906">
            <v>990.6</v>
          </cell>
        </row>
        <row r="907">
          <cell r="Z907">
            <v>990.7</v>
          </cell>
        </row>
        <row r="908">
          <cell r="Z908">
            <v>990.5</v>
          </cell>
        </row>
        <row r="909">
          <cell r="Z909">
            <v>990.1</v>
          </cell>
        </row>
        <row r="910">
          <cell r="Z910">
            <v>989.3</v>
          </cell>
        </row>
        <row r="911">
          <cell r="Z911">
            <v>988.6</v>
          </cell>
        </row>
        <row r="912">
          <cell r="Z912">
            <v>987.4</v>
          </cell>
        </row>
        <row r="913">
          <cell r="Z913">
            <v>986.8</v>
          </cell>
        </row>
        <row r="914">
          <cell r="Z914">
            <v>986.9</v>
          </cell>
        </row>
        <row r="915">
          <cell r="Z915">
            <v>987.9</v>
          </cell>
        </row>
        <row r="916">
          <cell r="Z916">
            <v>989</v>
          </cell>
        </row>
        <row r="917">
          <cell r="Z917">
            <v>990.2</v>
          </cell>
        </row>
        <row r="918">
          <cell r="Z918">
            <v>990.8</v>
          </cell>
        </row>
        <row r="942">
          <cell r="Z942">
            <v>989.5</v>
          </cell>
        </row>
        <row r="943">
          <cell r="Z943">
            <v>990.2</v>
          </cell>
        </row>
        <row r="944">
          <cell r="Z944">
            <v>990.3</v>
          </cell>
        </row>
        <row r="945">
          <cell r="Z945">
            <v>989.8</v>
          </cell>
        </row>
        <row r="946">
          <cell r="Z946">
            <v>989.3</v>
          </cell>
        </row>
        <row r="947">
          <cell r="Z947">
            <v>987.3</v>
          </cell>
        </row>
        <row r="948">
          <cell r="Z948">
            <v>987</v>
          </cell>
        </row>
        <row r="949">
          <cell r="Z949">
            <v>986.2</v>
          </cell>
        </row>
        <row r="950">
          <cell r="Z950">
            <v>986.1</v>
          </cell>
        </row>
        <row r="951">
          <cell r="Z951">
            <v>986</v>
          </cell>
        </row>
        <row r="952">
          <cell r="Z952">
            <v>986.6</v>
          </cell>
        </row>
        <row r="953">
          <cell r="Z953">
            <v>987.2</v>
          </cell>
        </row>
        <row r="954">
          <cell r="Z954">
            <v>987.8</v>
          </cell>
        </row>
        <row r="978">
          <cell r="Z978">
            <v>988.39</v>
          </cell>
        </row>
        <row r="979">
          <cell r="Z979">
            <v>989.13</v>
          </cell>
        </row>
        <row r="980">
          <cell r="Z980">
            <v>989.57</v>
          </cell>
        </row>
        <row r="981">
          <cell r="Z981">
            <v>989.24</v>
          </cell>
        </row>
        <row r="982">
          <cell r="Z982">
            <v>988.3</v>
          </cell>
        </row>
        <row r="983">
          <cell r="Z983">
            <v>987.9</v>
          </cell>
        </row>
        <row r="984">
          <cell r="Z984">
            <v>987.16</v>
          </cell>
        </row>
        <row r="985">
          <cell r="Z985">
            <v>986.4</v>
          </cell>
        </row>
        <row r="986">
          <cell r="Z986">
            <v>986.3</v>
          </cell>
        </row>
        <row r="987">
          <cell r="Z987">
            <v>986.2</v>
          </cell>
        </row>
        <row r="988">
          <cell r="Z988">
            <v>986.6</v>
          </cell>
        </row>
        <row r="989">
          <cell r="Z989">
            <v>987.2</v>
          </cell>
        </row>
        <row r="990">
          <cell r="Z990">
            <v>987.5</v>
          </cell>
        </row>
        <row r="1121">
          <cell r="R1121" t="str">
            <v xml:space="preserve">TIM PEMBUAT LAPORAN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3">
          <cell r="M43" t="str">
            <v>Mengetahui,</v>
          </cell>
        </row>
        <row r="44">
          <cell r="M44" t="str">
            <v>Kepala Stasiun Klimatologi Kelas IV</v>
          </cell>
          <cell r="T44" t="str">
            <v>Pengolah</v>
          </cell>
        </row>
        <row r="45">
          <cell r="M45" t="str">
            <v>Sleman Yogyakarta</v>
          </cell>
        </row>
        <row r="50">
          <cell r="M50" t="str">
            <v>RENI KRANINGTYAS, SP, M.Si</v>
          </cell>
          <cell r="T50" t="str">
            <v xml:space="preserve">TIM PEMBUAT LAPORAN </v>
          </cell>
        </row>
        <row r="51">
          <cell r="M51" t="str">
            <v>NIP.  19740203 199703 2 001</v>
          </cell>
          <cell r="T51" t="str">
            <v xml:space="preserve">PETUGAS OPERASIONAL </v>
          </cell>
        </row>
      </sheetData>
      <sheetData sheetId="10"/>
      <sheetData sheetId="11"/>
      <sheetData sheetId="12"/>
      <sheetData sheetId="13">
        <row r="11">
          <cell r="Y11" t="str">
            <v>Februari 2022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C3" t="str">
            <v>Februari 2022</v>
          </cell>
        </row>
      </sheetData>
      <sheetData sheetId="20">
        <row r="42">
          <cell r="C42" t="str">
            <v>Mengetahui,</v>
          </cell>
        </row>
      </sheetData>
      <sheetData sheetId="21">
        <row r="1">
          <cell r="F1" t="str">
            <v>STASIUN KLIMATOLOGI KL. IV SLEMAN</v>
          </cell>
        </row>
      </sheetData>
      <sheetData sheetId="22">
        <row r="1">
          <cell r="H1" t="str">
            <v>STASIUN KLIMATOLOGI KL. IV SLEMAN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MARET</v>
          </cell>
        </row>
        <row r="6">
          <cell r="Z6">
            <v>988.1</v>
          </cell>
        </row>
        <row r="7">
          <cell r="Z7">
            <v>989.1</v>
          </cell>
        </row>
        <row r="8">
          <cell r="Z8">
            <v>989.6</v>
          </cell>
        </row>
        <row r="9">
          <cell r="Z9">
            <v>989</v>
          </cell>
        </row>
        <row r="10">
          <cell r="Z10">
            <v>988.4</v>
          </cell>
        </row>
        <row r="11">
          <cell r="Z11">
            <v>987.7</v>
          </cell>
        </row>
        <row r="12">
          <cell r="Z12">
            <v>987.2</v>
          </cell>
        </row>
        <row r="13">
          <cell r="Z13">
            <v>986.42</v>
          </cell>
        </row>
        <row r="14">
          <cell r="Z14">
            <v>986.3</v>
          </cell>
        </row>
        <row r="15">
          <cell r="Z15">
            <v>986.77</v>
          </cell>
        </row>
        <row r="16">
          <cell r="Z16">
            <v>986.76</v>
          </cell>
        </row>
        <row r="17">
          <cell r="Z17">
            <v>987.7</v>
          </cell>
        </row>
        <row r="18">
          <cell r="Z18">
            <v>988.3</v>
          </cell>
        </row>
        <row r="42">
          <cell r="Z42">
            <v>988.23</v>
          </cell>
        </row>
        <row r="43">
          <cell r="Z43">
            <v>988.64</v>
          </cell>
        </row>
        <row r="44">
          <cell r="Z44">
            <v>988.93</v>
          </cell>
        </row>
        <row r="45">
          <cell r="Z45">
            <v>988.82</v>
          </cell>
        </row>
        <row r="46">
          <cell r="Z46">
            <v>988.34</v>
          </cell>
        </row>
        <row r="47">
          <cell r="Z47">
            <v>987.71</v>
          </cell>
        </row>
        <row r="48">
          <cell r="Z48">
            <v>987.34</v>
          </cell>
        </row>
        <row r="49">
          <cell r="Z49">
            <v>986.86</v>
          </cell>
        </row>
        <row r="50">
          <cell r="Z50">
            <v>986.78</v>
          </cell>
        </row>
        <row r="51">
          <cell r="Z51">
            <v>986.24</v>
          </cell>
        </row>
        <row r="52">
          <cell r="Z52">
            <v>986.07</v>
          </cell>
        </row>
        <row r="53">
          <cell r="Z53">
            <v>987.72</v>
          </cell>
        </row>
        <row r="54">
          <cell r="Z54">
            <v>988.77</v>
          </cell>
        </row>
        <row r="78">
          <cell r="Z78">
            <v>988.57</v>
          </cell>
        </row>
        <row r="79">
          <cell r="Z79">
            <v>989.45</v>
          </cell>
        </row>
        <row r="80">
          <cell r="Z80">
            <v>989.79</v>
          </cell>
        </row>
        <row r="81">
          <cell r="Z81">
            <v>989.18</v>
          </cell>
        </row>
        <row r="82">
          <cell r="Z82">
            <v>989.06</v>
          </cell>
        </row>
        <row r="83">
          <cell r="Z83">
            <v>988.27</v>
          </cell>
        </row>
        <row r="84">
          <cell r="Z84">
            <v>987.08</v>
          </cell>
        </row>
        <row r="85">
          <cell r="Z85">
            <v>986.4</v>
          </cell>
        </row>
        <row r="86">
          <cell r="Z86">
            <v>986.4</v>
          </cell>
        </row>
        <row r="87">
          <cell r="Z87">
            <v>986.7</v>
          </cell>
        </row>
        <row r="88">
          <cell r="Z88">
            <v>987.4</v>
          </cell>
        </row>
        <row r="89">
          <cell r="Z89">
            <v>987.9</v>
          </cell>
        </row>
        <row r="90">
          <cell r="Z90">
            <v>988.9</v>
          </cell>
        </row>
        <row r="114">
          <cell r="Z114">
            <v>990.6</v>
          </cell>
        </row>
        <row r="115">
          <cell r="Z115">
            <v>990.7</v>
          </cell>
        </row>
        <row r="116">
          <cell r="Z116">
            <v>990.8</v>
          </cell>
        </row>
        <row r="117">
          <cell r="Z117">
            <v>990.9</v>
          </cell>
        </row>
        <row r="118">
          <cell r="Z118">
            <v>990.4</v>
          </cell>
        </row>
        <row r="119">
          <cell r="Z119">
            <v>989.4</v>
          </cell>
        </row>
        <row r="120">
          <cell r="Z120">
            <v>988.7</v>
          </cell>
        </row>
        <row r="121">
          <cell r="Z121">
            <v>987.9</v>
          </cell>
        </row>
        <row r="122">
          <cell r="Z122">
            <v>987.6</v>
          </cell>
        </row>
        <row r="123">
          <cell r="Z123">
            <v>987.3</v>
          </cell>
        </row>
        <row r="124">
          <cell r="Z124">
            <v>987.7</v>
          </cell>
        </row>
        <row r="125">
          <cell r="Z125">
            <v>988</v>
          </cell>
        </row>
        <row r="126">
          <cell r="Z126">
            <v>989</v>
          </cell>
        </row>
        <row r="150">
          <cell r="Z150">
            <v>989.8</v>
          </cell>
        </row>
        <row r="151">
          <cell r="Z151">
            <v>990.3</v>
          </cell>
        </row>
        <row r="152">
          <cell r="Z152">
            <v>990.6</v>
          </cell>
        </row>
        <row r="153">
          <cell r="Z153">
            <v>990.5</v>
          </cell>
        </row>
        <row r="154">
          <cell r="Z154">
            <v>990.4</v>
          </cell>
        </row>
        <row r="155">
          <cell r="Z155">
            <v>989.6</v>
          </cell>
        </row>
        <row r="156">
          <cell r="Z156">
            <v>988.7</v>
          </cell>
        </row>
        <row r="157">
          <cell r="Z157">
            <v>988</v>
          </cell>
        </row>
        <row r="158">
          <cell r="Z158">
            <v>987.6</v>
          </cell>
        </row>
        <row r="159">
          <cell r="Z159">
            <v>987.2</v>
          </cell>
        </row>
        <row r="160">
          <cell r="Z160">
            <v>988.1</v>
          </cell>
        </row>
        <row r="161">
          <cell r="Z161">
            <v>988.8</v>
          </cell>
        </row>
        <row r="162">
          <cell r="Z162">
            <v>989.2</v>
          </cell>
        </row>
        <row r="186">
          <cell r="Z186">
            <v>989.7</v>
          </cell>
        </row>
        <row r="187">
          <cell r="Z187">
            <v>990.4</v>
          </cell>
        </row>
        <row r="188">
          <cell r="Z188">
            <v>990.3</v>
          </cell>
        </row>
        <row r="189">
          <cell r="Z189">
            <v>990.1</v>
          </cell>
        </row>
        <row r="190">
          <cell r="Z190">
            <v>989.2</v>
          </cell>
        </row>
        <row r="191">
          <cell r="Z191">
            <v>988.4</v>
          </cell>
        </row>
        <row r="192">
          <cell r="Z192">
            <v>987.4</v>
          </cell>
        </row>
        <row r="193">
          <cell r="Z193">
            <v>987</v>
          </cell>
        </row>
        <row r="194">
          <cell r="Z194">
            <v>986.5</v>
          </cell>
        </row>
        <row r="195">
          <cell r="Z195">
            <v>986.6</v>
          </cell>
        </row>
        <row r="196">
          <cell r="Z196">
            <v>987.2</v>
          </cell>
        </row>
        <row r="197">
          <cell r="Z197">
            <v>988.4</v>
          </cell>
        </row>
        <row r="198">
          <cell r="Z198">
            <v>989.1</v>
          </cell>
        </row>
        <row r="222">
          <cell r="Z222">
            <v>989.9</v>
          </cell>
        </row>
        <row r="223">
          <cell r="Z223">
            <v>990.6</v>
          </cell>
        </row>
        <row r="224">
          <cell r="Z224">
            <v>990.4</v>
          </cell>
        </row>
        <row r="225">
          <cell r="Z225">
            <v>989.9</v>
          </cell>
        </row>
        <row r="226">
          <cell r="Z226">
            <v>989.4</v>
          </cell>
        </row>
        <row r="227">
          <cell r="Z227">
            <v>988.6</v>
          </cell>
        </row>
        <row r="228">
          <cell r="Z228">
            <v>987.3</v>
          </cell>
        </row>
        <row r="229">
          <cell r="Z229">
            <v>987.06</v>
          </cell>
        </row>
        <row r="230">
          <cell r="Z230">
            <v>986.63</v>
          </cell>
        </row>
        <row r="231">
          <cell r="Z231">
            <v>987.34</v>
          </cell>
        </row>
        <row r="232">
          <cell r="Z232">
            <v>988.19</v>
          </cell>
        </row>
        <row r="233">
          <cell r="Z233">
            <v>988.72</v>
          </cell>
        </row>
        <row r="234">
          <cell r="Z234">
            <v>988.82</v>
          </cell>
        </row>
        <row r="258">
          <cell r="Z258">
            <v>989.07</v>
          </cell>
        </row>
        <row r="259">
          <cell r="Z259">
            <v>989.48</v>
          </cell>
        </row>
        <row r="260">
          <cell r="Z260">
            <v>989.45</v>
          </cell>
        </row>
        <row r="261">
          <cell r="Z261">
            <v>989.26</v>
          </cell>
        </row>
        <row r="262">
          <cell r="Z262">
            <v>988.6</v>
          </cell>
        </row>
        <row r="263">
          <cell r="Z263">
            <v>987.8</v>
          </cell>
        </row>
        <row r="264">
          <cell r="Z264">
            <v>987.29</v>
          </cell>
        </row>
        <row r="265">
          <cell r="Z265">
            <v>986.37</v>
          </cell>
        </row>
        <row r="266">
          <cell r="Z266">
            <v>985.73</v>
          </cell>
        </row>
        <row r="267">
          <cell r="Z267">
            <v>986.06</v>
          </cell>
        </row>
        <row r="268">
          <cell r="Z268">
            <v>987.15</v>
          </cell>
        </row>
        <row r="269">
          <cell r="Z269">
            <v>987.97</v>
          </cell>
        </row>
        <row r="270">
          <cell r="Z270">
            <v>988.45</v>
          </cell>
        </row>
        <row r="294">
          <cell r="Z294">
            <v>988.53</v>
          </cell>
        </row>
        <row r="295">
          <cell r="Z295">
            <v>989.52</v>
          </cell>
        </row>
        <row r="296">
          <cell r="Z296">
            <v>989.46</v>
          </cell>
        </row>
        <row r="297">
          <cell r="Z297">
            <v>989.03</v>
          </cell>
        </row>
        <row r="298">
          <cell r="Z298">
            <v>988.65</v>
          </cell>
        </row>
        <row r="299">
          <cell r="Z299">
            <v>987.68</v>
          </cell>
        </row>
        <row r="300">
          <cell r="Z300">
            <v>986.51</v>
          </cell>
        </row>
        <row r="301">
          <cell r="Z301">
            <v>985.5</v>
          </cell>
        </row>
        <row r="302">
          <cell r="Z302">
            <v>985.5</v>
          </cell>
        </row>
        <row r="303">
          <cell r="Z303">
            <v>986.1</v>
          </cell>
        </row>
        <row r="304">
          <cell r="Z304">
            <v>986.2</v>
          </cell>
        </row>
        <row r="305">
          <cell r="Z305">
            <v>987</v>
          </cell>
        </row>
        <row r="306">
          <cell r="Z306">
            <v>987.9</v>
          </cell>
        </row>
        <row r="330">
          <cell r="Z330">
            <v>988.89</v>
          </cell>
        </row>
        <row r="331">
          <cell r="Z331">
            <v>989.18</v>
          </cell>
        </row>
        <row r="332">
          <cell r="Z332">
            <v>988.94</v>
          </cell>
        </row>
        <row r="333">
          <cell r="Z333">
            <v>988.28</v>
          </cell>
        </row>
        <row r="334">
          <cell r="Z334">
            <v>987.65</v>
          </cell>
        </row>
        <row r="335">
          <cell r="Z335">
            <v>986.42</v>
          </cell>
        </row>
        <row r="336">
          <cell r="Z336">
            <v>985.65</v>
          </cell>
        </row>
        <row r="337">
          <cell r="Z337">
            <v>985</v>
          </cell>
        </row>
        <row r="338">
          <cell r="Z338">
            <v>984.7</v>
          </cell>
        </row>
        <row r="339">
          <cell r="Z339">
            <v>984.5</v>
          </cell>
        </row>
        <row r="340">
          <cell r="Z340">
            <v>985.7</v>
          </cell>
        </row>
        <row r="341">
          <cell r="Z341">
            <v>987</v>
          </cell>
        </row>
        <row r="342">
          <cell r="Z342">
            <v>988.3</v>
          </cell>
        </row>
        <row r="366">
          <cell r="Z366">
            <v>986.8</v>
          </cell>
        </row>
        <row r="367">
          <cell r="Z367">
            <v>987.4</v>
          </cell>
        </row>
        <row r="368">
          <cell r="Z368">
            <v>987.6</v>
          </cell>
        </row>
        <row r="369">
          <cell r="Z369">
            <v>987.4</v>
          </cell>
        </row>
        <row r="370">
          <cell r="Z370">
            <v>986.9</v>
          </cell>
        </row>
        <row r="371">
          <cell r="Z371">
            <v>985.7</v>
          </cell>
        </row>
        <row r="372">
          <cell r="Z372">
            <v>984.7</v>
          </cell>
        </row>
        <row r="373">
          <cell r="Z373">
            <v>983.9</v>
          </cell>
        </row>
        <row r="374">
          <cell r="Z374">
            <v>984.1</v>
          </cell>
        </row>
        <row r="375">
          <cell r="Z375">
            <v>984.3</v>
          </cell>
        </row>
        <row r="376">
          <cell r="Z376">
            <v>985</v>
          </cell>
        </row>
        <row r="377">
          <cell r="Z377">
            <v>985.7</v>
          </cell>
        </row>
        <row r="378">
          <cell r="Z378">
            <v>986.1</v>
          </cell>
        </row>
        <row r="402">
          <cell r="Z402">
            <v>986.9</v>
          </cell>
        </row>
        <row r="403">
          <cell r="Z403">
            <v>987.8</v>
          </cell>
        </row>
        <row r="404">
          <cell r="Z404">
            <v>987.8</v>
          </cell>
        </row>
        <row r="405">
          <cell r="Z405">
            <v>987.4</v>
          </cell>
        </row>
        <row r="406">
          <cell r="Z406">
            <v>986.5</v>
          </cell>
        </row>
        <row r="407">
          <cell r="Z407">
            <v>985.6</v>
          </cell>
        </row>
        <row r="408">
          <cell r="Z408">
            <v>984.6</v>
          </cell>
        </row>
        <row r="409">
          <cell r="Z409">
            <v>984.1</v>
          </cell>
        </row>
        <row r="410">
          <cell r="Z410">
            <v>984.2</v>
          </cell>
        </row>
        <row r="411">
          <cell r="Z411">
            <v>984.8</v>
          </cell>
        </row>
        <row r="412">
          <cell r="Z412">
            <v>985.6</v>
          </cell>
        </row>
        <row r="413">
          <cell r="Z413">
            <v>985.5</v>
          </cell>
        </row>
        <row r="414">
          <cell r="Z414">
            <v>986.4</v>
          </cell>
        </row>
        <row r="438">
          <cell r="Z438">
            <v>987.8</v>
          </cell>
        </row>
        <row r="439">
          <cell r="Z439">
            <v>988.6</v>
          </cell>
        </row>
        <row r="440">
          <cell r="Z440">
            <v>988.5</v>
          </cell>
        </row>
        <row r="441">
          <cell r="Z441">
            <v>988.1</v>
          </cell>
        </row>
        <row r="442">
          <cell r="Z442">
            <v>987.5</v>
          </cell>
        </row>
        <row r="443">
          <cell r="Z443">
            <v>986.6</v>
          </cell>
        </row>
        <row r="444">
          <cell r="Z444">
            <v>985.5</v>
          </cell>
        </row>
        <row r="445">
          <cell r="Z445">
            <v>984.57</v>
          </cell>
        </row>
        <row r="446">
          <cell r="Z446">
            <v>984.59</v>
          </cell>
        </row>
        <row r="447">
          <cell r="Z447">
            <v>985.57</v>
          </cell>
        </row>
        <row r="448">
          <cell r="Z448">
            <v>986.03</v>
          </cell>
        </row>
        <row r="449">
          <cell r="Z449">
            <v>987.24</v>
          </cell>
        </row>
        <row r="450">
          <cell r="Z450">
            <v>987.47</v>
          </cell>
        </row>
        <row r="474">
          <cell r="Z474">
            <v>988.7</v>
          </cell>
        </row>
        <row r="475">
          <cell r="Z475">
            <v>988.9</v>
          </cell>
        </row>
        <row r="476">
          <cell r="Z476">
            <v>989.3</v>
          </cell>
        </row>
        <row r="477">
          <cell r="Z477">
            <v>989.3</v>
          </cell>
        </row>
        <row r="478">
          <cell r="Z478">
            <v>988.6</v>
          </cell>
        </row>
        <row r="479">
          <cell r="Z479">
            <v>987.3</v>
          </cell>
        </row>
        <row r="480">
          <cell r="Z480">
            <v>986.2</v>
          </cell>
        </row>
        <row r="481">
          <cell r="Z481">
            <v>985.27</v>
          </cell>
        </row>
        <row r="482">
          <cell r="Z482">
            <v>984.54</v>
          </cell>
        </row>
        <row r="483">
          <cell r="Z483">
            <v>985.54</v>
          </cell>
        </row>
        <row r="484">
          <cell r="Z484">
            <v>985.96</v>
          </cell>
        </row>
        <row r="485">
          <cell r="Z485">
            <v>986.68</v>
          </cell>
        </row>
        <row r="486">
          <cell r="Z486">
            <v>987.74</v>
          </cell>
        </row>
        <row r="510">
          <cell r="Z510">
            <v>988.94</v>
          </cell>
        </row>
        <row r="511">
          <cell r="Z511">
            <v>989.37</v>
          </cell>
        </row>
        <row r="512">
          <cell r="Z512">
            <v>989.63</v>
          </cell>
        </row>
        <row r="513">
          <cell r="Z513">
            <v>989.5</v>
          </cell>
        </row>
        <row r="514">
          <cell r="Z514">
            <v>988.9</v>
          </cell>
        </row>
        <row r="515">
          <cell r="Z515">
            <v>988.05</v>
          </cell>
        </row>
        <row r="516">
          <cell r="Z516">
            <v>987.25</v>
          </cell>
        </row>
        <row r="517">
          <cell r="Z517">
            <v>986.4</v>
          </cell>
        </row>
        <row r="518">
          <cell r="Z518">
            <v>985.6</v>
          </cell>
        </row>
        <row r="519">
          <cell r="Z519">
            <v>985.8</v>
          </cell>
        </row>
        <row r="520">
          <cell r="Z520">
            <v>985.9</v>
          </cell>
        </row>
        <row r="521">
          <cell r="Z521">
            <v>986.3</v>
          </cell>
        </row>
        <row r="522">
          <cell r="Z522">
            <v>987.1</v>
          </cell>
        </row>
        <row r="546">
          <cell r="Z546">
            <v>988</v>
          </cell>
        </row>
        <row r="547">
          <cell r="Z547">
            <v>988.6</v>
          </cell>
        </row>
        <row r="548">
          <cell r="Z548">
            <v>989</v>
          </cell>
        </row>
        <row r="549">
          <cell r="Z549">
            <v>988.9</v>
          </cell>
        </row>
        <row r="550">
          <cell r="Z550">
            <v>987.9</v>
          </cell>
        </row>
        <row r="551">
          <cell r="Z551">
            <v>986.7</v>
          </cell>
        </row>
        <row r="552">
          <cell r="Z552">
            <v>986</v>
          </cell>
        </row>
        <row r="553">
          <cell r="Z553">
            <v>984.8</v>
          </cell>
        </row>
        <row r="554">
          <cell r="Z554">
            <v>984.5</v>
          </cell>
        </row>
        <row r="555">
          <cell r="Z555">
            <v>985.8</v>
          </cell>
        </row>
        <row r="556">
          <cell r="Z556">
            <v>987</v>
          </cell>
        </row>
        <row r="557">
          <cell r="Z557">
            <v>987.5</v>
          </cell>
        </row>
        <row r="558">
          <cell r="Z558">
            <v>987.4</v>
          </cell>
        </row>
        <row r="582">
          <cell r="Z582">
            <v>988.2</v>
          </cell>
        </row>
        <row r="583">
          <cell r="Z583">
            <v>988.7</v>
          </cell>
        </row>
        <row r="584">
          <cell r="Z584">
            <v>988.8</v>
          </cell>
        </row>
        <row r="585">
          <cell r="Z585">
            <v>988.5</v>
          </cell>
        </row>
        <row r="586">
          <cell r="Z586">
            <v>987.8</v>
          </cell>
        </row>
        <row r="587">
          <cell r="Z587">
            <v>986.9</v>
          </cell>
        </row>
        <row r="588">
          <cell r="Z588">
            <v>985.7</v>
          </cell>
        </row>
        <row r="589">
          <cell r="Z589">
            <v>984.4</v>
          </cell>
        </row>
        <row r="590">
          <cell r="Z590">
            <v>983.9</v>
          </cell>
        </row>
        <row r="591">
          <cell r="Z591">
            <v>983.8</v>
          </cell>
        </row>
        <row r="592">
          <cell r="Z592">
            <v>984.15</v>
          </cell>
        </row>
        <row r="593">
          <cell r="Z593">
            <v>984.79</v>
          </cell>
        </row>
        <row r="594">
          <cell r="Z594">
            <v>985.4</v>
          </cell>
        </row>
        <row r="618">
          <cell r="Z618">
            <v>988.3</v>
          </cell>
        </row>
        <row r="619">
          <cell r="Z619">
            <v>988.7</v>
          </cell>
        </row>
        <row r="620">
          <cell r="Z620">
            <v>988.6</v>
          </cell>
        </row>
        <row r="621">
          <cell r="Z621">
            <v>987.8</v>
          </cell>
        </row>
        <row r="622">
          <cell r="Z622">
            <v>986.9</v>
          </cell>
        </row>
        <row r="623">
          <cell r="Z623">
            <v>986.7</v>
          </cell>
        </row>
        <row r="624">
          <cell r="Z624">
            <v>985.7</v>
          </cell>
        </row>
        <row r="625">
          <cell r="Z625">
            <v>984.6</v>
          </cell>
        </row>
        <row r="626">
          <cell r="Z626">
            <v>984.5</v>
          </cell>
        </row>
        <row r="627">
          <cell r="Z627">
            <v>984.5</v>
          </cell>
        </row>
        <row r="628">
          <cell r="Z628">
            <v>985.1</v>
          </cell>
        </row>
        <row r="629">
          <cell r="Z629">
            <v>985.6</v>
          </cell>
        </row>
        <row r="630">
          <cell r="Z630">
            <v>986.6</v>
          </cell>
        </row>
        <row r="654">
          <cell r="Z654">
            <v>987.75</v>
          </cell>
        </row>
        <row r="655">
          <cell r="Z655">
            <v>988.27</v>
          </cell>
        </row>
        <row r="656">
          <cell r="Z656">
            <v>988.39</v>
          </cell>
        </row>
        <row r="657">
          <cell r="Z657">
            <v>988.98</v>
          </cell>
        </row>
        <row r="658">
          <cell r="Z658">
            <v>987.4</v>
          </cell>
        </row>
        <row r="659">
          <cell r="Z659">
            <v>986.47</v>
          </cell>
        </row>
        <row r="660">
          <cell r="Z660">
            <v>985.84</v>
          </cell>
        </row>
        <row r="661">
          <cell r="Z661">
            <v>985.3</v>
          </cell>
        </row>
        <row r="662">
          <cell r="Z662">
            <v>985.3</v>
          </cell>
        </row>
        <row r="663">
          <cell r="Z663">
            <v>985.7</v>
          </cell>
        </row>
        <row r="664">
          <cell r="Z664">
            <v>986.2</v>
          </cell>
        </row>
        <row r="665">
          <cell r="Z665">
            <v>986.8</v>
          </cell>
        </row>
        <row r="666">
          <cell r="Z666">
            <v>987.7</v>
          </cell>
        </row>
        <row r="690">
          <cell r="Z690">
            <v>988.02</v>
          </cell>
        </row>
        <row r="691">
          <cell r="Z691">
            <v>988.41</v>
          </cell>
        </row>
        <row r="692">
          <cell r="Z692">
            <v>989.01</v>
          </cell>
        </row>
        <row r="693">
          <cell r="Z693">
            <v>989.28</v>
          </cell>
        </row>
        <row r="694">
          <cell r="Z694">
            <v>988.52</v>
          </cell>
        </row>
        <row r="695">
          <cell r="Z695">
            <v>987.9</v>
          </cell>
        </row>
        <row r="696">
          <cell r="Z696">
            <v>986.92</v>
          </cell>
        </row>
        <row r="697">
          <cell r="Z697">
            <v>986.9</v>
          </cell>
        </row>
        <row r="698">
          <cell r="Z698">
            <v>986.8</v>
          </cell>
        </row>
        <row r="699">
          <cell r="Z699">
            <v>986.8</v>
          </cell>
        </row>
        <row r="700">
          <cell r="Z700">
            <v>987.7</v>
          </cell>
        </row>
        <row r="701">
          <cell r="Z701">
            <v>988.1</v>
          </cell>
        </row>
        <row r="702">
          <cell r="Z702">
            <v>988.3</v>
          </cell>
        </row>
        <row r="726">
          <cell r="Z726">
            <v>989.97</v>
          </cell>
        </row>
        <row r="727">
          <cell r="Z727">
            <v>990.2</v>
          </cell>
        </row>
        <row r="728">
          <cell r="Z728">
            <v>990</v>
          </cell>
        </row>
        <row r="729">
          <cell r="Z729">
            <v>989.7</v>
          </cell>
        </row>
        <row r="730">
          <cell r="Z730">
            <v>989.2</v>
          </cell>
        </row>
        <row r="731">
          <cell r="Z731">
            <v>988.8</v>
          </cell>
        </row>
        <row r="732">
          <cell r="Z732">
            <v>987.6</v>
          </cell>
        </row>
        <row r="733">
          <cell r="Z733">
            <v>987.4</v>
          </cell>
        </row>
        <row r="734">
          <cell r="Z734">
            <v>987.6</v>
          </cell>
        </row>
        <row r="735">
          <cell r="Z735">
            <v>987.7</v>
          </cell>
        </row>
        <row r="736">
          <cell r="Z736">
            <v>988.1</v>
          </cell>
        </row>
        <row r="737">
          <cell r="Z737">
            <v>988.5</v>
          </cell>
        </row>
        <row r="738">
          <cell r="Z738">
            <v>989.3</v>
          </cell>
        </row>
        <row r="762">
          <cell r="Z762">
            <v>989.9</v>
          </cell>
        </row>
        <row r="764">
          <cell r="Z764">
            <v>990.6</v>
          </cell>
        </row>
        <row r="765">
          <cell r="Z765">
            <v>989.7</v>
          </cell>
        </row>
        <row r="766">
          <cell r="Z766">
            <v>988.9</v>
          </cell>
        </row>
        <row r="767">
          <cell r="Z767">
            <v>987.9</v>
          </cell>
        </row>
        <row r="768">
          <cell r="Z768">
            <v>987</v>
          </cell>
        </row>
        <row r="769">
          <cell r="Z769">
            <v>986</v>
          </cell>
        </row>
        <row r="770">
          <cell r="Z770">
            <v>986.1</v>
          </cell>
        </row>
        <row r="771">
          <cell r="Z771">
            <v>987</v>
          </cell>
        </row>
        <row r="772">
          <cell r="Z772">
            <v>988.4</v>
          </cell>
        </row>
        <row r="773">
          <cell r="Z773">
            <v>989.7</v>
          </cell>
        </row>
        <row r="774">
          <cell r="Z774">
            <v>989.8</v>
          </cell>
        </row>
        <row r="798">
          <cell r="Z798">
            <v>990.2</v>
          </cell>
        </row>
        <row r="799">
          <cell r="Z799">
            <v>990.5</v>
          </cell>
        </row>
        <row r="800">
          <cell r="Z800">
            <v>990.5</v>
          </cell>
        </row>
        <row r="801">
          <cell r="Z801">
            <v>990.4</v>
          </cell>
        </row>
        <row r="802">
          <cell r="Z802">
            <v>989.4</v>
          </cell>
        </row>
        <row r="803">
          <cell r="Z803">
            <v>988.9</v>
          </cell>
        </row>
        <row r="804">
          <cell r="Z804">
            <v>987.6</v>
          </cell>
        </row>
        <row r="805">
          <cell r="Z805">
            <v>986.8</v>
          </cell>
        </row>
        <row r="806">
          <cell r="Z806">
            <v>986.6</v>
          </cell>
        </row>
        <row r="807">
          <cell r="Z807">
            <v>986.4</v>
          </cell>
        </row>
        <row r="808">
          <cell r="Z808">
            <v>986.7</v>
          </cell>
        </row>
        <row r="809">
          <cell r="Z809">
            <v>988.4</v>
          </cell>
        </row>
        <row r="810">
          <cell r="Z810">
            <v>989</v>
          </cell>
        </row>
        <row r="834">
          <cell r="Z834">
            <v>989.4</v>
          </cell>
        </row>
        <row r="835">
          <cell r="Z835">
            <v>989.6</v>
          </cell>
        </row>
        <row r="836">
          <cell r="Z836">
            <v>989.7</v>
          </cell>
        </row>
        <row r="837">
          <cell r="Z837">
            <v>989.1</v>
          </cell>
        </row>
        <row r="838">
          <cell r="Z838">
            <v>988.4</v>
          </cell>
        </row>
        <row r="839">
          <cell r="Z839">
            <v>987.6</v>
          </cell>
        </row>
        <row r="840">
          <cell r="Z840">
            <v>987</v>
          </cell>
        </row>
        <row r="841">
          <cell r="Z841">
            <v>986.6</v>
          </cell>
        </row>
        <row r="842">
          <cell r="Z842">
            <v>987</v>
          </cell>
        </row>
        <row r="843">
          <cell r="Z843">
            <v>987.8</v>
          </cell>
        </row>
        <row r="844">
          <cell r="Z844">
            <v>987.7</v>
          </cell>
        </row>
        <row r="845">
          <cell r="Z845">
            <v>988.3</v>
          </cell>
        </row>
        <row r="846">
          <cell r="Z846">
            <v>989</v>
          </cell>
        </row>
        <row r="870">
          <cell r="Z870">
            <v>991.3</v>
          </cell>
        </row>
        <row r="871">
          <cell r="Z871">
            <v>992.1</v>
          </cell>
        </row>
        <row r="872">
          <cell r="Z872">
            <v>992.5</v>
          </cell>
        </row>
        <row r="873">
          <cell r="Z873">
            <v>991.8</v>
          </cell>
        </row>
        <row r="874">
          <cell r="Z874">
            <v>990.6</v>
          </cell>
        </row>
        <row r="875">
          <cell r="Z875">
            <v>989.7</v>
          </cell>
        </row>
        <row r="876">
          <cell r="Z876">
            <v>988.9</v>
          </cell>
        </row>
        <row r="877">
          <cell r="Z877">
            <v>988.28</v>
          </cell>
        </row>
        <row r="878">
          <cell r="Z878">
            <v>987.92</v>
          </cell>
        </row>
        <row r="879">
          <cell r="Z879">
            <v>987.58</v>
          </cell>
        </row>
        <row r="880">
          <cell r="Z880">
            <v>987.87</v>
          </cell>
        </row>
        <row r="881">
          <cell r="Z881">
            <v>988.83</v>
          </cell>
        </row>
        <row r="882">
          <cell r="Z882">
            <v>989.66</v>
          </cell>
        </row>
        <row r="906">
          <cell r="Z906">
            <v>991.14</v>
          </cell>
        </row>
        <row r="907">
          <cell r="Z907">
            <v>992.18</v>
          </cell>
        </row>
        <row r="908">
          <cell r="Z908">
            <v>992.24</v>
          </cell>
        </row>
        <row r="909">
          <cell r="Z909">
            <v>991.91</v>
          </cell>
        </row>
        <row r="910">
          <cell r="Z910">
            <v>991.08</v>
          </cell>
        </row>
        <row r="911">
          <cell r="Z911">
            <v>989.81</v>
          </cell>
        </row>
        <row r="912">
          <cell r="Z912">
            <v>988.71</v>
          </cell>
        </row>
        <row r="913">
          <cell r="Z913">
            <v>987.97</v>
          </cell>
        </row>
        <row r="914">
          <cell r="Z914">
            <v>988.07</v>
          </cell>
        </row>
        <row r="915">
          <cell r="Z915">
            <v>988.94</v>
          </cell>
        </row>
        <row r="916">
          <cell r="Z916">
            <v>989.3</v>
          </cell>
        </row>
        <row r="917">
          <cell r="Z917">
            <v>990.28</v>
          </cell>
        </row>
        <row r="918">
          <cell r="Z918">
            <v>990.9</v>
          </cell>
        </row>
        <row r="942">
          <cell r="Z942">
            <v>990.8</v>
          </cell>
        </row>
        <row r="943">
          <cell r="Z943">
            <v>991.8</v>
          </cell>
        </row>
        <row r="944">
          <cell r="Z944">
            <v>992</v>
          </cell>
        </row>
        <row r="945">
          <cell r="Z945">
            <v>992</v>
          </cell>
        </row>
        <row r="946">
          <cell r="Z946">
            <v>991</v>
          </cell>
        </row>
        <row r="947">
          <cell r="Z947">
            <v>990.2</v>
          </cell>
        </row>
        <row r="948">
          <cell r="Z948">
            <v>989.2</v>
          </cell>
        </row>
        <row r="949">
          <cell r="Z949">
            <v>988.1</v>
          </cell>
        </row>
        <row r="950">
          <cell r="Z950">
            <v>987.3</v>
          </cell>
        </row>
        <row r="951">
          <cell r="Z951">
            <v>987.4</v>
          </cell>
        </row>
        <row r="952">
          <cell r="Z952">
            <v>987.9</v>
          </cell>
        </row>
        <row r="953">
          <cell r="Z953">
            <v>988.4</v>
          </cell>
        </row>
        <row r="954">
          <cell r="Z954">
            <v>989.6</v>
          </cell>
        </row>
        <row r="978">
          <cell r="Z978">
            <v>989.7</v>
          </cell>
        </row>
        <row r="979">
          <cell r="Z979">
            <v>989.8</v>
          </cell>
        </row>
        <row r="980">
          <cell r="Z980">
            <v>989</v>
          </cell>
        </row>
        <row r="981">
          <cell r="Z981">
            <v>988.6</v>
          </cell>
        </row>
        <row r="982">
          <cell r="Z982">
            <v>987.9</v>
          </cell>
        </row>
        <row r="983">
          <cell r="Z983">
            <v>987.4</v>
          </cell>
        </row>
        <row r="984">
          <cell r="Z984">
            <v>986.7</v>
          </cell>
        </row>
        <row r="985">
          <cell r="Z985">
            <v>986.1</v>
          </cell>
        </row>
        <row r="986">
          <cell r="Z986">
            <v>987</v>
          </cell>
        </row>
        <row r="987">
          <cell r="Z987">
            <v>988</v>
          </cell>
        </row>
        <row r="988">
          <cell r="Z988">
            <v>988.2</v>
          </cell>
        </row>
        <row r="989">
          <cell r="Z989">
            <v>988.4</v>
          </cell>
        </row>
        <row r="990">
          <cell r="Z990">
            <v>989.5</v>
          </cell>
        </row>
        <row r="1014">
          <cell r="Z1014">
            <v>989.8</v>
          </cell>
        </row>
        <row r="1015">
          <cell r="Z1015">
            <v>990.4</v>
          </cell>
        </row>
        <row r="1016">
          <cell r="Z1016">
            <v>990.7</v>
          </cell>
        </row>
        <row r="1017">
          <cell r="Z1017">
            <v>990.3</v>
          </cell>
        </row>
        <row r="1018">
          <cell r="Z1018">
            <v>989.7</v>
          </cell>
        </row>
        <row r="1019">
          <cell r="Z1019">
            <v>988.5</v>
          </cell>
        </row>
        <row r="1020">
          <cell r="Z1020">
            <v>987.8</v>
          </cell>
        </row>
        <row r="1021">
          <cell r="Z1021">
            <v>986.9</v>
          </cell>
        </row>
        <row r="1022">
          <cell r="Z1022">
            <v>987.22</v>
          </cell>
        </row>
        <row r="1023">
          <cell r="Z1023">
            <v>987.88</v>
          </cell>
        </row>
        <row r="1024">
          <cell r="Z1024">
            <v>987.93</v>
          </cell>
        </row>
        <row r="1025">
          <cell r="Z1025">
            <v>988.44</v>
          </cell>
        </row>
        <row r="1026">
          <cell r="Z1026">
            <v>988.49</v>
          </cell>
        </row>
        <row r="1050">
          <cell r="Z1050">
            <v>990.4</v>
          </cell>
        </row>
        <row r="1051">
          <cell r="Z1051">
            <v>990.7</v>
          </cell>
        </row>
        <row r="1052">
          <cell r="Z1052">
            <v>990.7</v>
          </cell>
        </row>
        <row r="1053">
          <cell r="Z1053">
            <v>990.3</v>
          </cell>
        </row>
        <row r="1054">
          <cell r="Z1054">
            <v>989.1</v>
          </cell>
        </row>
        <row r="1055">
          <cell r="Z1055">
            <v>988.4</v>
          </cell>
        </row>
        <row r="1056">
          <cell r="Z1056">
            <v>987.5</v>
          </cell>
        </row>
        <row r="1057">
          <cell r="Z1057">
            <v>986.2</v>
          </cell>
        </row>
        <row r="1058">
          <cell r="Z1058">
            <v>986.8</v>
          </cell>
        </row>
        <row r="1059">
          <cell r="Z1059">
            <v>987.5</v>
          </cell>
        </row>
        <row r="1060">
          <cell r="Z1060">
            <v>987.6</v>
          </cell>
        </row>
        <row r="1061">
          <cell r="Z1061">
            <v>987.8</v>
          </cell>
        </row>
        <row r="1062">
          <cell r="Z1062">
            <v>988.9</v>
          </cell>
        </row>
        <row r="1086">
          <cell r="Z1086">
            <v>991.1</v>
          </cell>
        </row>
        <row r="1087">
          <cell r="Z1087">
            <v>991.3</v>
          </cell>
        </row>
        <row r="1088">
          <cell r="Z1088">
            <v>991.4</v>
          </cell>
        </row>
        <row r="1089">
          <cell r="Z1089">
            <v>990.89</v>
          </cell>
        </row>
        <row r="1090">
          <cell r="Z1090">
            <v>990.1</v>
          </cell>
        </row>
        <row r="1091">
          <cell r="Z1091">
            <v>989.15</v>
          </cell>
        </row>
        <row r="1092">
          <cell r="Z1092">
            <v>987.6</v>
          </cell>
        </row>
        <row r="1093">
          <cell r="Z1093">
            <v>986.9</v>
          </cell>
        </row>
        <row r="1094">
          <cell r="Z1094">
            <v>986.5</v>
          </cell>
        </row>
        <row r="1095">
          <cell r="Z1095">
            <v>986.5</v>
          </cell>
        </row>
        <row r="1096">
          <cell r="Z1096">
            <v>987.2</v>
          </cell>
        </row>
        <row r="1097">
          <cell r="Z1097">
            <v>988.2</v>
          </cell>
        </row>
        <row r="1098">
          <cell r="Z1098">
            <v>989.5</v>
          </cell>
        </row>
        <row r="1121">
          <cell r="R1121" t="str">
            <v xml:space="preserve">TIM PEMBUAT LAPORAN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3">
          <cell r="M43" t="str">
            <v>Mengetahui,</v>
          </cell>
        </row>
        <row r="44">
          <cell r="M44" t="str">
            <v>Kepala Stasiun Klimatologi Kelas IV</v>
          </cell>
          <cell r="T44" t="str">
            <v>Pengolah</v>
          </cell>
        </row>
        <row r="45">
          <cell r="M45" t="str">
            <v>Sleman Yogyakarta</v>
          </cell>
        </row>
        <row r="50">
          <cell r="M50" t="str">
            <v>RENI KRANINGTYAS, SP, M.Si</v>
          </cell>
          <cell r="T50" t="str">
            <v xml:space="preserve">TIM PEMBUAT LAPORAN </v>
          </cell>
        </row>
        <row r="51">
          <cell r="M51" t="str">
            <v>NIP.  19740203 199703 2 001</v>
          </cell>
          <cell r="T51" t="str">
            <v xml:space="preserve">PETUGAS OPERASIONAL </v>
          </cell>
        </row>
      </sheetData>
      <sheetData sheetId="10"/>
      <sheetData sheetId="11"/>
      <sheetData sheetId="12"/>
      <sheetData sheetId="13">
        <row r="11">
          <cell r="Y11" t="str">
            <v>Maret 2022</v>
          </cell>
        </row>
      </sheetData>
      <sheetData sheetId="14"/>
      <sheetData sheetId="15"/>
      <sheetData sheetId="16"/>
      <sheetData sheetId="17"/>
      <sheetData sheetId="18"/>
      <sheetData sheetId="19">
        <row r="43">
          <cell r="C43" t="str">
            <v>Mengetahui,</v>
          </cell>
        </row>
      </sheetData>
      <sheetData sheetId="20">
        <row r="42">
          <cell r="C42" t="str">
            <v>Mengetahui,</v>
          </cell>
        </row>
      </sheetData>
      <sheetData sheetId="21">
        <row r="1">
          <cell r="F1" t="str">
            <v>STASIUN KLIMATOLOGI KL. IV SLEMAN</v>
          </cell>
        </row>
      </sheetData>
      <sheetData sheetId="22">
        <row r="1">
          <cell r="H1" t="str">
            <v>STASIUN KLIMATOLOGI KL. IV SLEMAN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 refreshError="1">
        <row r="2">
          <cell r="F2" t="str">
            <v>APRIL</v>
          </cell>
        </row>
        <row r="6">
          <cell r="Z6">
            <v>990.6</v>
          </cell>
        </row>
        <row r="7">
          <cell r="Z7">
            <v>991.59</v>
          </cell>
        </row>
        <row r="8">
          <cell r="Z8">
            <v>991.64</v>
          </cell>
        </row>
        <row r="9">
          <cell r="Z9">
            <v>991.31</v>
          </cell>
        </row>
        <row r="10">
          <cell r="Z10">
            <v>990.31</v>
          </cell>
        </row>
        <row r="11">
          <cell r="Z11">
            <v>988.92</v>
          </cell>
        </row>
        <row r="12">
          <cell r="Z12">
            <v>988.59</v>
          </cell>
        </row>
        <row r="13">
          <cell r="Z13">
            <v>987.6</v>
          </cell>
        </row>
        <row r="14">
          <cell r="Z14">
            <v>987.27</v>
          </cell>
        </row>
        <row r="15">
          <cell r="Z15">
            <v>988.25</v>
          </cell>
        </row>
        <row r="16">
          <cell r="Z16">
            <v>989.82</v>
          </cell>
        </row>
        <row r="17">
          <cell r="Z17">
            <v>989.7</v>
          </cell>
        </row>
        <row r="18">
          <cell r="Z18">
            <v>990.2</v>
          </cell>
        </row>
        <row r="42">
          <cell r="Z42">
            <v>991.06</v>
          </cell>
        </row>
        <row r="43">
          <cell r="Z43">
            <v>991.49</v>
          </cell>
        </row>
        <row r="44">
          <cell r="Z44">
            <v>991.61</v>
          </cell>
        </row>
        <row r="45">
          <cell r="Z45">
            <v>991.16</v>
          </cell>
        </row>
        <row r="46">
          <cell r="Z46">
            <v>990.42</v>
          </cell>
        </row>
        <row r="47">
          <cell r="Z47">
            <v>989.41</v>
          </cell>
        </row>
        <row r="48">
          <cell r="Z48">
            <v>988.26</v>
          </cell>
        </row>
        <row r="49">
          <cell r="Z49">
            <v>987.6</v>
          </cell>
        </row>
        <row r="50">
          <cell r="Z50">
            <v>987.1</v>
          </cell>
        </row>
        <row r="51">
          <cell r="Z51">
            <v>988.7</v>
          </cell>
        </row>
        <row r="52">
          <cell r="Z52">
            <v>989.1</v>
          </cell>
        </row>
        <row r="53">
          <cell r="Z53">
            <v>989.1</v>
          </cell>
        </row>
        <row r="54">
          <cell r="Z54">
            <v>989.6</v>
          </cell>
        </row>
        <row r="78">
          <cell r="Z78">
            <v>990.9</v>
          </cell>
        </row>
        <row r="79">
          <cell r="Z79">
            <v>991.3</v>
          </cell>
        </row>
        <row r="80">
          <cell r="Z80">
            <v>991.5</v>
          </cell>
        </row>
        <row r="81">
          <cell r="Z81">
            <v>991.3</v>
          </cell>
        </row>
        <row r="82">
          <cell r="Z82">
            <v>990.3</v>
          </cell>
        </row>
        <row r="83">
          <cell r="Z83">
            <v>989.4</v>
          </cell>
        </row>
        <row r="84">
          <cell r="Z84">
            <v>988.6</v>
          </cell>
        </row>
        <row r="85">
          <cell r="Z85">
            <v>988.4</v>
          </cell>
        </row>
        <row r="86">
          <cell r="Z86">
            <v>989</v>
          </cell>
        </row>
        <row r="87">
          <cell r="Z87">
            <v>989.8</v>
          </cell>
        </row>
        <row r="88">
          <cell r="Z88">
            <v>990</v>
          </cell>
        </row>
        <row r="89">
          <cell r="Z89">
            <v>990.2</v>
          </cell>
        </row>
        <row r="90">
          <cell r="Z90">
            <v>990.7</v>
          </cell>
        </row>
        <row r="114">
          <cell r="Z114">
            <v>991.5</v>
          </cell>
        </row>
        <row r="115">
          <cell r="Z115">
            <v>991.9</v>
          </cell>
        </row>
        <row r="116">
          <cell r="Z116">
            <v>992</v>
          </cell>
        </row>
        <row r="117">
          <cell r="Z117">
            <v>991.6</v>
          </cell>
        </row>
        <row r="118">
          <cell r="Z118">
            <v>990.9</v>
          </cell>
        </row>
        <row r="119">
          <cell r="Z119">
            <v>989.8</v>
          </cell>
        </row>
        <row r="120">
          <cell r="Z120">
            <v>989.1</v>
          </cell>
        </row>
        <row r="121">
          <cell r="Z121">
            <v>988.7</v>
          </cell>
        </row>
        <row r="122">
          <cell r="Z122">
            <v>988.5</v>
          </cell>
        </row>
        <row r="123">
          <cell r="Z123">
            <v>988.9</v>
          </cell>
        </row>
        <row r="124">
          <cell r="Z124">
            <v>990.7</v>
          </cell>
        </row>
        <row r="125">
          <cell r="Z125">
            <v>990.4</v>
          </cell>
        </row>
        <row r="126">
          <cell r="Z126">
            <v>991.3</v>
          </cell>
        </row>
        <row r="150">
          <cell r="Z150">
            <v>992.5</v>
          </cell>
        </row>
        <row r="151">
          <cell r="Z151">
            <v>992.7</v>
          </cell>
        </row>
        <row r="152">
          <cell r="Z152">
            <v>992.9</v>
          </cell>
        </row>
        <row r="153">
          <cell r="Z153">
            <v>992.5</v>
          </cell>
        </row>
        <row r="154">
          <cell r="Z154">
            <v>991.5</v>
          </cell>
        </row>
        <row r="155">
          <cell r="Z155">
            <v>991</v>
          </cell>
        </row>
        <row r="156">
          <cell r="Z156">
            <v>989.4</v>
          </cell>
        </row>
        <row r="157">
          <cell r="Z157">
            <v>988.8</v>
          </cell>
        </row>
        <row r="158">
          <cell r="Z158">
            <v>988.3</v>
          </cell>
        </row>
        <row r="159">
          <cell r="Z159">
            <v>988.3</v>
          </cell>
        </row>
        <row r="160">
          <cell r="Z160">
            <v>989.4</v>
          </cell>
        </row>
        <row r="161">
          <cell r="Z161">
            <v>990.2</v>
          </cell>
        </row>
        <row r="162">
          <cell r="Z162">
            <v>990.7</v>
          </cell>
        </row>
        <row r="186">
          <cell r="Z186">
            <v>992.5</v>
          </cell>
        </row>
        <row r="187">
          <cell r="Z187">
            <v>992.5</v>
          </cell>
        </row>
        <row r="188">
          <cell r="Z188">
            <v>993</v>
          </cell>
        </row>
        <row r="189">
          <cell r="Z189">
            <v>992.5</v>
          </cell>
        </row>
        <row r="190">
          <cell r="Z190">
            <v>991.7</v>
          </cell>
        </row>
        <row r="191">
          <cell r="Z191">
            <v>990.7</v>
          </cell>
        </row>
        <row r="192">
          <cell r="Z192">
            <v>989.5</v>
          </cell>
        </row>
        <row r="193">
          <cell r="Z193">
            <v>989.4</v>
          </cell>
        </row>
        <row r="194">
          <cell r="Z194">
            <v>989.1</v>
          </cell>
        </row>
        <row r="195">
          <cell r="Z195">
            <v>989.02</v>
          </cell>
        </row>
        <row r="196">
          <cell r="Z196">
            <v>989.5</v>
          </cell>
        </row>
        <row r="197">
          <cell r="Z197">
            <v>989.9</v>
          </cell>
        </row>
        <row r="198">
          <cell r="Z198">
            <v>990.8</v>
          </cell>
        </row>
        <row r="222">
          <cell r="Z222">
            <v>991.58</v>
          </cell>
        </row>
        <row r="223">
          <cell r="Z223">
            <v>991.88</v>
          </cell>
        </row>
        <row r="224">
          <cell r="Z224">
            <v>992.06</v>
          </cell>
        </row>
        <row r="225">
          <cell r="Z225">
            <v>991.43</v>
          </cell>
        </row>
        <row r="226">
          <cell r="Z226">
            <v>991.14</v>
          </cell>
        </row>
        <row r="227">
          <cell r="Z227">
            <v>990.35</v>
          </cell>
        </row>
        <row r="228">
          <cell r="Z228">
            <v>989.14</v>
          </cell>
        </row>
        <row r="229">
          <cell r="Z229">
            <v>988.67</v>
          </cell>
        </row>
        <row r="230">
          <cell r="Z230">
            <v>988.17</v>
          </cell>
        </row>
        <row r="231">
          <cell r="Z231">
            <v>988.5</v>
          </cell>
        </row>
        <row r="232">
          <cell r="Z232">
            <v>989.1</v>
          </cell>
        </row>
        <row r="233">
          <cell r="Z233">
            <v>989.5</v>
          </cell>
        </row>
        <row r="234">
          <cell r="Z234">
            <v>990.1</v>
          </cell>
        </row>
        <row r="258">
          <cell r="Z258">
            <v>991.49</v>
          </cell>
        </row>
        <row r="259">
          <cell r="Z259">
            <v>991.98</v>
          </cell>
        </row>
        <row r="260">
          <cell r="Z260">
            <v>992.22</v>
          </cell>
        </row>
        <row r="261">
          <cell r="Z261">
            <v>992.03</v>
          </cell>
        </row>
        <row r="262">
          <cell r="Z262">
            <v>990.97</v>
          </cell>
        </row>
        <row r="263">
          <cell r="Z263">
            <v>990.12</v>
          </cell>
        </row>
        <row r="264">
          <cell r="Z264">
            <v>989.41</v>
          </cell>
        </row>
        <row r="265">
          <cell r="Z265">
            <v>988.56</v>
          </cell>
        </row>
        <row r="266">
          <cell r="Z266">
            <v>988.17</v>
          </cell>
        </row>
        <row r="267">
          <cell r="Z267">
            <v>987.8</v>
          </cell>
        </row>
        <row r="268">
          <cell r="Z268">
            <v>988.5</v>
          </cell>
        </row>
        <row r="269">
          <cell r="Z269">
            <v>989.2</v>
          </cell>
        </row>
        <row r="270">
          <cell r="Z270">
            <v>989.7</v>
          </cell>
        </row>
        <row r="294">
          <cell r="Z294">
            <v>991</v>
          </cell>
        </row>
        <row r="295">
          <cell r="Z295">
            <v>991.4</v>
          </cell>
        </row>
        <row r="296">
          <cell r="Z296">
            <v>991.7</v>
          </cell>
        </row>
        <row r="297">
          <cell r="Z297">
            <v>991.4</v>
          </cell>
        </row>
        <row r="298">
          <cell r="Z298">
            <v>990.4</v>
          </cell>
        </row>
        <row r="299">
          <cell r="Z299">
            <v>988.9</v>
          </cell>
        </row>
        <row r="300">
          <cell r="Z300">
            <v>988</v>
          </cell>
        </row>
        <row r="301">
          <cell r="Z301">
            <v>987.5</v>
          </cell>
        </row>
        <row r="302">
          <cell r="Z302">
            <v>987.2</v>
          </cell>
        </row>
        <row r="303">
          <cell r="Z303">
            <v>987.5</v>
          </cell>
        </row>
        <row r="304">
          <cell r="Z304">
            <v>987.8</v>
          </cell>
        </row>
        <row r="305">
          <cell r="Z305">
            <v>988.6</v>
          </cell>
        </row>
        <row r="306">
          <cell r="Z306">
            <v>989.2</v>
          </cell>
        </row>
        <row r="330">
          <cell r="Z330">
            <v>991</v>
          </cell>
        </row>
        <row r="331">
          <cell r="Z331">
            <v>991.2</v>
          </cell>
        </row>
        <row r="332">
          <cell r="Z332">
            <v>991.2</v>
          </cell>
        </row>
        <row r="333">
          <cell r="Z333">
            <v>990.7</v>
          </cell>
        </row>
        <row r="334">
          <cell r="Z334">
            <v>989.8</v>
          </cell>
        </row>
        <row r="335">
          <cell r="Z335">
            <v>988.8</v>
          </cell>
        </row>
        <row r="336">
          <cell r="Z336">
            <v>987.7</v>
          </cell>
        </row>
        <row r="337">
          <cell r="Z337">
            <v>988</v>
          </cell>
        </row>
        <row r="338">
          <cell r="Z338">
            <v>988.4</v>
          </cell>
        </row>
        <row r="339">
          <cell r="Z339">
            <v>988.8</v>
          </cell>
        </row>
        <row r="340">
          <cell r="Z340">
            <v>989.2</v>
          </cell>
        </row>
        <row r="341">
          <cell r="Z341">
            <v>989.7</v>
          </cell>
        </row>
        <row r="342">
          <cell r="Z342">
            <v>990.3</v>
          </cell>
        </row>
        <row r="366">
          <cell r="Z366">
            <v>990.9</v>
          </cell>
        </row>
        <row r="367">
          <cell r="Z367">
            <v>991.1</v>
          </cell>
        </row>
        <row r="368">
          <cell r="Z368">
            <v>991.07</v>
          </cell>
        </row>
        <row r="369">
          <cell r="Z369">
            <v>990.69</v>
          </cell>
        </row>
        <row r="370">
          <cell r="Z370">
            <v>989.74</v>
          </cell>
        </row>
        <row r="371">
          <cell r="Z371">
            <v>988.56</v>
          </cell>
        </row>
        <row r="372">
          <cell r="Z372">
            <v>987.67</v>
          </cell>
        </row>
        <row r="373">
          <cell r="Z373">
            <v>986.9</v>
          </cell>
        </row>
        <row r="374">
          <cell r="Z374">
            <v>986.1</v>
          </cell>
        </row>
        <row r="375">
          <cell r="Z375">
            <v>986.6</v>
          </cell>
        </row>
        <row r="376">
          <cell r="Z376">
            <v>987.6</v>
          </cell>
        </row>
        <row r="377">
          <cell r="Z377">
            <v>988.2</v>
          </cell>
        </row>
        <row r="378">
          <cell r="Z378">
            <v>988.9</v>
          </cell>
        </row>
        <row r="402">
          <cell r="Z402">
            <v>989.6</v>
          </cell>
        </row>
        <row r="403">
          <cell r="Z403">
            <v>990</v>
          </cell>
        </row>
        <row r="404">
          <cell r="Z404">
            <v>990.3</v>
          </cell>
        </row>
        <row r="405">
          <cell r="Z405">
            <v>990.11</v>
          </cell>
        </row>
        <row r="406">
          <cell r="Z406">
            <v>989.1</v>
          </cell>
        </row>
        <row r="407">
          <cell r="Z407">
            <v>988.24</v>
          </cell>
        </row>
        <row r="408">
          <cell r="Z408">
            <v>986.9</v>
          </cell>
        </row>
        <row r="409">
          <cell r="Z409">
            <v>986.15</v>
          </cell>
        </row>
        <row r="410">
          <cell r="Z410">
            <v>985.56</v>
          </cell>
        </row>
        <row r="411">
          <cell r="Z411">
            <v>985.77</v>
          </cell>
        </row>
        <row r="412">
          <cell r="Z412">
            <v>986.25</v>
          </cell>
        </row>
        <row r="413">
          <cell r="Z413">
            <v>987.05</v>
          </cell>
        </row>
        <row r="414">
          <cell r="Z414">
            <v>987.69</v>
          </cell>
        </row>
        <row r="438">
          <cell r="Z438">
            <v>989.7</v>
          </cell>
        </row>
        <row r="439">
          <cell r="Z439">
            <v>990</v>
          </cell>
        </row>
        <row r="440">
          <cell r="Z440">
            <v>990.4</v>
          </cell>
        </row>
        <row r="441">
          <cell r="Z441">
            <v>990.1</v>
          </cell>
        </row>
        <row r="442">
          <cell r="Z442">
            <v>988.9</v>
          </cell>
        </row>
        <row r="443">
          <cell r="Z443">
            <v>987.9</v>
          </cell>
        </row>
        <row r="444">
          <cell r="Z444">
            <v>987.1</v>
          </cell>
        </row>
        <row r="445">
          <cell r="Z445">
            <v>986.14</v>
          </cell>
        </row>
        <row r="446">
          <cell r="Z446">
            <v>985.99</v>
          </cell>
        </row>
        <row r="447">
          <cell r="Z447">
            <v>986.2</v>
          </cell>
        </row>
        <row r="448">
          <cell r="Z448">
            <v>986.8</v>
          </cell>
        </row>
        <row r="449">
          <cell r="Z449">
            <v>987.5</v>
          </cell>
        </row>
        <row r="450">
          <cell r="Z450">
            <v>987.9</v>
          </cell>
        </row>
        <row r="474">
          <cell r="Z474">
            <v>989.36</v>
          </cell>
        </row>
        <row r="475">
          <cell r="Z475">
            <v>989.55</v>
          </cell>
        </row>
        <row r="476">
          <cell r="Z476">
            <v>989.69</v>
          </cell>
        </row>
        <row r="477">
          <cell r="Z477">
            <v>989.22</v>
          </cell>
        </row>
        <row r="478">
          <cell r="Z478">
            <v>988.6</v>
          </cell>
        </row>
        <row r="479">
          <cell r="Z479">
            <v>987.7</v>
          </cell>
        </row>
        <row r="480">
          <cell r="Z480">
            <v>986.51</v>
          </cell>
        </row>
        <row r="481">
          <cell r="Z481">
            <v>985.46</v>
          </cell>
        </row>
        <row r="482">
          <cell r="Z482">
            <v>985.2</v>
          </cell>
        </row>
        <row r="483">
          <cell r="Z483">
            <v>985.9</v>
          </cell>
        </row>
        <row r="484">
          <cell r="Z484">
            <v>986.5</v>
          </cell>
        </row>
        <row r="485">
          <cell r="Z485">
            <v>987.1</v>
          </cell>
        </row>
        <row r="486">
          <cell r="Z486">
            <v>988</v>
          </cell>
        </row>
        <row r="510">
          <cell r="Z510">
            <v>989.8</v>
          </cell>
        </row>
        <row r="511">
          <cell r="Z511">
            <v>990.3</v>
          </cell>
        </row>
        <row r="512">
          <cell r="Z512">
            <v>990.6</v>
          </cell>
        </row>
        <row r="513">
          <cell r="Z513">
            <v>990.3</v>
          </cell>
        </row>
        <row r="514">
          <cell r="Z514">
            <v>989.2</v>
          </cell>
        </row>
        <row r="515">
          <cell r="Z515">
            <v>988.7</v>
          </cell>
        </row>
        <row r="516">
          <cell r="Z516">
            <v>987.5</v>
          </cell>
        </row>
        <row r="517">
          <cell r="Z517">
            <v>986.75</v>
          </cell>
        </row>
        <row r="518">
          <cell r="Z518">
            <v>986.3</v>
          </cell>
        </row>
        <row r="519">
          <cell r="Z519">
            <v>986.22</v>
          </cell>
        </row>
        <row r="520">
          <cell r="Z520">
            <v>986.84</v>
          </cell>
        </row>
        <row r="521">
          <cell r="Z521">
            <v>987.66</v>
          </cell>
        </row>
        <row r="522">
          <cell r="Z522">
            <v>988.34</v>
          </cell>
        </row>
        <row r="546">
          <cell r="Z546">
            <v>989.4</v>
          </cell>
        </row>
        <row r="547">
          <cell r="Z547">
            <v>989.8</v>
          </cell>
        </row>
        <row r="548">
          <cell r="Z548">
            <v>989.9</v>
          </cell>
        </row>
        <row r="549">
          <cell r="Z549">
            <v>989.5</v>
          </cell>
        </row>
        <row r="550">
          <cell r="Z550">
            <v>989.6</v>
          </cell>
        </row>
        <row r="551">
          <cell r="Z551">
            <v>987.9</v>
          </cell>
        </row>
        <row r="552">
          <cell r="Z552">
            <v>986.8</v>
          </cell>
        </row>
        <row r="553">
          <cell r="Z553">
            <v>986.8</v>
          </cell>
        </row>
        <row r="554">
          <cell r="Z554">
            <v>987</v>
          </cell>
        </row>
        <row r="555">
          <cell r="Z555">
            <v>987.2</v>
          </cell>
        </row>
        <row r="556">
          <cell r="Z556">
            <v>987.5</v>
          </cell>
        </row>
        <row r="557">
          <cell r="Z557">
            <v>987.7</v>
          </cell>
        </row>
        <row r="558">
          <cell r="Z558">
            <v>988.4</v>
          </cell>
        </row>
        <row r="582">
          <cell r="Z582">
            <v>988.65</v>
          </cell>
        </row>
        <row r="583">
          <cell r="Z583">
            <v>989.09</v>
          </cell>
        </row>
        <row r="584">
          <cell r="Z584">
            <v>989.39</v>
          </cell>
        </row>
        <row r="585">
          <cell r="Z585">
            <v>989.06</v>
          </cell>
        </row>
        <row r="586">
          <cell r="Z586">
            <v>988.03</v>
          </cell>
        </row>
        <row r="587">
          <cell r="Z587">
            <v>987.27</v>
          </cell>
        </row>
        <row r="588">
          <cell r="Z588">
            <v>986.41</v>
          </cell>
        </row>
        <row r="589">
          <cell r="Z589">
            <v>985.6</v>
          </cell>
        </row>
        <row r="590">
          <cell r="Z590">
            <v>985.1</v>
          </cell>
        </row>
        <row r="591">
          <cell r="Z591">
            <v>985.1</v>
          </cell>
        </row>
        <row r="592">
          <cell r="Z592">
            <v>986</v>
          </cell>
        </row>
        <row r="593">
          <cell r="Z593">
            <v>986.9</v>
          </cell>
        </row>
        <row r="594">
          <cell r="Z594">
            <v>987.5</v>
          </cell>
        </row>
        <row r="618">
          <cell r="Z618">
            <v>989.1</v>
          </cell>
        </row>
        <row r="619">
          <cell r="Z619">
            <v>989.28</v>
          </cell>
        </row>
        <row r="620">
          <cell r="Z620">
            <v>959.5</v>
          </cell>
        </row>
        <row r="621">
          <cell r="Z621">
            <v>989.37</v>
          </cell>
        </row>
        <row r="622">
          <cell r="Z622">
            <v>988.56</v>
          </cell>
        </row>
        <row r="623">
          <cell r="Z623">
            <v>987.31</v>
          </cell>
        </row>
        <row r="624">
          <cell r="Z624">
            <v>986.43</v>
          </cell>
        </row>
        <row r="625">
          <cell r="Z625">
            <v>985.91</v>
          </cell>
        </row>
        <row r="626">
          <cell r="Z626">
            <v>985.72</v>
          </cell>
        </row>
        <row r="627">
          <cell r="Z627">
            <v>986.28</v>
          </cell>
        </row>
        <row r="628">
          <cell r="Z628">
            <v>987.75</v>
          </cell>
        </row>
        <row r="629">
          <cell r="Z629">
            <v>988.12</v>
          </cell>
        </row>
        <row r="630">
          <cell r="Z630">
            <v>990.14</v>
          </cell>
        </row>
        <row r="654">
          <cell r="Z654">
            <v>989.24</v>
          </cell>
        </row>
        <row r="655">
          <cell r="Z655">
            <v>989.44</v>
          </cell>
        </row>
        <row r="656">
          <cell r="Z656">
            <v>989.58</v>
          </cell>
        </row>
        <row r="657">
          <cell r="Z657">
            <v>989.61</v>
          </cell>
        </row>
        <row r="658">
          <cell r="Z658">
            <v>989.03</v>
          </cell>
        </row>
        <row r="659">
          <cell r="Z659">
            <v>987.84</v>
          </cell>
        </row>
        <row r="660">
          <cell r="Z660">
            <v>987.16</v>
          </cell>
        </row>
        <row r="661">
          <cell r="Z661">
            <v>986.99</v>
          </cell>
        </row>
        <row r="662">
          <cell r="Z662">
            <v>987.86</v>
          </cell>
        </row>
        <row r="663">
          <cell r="Z663">
            <v>988.48</v>
          </cell>
        </row>
        <row r="664">
          <cell r="Z664">
            <v>988.17</v>
          </cell>
        </row>
        <row r="665">
          <cell r="Z665">
            <v>988.48</v>
          </cell>
        </row>
        <row r="666">
          <cell r="Z666">
            <v>989.31</v>
          </cell>
        </row>
        <row r="690">
          <cell r="Z690">
            <v>988.6</v>
          </cell>
        </row>
        <row r="691">
          <cell r="Z691">
            <v>989.2</v>
          </cell>
        </row>
        <row r="692">
          <cell r="Z692">
            <v>989.7</v>
          </cell>
        </row>
        <row r="693">
          <cell r="Z693">
            <v>989.5</v>
          </cell>
        </row>
        <row r="694">
          <cell r="Z694">
            <v>988.7</v>
          </cell>
        </row>
        <row r="695">
          <cell r="Z695">
            <v>987.8</v>
          </cell>
        </row>
        <row r="696">
          <cell r="Z696">
            <v>987.4</v>
          </cell>
        </row>
        <row r="697">
          <cell r="Z697">
            <v>986.39</v>
          </cell>
        </row>
        <row r="698">
          <cell r="Z698">
            <v>986.98</v>
          </cell>
        </row>
        <row r="699">
          <cell r="Z699">
            <v>988.12</v>
          </cell>
        </row>
        <row r="700">
          <cell r="Z700">
            <v>988.17</v>
          </cell>
        </row>
        <row r="701">
          <cell r="Z701">
            <v>988.11</v>
          </cell>
        </row>
        <row r="702">
          <cell r="Z702">
            <v>989.2</v>
          </cell>
        </row>
        <row r="726">
          <cell r="Z726">
            <v>989.47</v>
          </cell>
        </row>
        <row r="727">
          <cell r="Z727">
            <v>990.15</v>
          </cell>
        </row>
        <row r="728">
          <cell r="Z728">
            <v>990.35</v>
          </cell>
        </row>
        <row r="729">
          <cell r="Z729">
            <v>990.12</v>
          </cell>
        </row>
        <row r="730">
          <cell r="Z730">
            <v>989.08</v>
          </cell>
        </row>
        <row r="731">
          <cell r="Z731">
            <v>987.93</v>
          </cell>
        </row>
        <row r="732">
          <cell r="Z732">
            <v>987.54</v>
          </cell>
        </row>
        <row r="733">
          <cell r="Z733">
            <v>987.4</v>
          </cell>
        </row>
        <row r="734">
          <cell r="Z734">
            <v>987.2</v>
          </cell>
        </row>
        <row r="735">
          <cell r="Z735">
            <v>987.4</v>
          </cell>
        </row>
        <row r="736">
          <cell r="Z736">
            <v>988</v>
          </cell>
        </row>
        <row r="737">
          <cell r="Z737">
            <v>988.8</v>
          </cell>
        </row>
        <row r="738">
          <cell r="Z738">
            <v>989.2</v>
          </cell>
        </row>
        <row r="762">
          <cell r="Z762">
            <v>990.11</v>
          </cell>
        </row>
        <row r="764">
          <cell r="Z764">
            <v>990.14</v>
          </cell>
        </row>
        <row r="765">
          <cell r="Z765">
            <v>989.71</v>
          </cell>
        </row>
        <row r="766">
          <cell r="Z766">
            <v>988.51</v>
          </cell>
        </row>
        <row r="767">
          <cell r="Z767">
            <v>987.48</v>
          </cell>
        </row>
        <row r="768">
          <cell r="Z768">
            <v>986.55</v>
          </cell>
        </row>
        <row r="769">
          <cell r="Z769">
            <v>985.9</v>
          </cell>
        </row>
        <row r="770">
          <cell r="Z770">
            <v>985.7</v>
          </cell>
        </row>
        <row r="771">
          <cell r="Z771">
            <v>986.4</v>
          </cell>
        </row>
        <row r="772">
          <cell r="Z772">
            <v>987.5</v>
          </cell>
        </row>
        <row r="773">
          <cell r="Z773">
            <v>988.5</v>
          </cell>
        </row>
        <row r="774">
          <cell r="Z774">
            <v>989.1</v>
          </cell>
        </row>
        <row r="798">
          <cell r="Z798">
            <v>989.6</v>
          </cell>
        </row>
        <row r="799">
          <cell r="Z799">
            <v>989.8</v>
          </cell>
        </row>
        <row r="800">
          <cell r="Z800">
            <v>989.8</v>
          </cell>
        </row>
        <row r="801">
          <cell r="Z801">
            <v>989.1</v>
          </cell>
        </row>
        <row r="802">
          <cell r="Z802">
            <v>988.1</v>
          </cell>
        </row>
        <row r="803">
          <cell r="Z803">
            <v>987.1</v>
          </cell>
        </row>
        <row r="804">
          <cell r="Z804">
            <v>986.5</v>
          </cell>
        </row>
        <row r="805">
          <cell r="Z805">
            <v>986.2</v>
          </cell>
        </row>
        <row r="806">
          <cell r="Z806">
            <v>986</v>
          </cell>
        </row>
        <row r="807">
          <cell r="Z807">
            <v>986.4</v>
          </cell>
        </row>
        <row r="808">
          <cell r="Z808">
            <v>987.4</v>
          </cell>
        </row>
        <row r="809">
          <cell r="Z809">
            <v>988.3</v>
          </cell>
        </row>
        <row r="810">
          <cell r="Z810">
            <v>988.5</v>
          </cell>
        </row>
        <row r="834">
          <cell r="Z834">
            <v>988.9</v>
          </cell>
        </row>
        <row r="835">
          <cell r="Z835">
            <v>989.4</v>
          </cell>
        </row>
        <row r="836">
          <cell r="Z836">
            <v>989.5</v>
          </cell>
        </row>
        <row r="837">
          <cell r="Z837">
            <v>988.8</v>
          </cell>
        </row>
        <row r="838">
          <cell r="Z838">
            <v>987.5</v>
          </cell>
        </row>
        <row r="839">
          <cell r="Z839">
            <v>986.9</v>
          </cell>
        </row>
        <row r="840">
          <cell r="Z840">
            <v>986.2</v>
          </cell>
        </row>
        <row r="841">
          <cell r="Z841">
            <v>985.99</v>
          </cell>
        </row>
        <row r="842">
          <cell r="Z842">
            <v>986.59</v>
          </cell>
        </row>
        <row r="843">
          <cell r="Z843">
            <v>987.08</v>
          </cell>
        </row>
        <row r="844">
          <cell r="Z844">
            <v>987.87</v>
          </cell>
        </row>
        <row r="845">
          <cell r="Z845">
            <v>988.2</v>
          </cell>
        </row>
        <row r="846">
          <cell r="Z846">
            <v>988.8</v>
          </cell>
        </row>
        <row r="870">
          <cell r="Z870">
            <v>988.9</v>
          </cell>
        </row>
        <row r="871">
          <cell r="Z871">
            <v>988.83</v>
          </cell>
        </row>
        <row r="872">
          <cell r="Z872">
            <v>988.93</v>
          </cell>
        </row>
        <row r="873">
          <cell r="Z873">
            <v>988.81</v>
          </cell>
        </row>
        <row r="874">
          <cell r="Z874">
            <v>988.09</v>
          </cell>
        </row>
        <row r="875">
          <cell r="Z875">
            <v>987.47</v>
          </cell>
        </row>
        <row r="876">
          <cell r="Z876">
            <v>986.6</v>
          </cell>
        </row>
        <row r="877">
          <cell r="Z877">
            <v>985.88</v>
          </cell>
        </row>
        <row r="878">
          <cell r="Z878">
            <v>985.25</v>
          </cell>
        </row>
        <row r="879">
          <cell r="Z879">
            <v>985.78</v>
          </cell>
        </row>
        <row r="880">
          <cell r="Z880">
            <v>985.87</v>
          </cell>
        </row>
        <row r="881">
          <cell r="Z881">
            <v>986.64</v>
          </cell>
        </row>
        <row r="882">
          <cell r="Z882">
            <v>987.54</v>
          </cell>
        </row>
        <row r="906">
          <cell r="Z906">
            <v>987.94</v>
          </cell>
        </row>
        <row r="907">
          <cell r="Z907">
            <v>988.18</v>
          </cell>
        </row>
        <row r="908">
          <cell r="Z908">
            <v>988.54</v>
          </cell>
        </row>
        <row r="909">
          <cell r="Z909">
            <v>988.53</v>
          </cell>
        </row>
        <row r="910">
          <cell r="Z910">
            <v>987.47</v>
          </cell>
        </row>
        <row r="911">
          <cell r="Z911">
            <v>986.3</v>
          </cell>
        </row>
        <row r="912">
          <cell r="Z912">
            <v>985.76</v>
          </cell>
        </row>
        <row r="913">
          <cell r="Z913">
            <v>985.9</v>
          </cell>
        </row>
        <row r="914">
          <cell r="Z914">
            <v>985</v>
          </cell>
        </row>
        <row r="915">
          <cell r="Z915">
            <v>985.3</v>
          </cell>
        </row>
        <row r="916">
          <cell r="Z916">
            <v>985.9</v>
          </cell>
        </row>
        <row r="917">
          <cell r="Z917">
            <v>986.2</v>
          </cell>
        </row>
        <row r="918">
          <cell r="Z918">
            <v>986.8</v>
          </cell>
        </row>
        <row r="942">
          <cell r="Z942">
            <v>987.8</v>
          </cell>
        </row>
        <row r="943">
          <cell r="Z943">
            <v>988.7</v>
          </cell>
        </row>
        <row r="944">
          <cell r="Z944">
            <v>988.3</v>
          </cell>
        </row>
        <row r="945">
          <cell r="Z945">
            <v>987.3</v>
          </cell>
        </row>
        <row r="946">
          <cell r="Z946">
            <v>986.4</v>
          </cell>
        </row>
        <row r="947">
          <cell r="Z947">
            <v>986</v>
          </cell>
        </row>
        <row r="948">
          <cell r="Z948">
            <v>984.9</v>
          </cell>
        </row>
        <row r="949">
          <cell r="Z949">
            <v>983.75</v>
          </cell>
        </row>
        <row r="950">
          <cell r="Z950">
            <v>985.18</v>
          </cell>
        </row>
        <row r="951">
          <cell r="Z951">
            <v>985.45</v>
          </cell>
        </row>
        <row r="952">
          <cell r="Z952">
            <v>985.83</v>
          </cell>
        </row>
        <row r="953">
          <cell r="Z953">
            <v>985.67</v>
          </cell>
        </row>
        <row r="954">
          <cell r="Z954">
            <v>986.47</v>
          </cell>
        </row>
        <row r="978">
          <cell r="Z978">
            <v>988.54</v>
          </cell>
        </row>
        <row r="979">
          <cell r="Z979">
            <v>988.52</v>
          </cell>
        </row>
        <row r="980">
          <cell r="Z980">
            <v>989.12</v>
          </cell>
        </row>
        <row r="981">
          <cell r="Z981">
            <v>988.82</v>
          </cell>
        </row>
        <row r="982">
          <cell r="Z982">
            <v>987.97</v>
          </cell>
        </row>
        <row r="983">
          <cell r="Z983">
            <v>987.02</v>
          </cell>
        </row>
        <row r="984">
          <cell r="Z984">
            <v>986.28</v>
          </cell>
        </row>
        <row r="985">
          <cell r="Z985">
            <v>986</v>
          </cell>
        </row>
        <row r="986">
          <cell r="Z986">
            <v>985.9</v>
          </cell>
        </row>
        <row r="987">
          <cell r="Z987">
            <v>986.1</v>
          </cell>
        </row>
        <row r="988">
          <cell r="Z988">
            <v>986.6</v>
          </cell>
        </row>
        <row r="989">
          <cell r="Z989">
            <v>987.6</v>
          </cell>
        </row>
        <row r="990">
          <cell r="Z990">
            <v>988</v>
          </cell>
        </row>
        <row r="1014">
          <cell r="Z1014">
            <v>988.85</v>
          </cell>
        </row>
        <row r="1015">
          <cell r="Z1015">
            <v>989.33</v>
          </cell>
        </row>
        <row r="1016">
          <cell r="Z1016">
            <v>989.77</v>
          </cell>
        </row>
        <row r="1017">
          <cell r="Z1017">
            <v>989.95</v>
          </cell>
        </row>
        <row r="1018">
          <cell r="Z1018">
            <v>989.14</v>
          </cell>
        </row>
        <row r="1019">
          <cell r="Z1019">
            <v>988.22</v>
          </cell>
        </row>
        <row r="1020">
          <cell r="Z1020">
            <v>987.96</v>
          </cell>
        </row>
        <row r="1021">
          <cell r="Z1021">
            <v>986.6</v>
          </cell>
        </row>
        <row r="1022">
          <cell r="Z1022">
            <v>986.6</v>
          </cell>
        </row>
        <row r="1023">
          <cell r="Z1023">
            <v>986.5</v>
          </cell>
        </row>
        <row r="1024">
          <cell r="Z1024">
            <v>987.1</v>
          </cell>
        </row>
        <row r="1025">
          <cell r="Z1025">
            <v>987.5</v>
          </cell>
        </row>
        <row r="1026">
          <cell r="Z1026">
            <v>987.9</v>
          </cell>
        </row>
        <row r="1050">
          <cell r="Z1050">
            <v>989.7</v>
          </cell>
        </row>
        <row r="1051">
          <cell r="Z1051">
            <v>989.2</v>
          </cell>
        </row>
        <row r="1052">
          <cell r="Z1052">
            <v>989.3</v>
          </cell>
        </row>
        <row r="1053">
          <cell r="Z1053">
            <v>989</v>
          </cell>
        </row>
        <row r="1054">
          <cell r="Z1054">
            <v>988</v>
          </cell>
        </row>
        <row r="1055">
          <cell r="Z1055">
            <v>987.2</v>
          </cell>
        </row>
        <row r="1056">
          <cell r="Z1056">
            <v>986.2</v>
          </cell>
        </row>
        <row r="1057">
          <cell r="Z1057">
            <v>985.5</v>
          </cell>
        </row>
        <row r="1058">
          <cell r="Z1058">
            <v>985.2</v>
          </cell>
        </row>
        <row r="1059">
          <cell r="Z1059">
            <v>986.3</v>
          </cell>
        </row>
        <row r="1060">
          <cell r="Z1060">
            <v>986.2</v>
          </cell>
        </row>
        <row r="1061">
          <cell r="Z1061">
            <v>986.8</v>
          </cell>
        </row>
        <row r="1062">
          <cell r="Z1062">
            <v>988.2</v>
          </cell>
        </row>
        <row r="1121">
          <cell r="R1121" t="str">
            <v xml:space="preserve">TIM PEMBUAT LAPORAN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A8" t="str">
            <v>BULAN : APRIL 2022</v>
          </cell>
        </row>
        <row r="43">
          <cell r="M43" t="str">
            <v>Mengetahui,</v>
          </cell>
        </row>
        <row r="44">
          <cell r="M44" t="str">
            <v>Kepala Stasiun Klimatologi Kelas IV</v>
          </cell>
          <cell r="T44" t="str">
            <v>Pengolah</v>
          </cell>
        </row>
        <row r="45">
          <cell r="M45" t="str">
            <v>Sleman Yogyakarta</v>
          </cell>
        </row>
        <row r="50">
          <cell r="M50" t="str">
            <v>RENI KRANINGTYAS, SP, M.Si</v>
          </cell>
          <cell r="T50" t="str">
            <v xml:space="preserve">TIM PEMBUAT LAPORAN </v>
          </cell>
        </row>
        <row r="51">
          <cell r="M51" t="str">
            <v>NIP.  19740203 199703 2 001</v>
          </cell>
          <cell r="T51" t="str">
            <v xml:space="preserve">PETUGAS OPERASIONAL </v>
          </cell>
        </row>
      </sheetData>
      <sheetData sheetId="10" refreshError="1"/>
      <sheetData sheetId="11" refreshError="1"/>
      <sheetData sheetId="12" refreshError="1"/>
      <sheetData sheetId="13" refreshError="1">
        <row r="11">
          <cell r="Y11" t="str">
            <v>April 2022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April 2022</v>
          </cell>
        </row>
        <row r="43">
          <cell r="C43" t="str">
            <v>Mengetahui,</v>
          </cell>
        </row>
        <row r="44">
          <cell r="C44" t="str">
            <v>Kepala Stasiun Klimatologi Kelas IV</v>
          </cell>
          <cell r="O44" t="str">
            <v>Pengolah</v>
          </cell>
        </row>
        <row r="45">
          <cell r="C45" t="str">
            <v>Sleman Yogyakarta</v>
          </cell>
        </row>
        <row r="50">
          <cell r="C50" t="str">
            <v>RENI KRANINGTYAS, SP, M.Si</v>
          </cell>
          <cell r="O50" t="str">
            <v xml:space="preserve">TIM PEMBUAT LAPORAN </v>
          </cell>
        </row>
        <row r="51">
          <cell r="C51" t="str">
            <v>NIP.  19740203 199703 2 001</v>
          </cell>
          <cell r="O51" t="str">
            <v xml:space="preserve">PETUGAS OPERASIONAL </v>
          </cell>
        </row>
      </sheetData>
      <sheetData sheetId="20" refreshError="1"/>
      <sheetData sheetId="21" refreshError="1">
        <row r="1">
          <cell r="F1" t="str">
            <v>STASIUN KLIMATOLOGI KL. IV SLEMAN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MEI</v>
          </cell>
        </row>
        <row r="6">
          <cell r="Z6">
            <v>988.8</v>
          </cell>
        </row>
        <row r="7">
          <cell r="Z7">
            <v>989.3</v>
          </cell>
        </row>
        <row r="8">
          <cell r="Z8">
            <v>989.1</v>
          </cell>
        </row>
        <row r="9">
          <cell r="Z9">
            <v>989.1</v>
          </cell>
        </row>
        <row r="10">
          <cell r="Z10">
            <v>987.9</v>
          </cell>
        </row>
        <row r="11">
          <cell r="Z11">
            <v>987.1</v>
          </cell>
        </row>
        <row r="12">
          <cell r="Z12">
            <v>986.1</v>
          </cell>
        </row>
        <row r="13">
          <cell r="Z13">
            <v>985.4</v>
          </cell>
        </row>
        <row r="14">
          <cell r="Z14">
            <v>985.69</v>
          </cell>
        </row>
        <row r="15">
          <cell r="Z15">
            <v>986.79</v>
          </cell>
        </row>
        <row r="16">
          <cell r="Z16">
            <v>987.93</v>
          </cell>
        </row>
        <row r="17">
          <cell r="Z17">
            <v>988.04</v>
          </cell>
        </row>
        <row r="18">
          <cell r="Z18">
            <v>988.49</v>
          </cell>
        </row>
        <row r="42">
          <cell r="Z42">
            <v>989.39</v>
          </cell>
        </row>
        <row r="43">
          <cell r="Z43">
            <v>989.67</v>
          </cell>
        </row>
        <row r="44">
          <cell r="Z44">
            <v>989.48</v>
          </cell>
        </row>
        <row r="45">
          <cell r="Z45">
            <v>989.28</v>
          </cell>
        </row>
        <row r="46">
          <cell r="Z46">
            <v>988.59</v>
          </cell>
        </row>
        <row r="47">
          <cell r="Z47">
            <v>987.44</v>
          </cell>
        </row>
        <row r="48">
          <cell r="Z48">
            <v>986.67</v>
          </cell>
        </row>
        <row r="49">
          <cell r="Z49">
            <v>985.73</v>
          </cell>
        </row>
        <row r="50">
          <cell r="Z50">
            <v>985.28</v>
          </cell>
        </row>
        <row r="51">
          <cell r="Z51">
            <v>985.85</v>
          </cell>
        </row>
        <row r="52">
          <cell r="Z52">
            <v>986.59</v>
          </cell>
        </row>
        <row r="53">
          <cell r="Z53">
            <v>987.09</v>
          </cell>
        </row>
        <row r="54">
          <cell r="Z54">
            <v>987.74</v>
          </cell>
        </row>
        <row r="78">
          <cell r="Z78">
            <v>989.6</v>
          </cell>
        </row>
        <row r="79">
          <cell r="Z79">
            <v>989.9</v>
          </cell>
        </row>
        <row r="80">
          <cell r="Z80">
            <v>989.7</v>
          </cell>
        </row>
        <row r="81">
          <cell r="Z81">
            <v>989.5</v>
          </cell>
        </row>
        <row r="82">
          <cell r="Z82">
            <v>988.7</v>
          </cell>
        </row>
        <row r="83">
          <cell r="Z83">
            <v>987.9</v>
          </cell>
        </row>
        <row r="84">
          <cell r="Z84">
            <v>986.8</v>
          </cell>
        </row>
        <row r="85">
          <cell r="Z85">
            <v>986.4</v>
          </cell>
        </row>
        <row r="86">
          <cell r="Z86">
            <v>986.4</v>
          </cell>
        </row>
        <row r="87">
          <cell r="Z87">
            <v>987.1</v>
          </cell>
        </row>
        <row r="88">
          <cell r="Z88">
            <v>988.1</v>
          </cell>
        </row>
        <row r="89">
          <cell r="Z89">
            <v>988.6</v>
          </cell>
        </row>
        <row r="90">
          <cell r="Z90">
            <v>989.2</v>
          </cell>
        </row>
        <row r="114">
          <cell r="Z114">
            <v>989.5</v>
          </cell>
        </row>
        <row r="115">
          <cell r="Z115">
            <v>989.78</v>
          </cell>
        </row>
        <row r="116">
          <cell r="Z116">
            <v>989.86</v>
          </cell>
        </row>
        <row r="117">
          <cell r="Z117">
            <v>989.92</v>
          </cell>
        </row>
        <row r="118">
          <cell r="Z118">
            <v>989.2</v>
          </cell>
        </row>
        <row r="119">
          <cell r="Z119">
            <v>988.23</v>
          </cell>
        </row>
        <row r="120">
          <cell r="Z120">
            <v>988.07</v>
          </cell>
        </row>
        <row r="121">
          <cell r="Z121">
            <v>986.9</v>
          </cell>
        </row>
        <row r="122">
          <cell r="Z122">
            <v>986.8</v>
          </cell>
        </row>
        <row r="123">
          <cell r="Z123">
            <v>986.9</v>
          </cell>
        </row>
        <row r="124">
          <cell r="Z124">
            <v>987.3</v>
          </cell>
        </row>
        <row r="125">
          <cell r="Z125">
            <v>988.3</v>
          </cell>
        </row>
        <row r="126">
          <cell r="Z126">
            <v>989.1</v>
          </cell>
        </row>
        <row r="150">
          <cell r="Z150">
            <v>989.9</v>
          </cell>
        </row>
        <row r="151">
          <cell r="Z151">
            <v>990.1</v>
          </cell>
        </row>
        <row r="152">
          <cell r="Z152">
            <v>989.6</v>
          </cell>
        </row>
        <row r="153">
          <cell r="Z153">
            <v>989.3</v>
          </cell>
        </row>
        <row r="154">
          <cell r="Z154">
            <v>988.3</v>
          </cell>
        </row>
        <row r="155">
          <cell r="Z155">
            <v>987.4</v>
          </cell>
        </row>
        <row r="156">
          <cell r="Z156">
            <v>986.7</v>
          </cell>
        </row>
        <row r="157">
          <cell r="Z157">
            <v>986.1</v>
          </cell>
        </row>
        <row r="158">
          <cell r="Z158">
            <v>986.2</v>
          </cell>
        </row>
        <row r="159">
          <cell r="Z159">
            <v>986.4</v>
          </cell>
        </row>
        <row r="160">
          <cell r="Z160">
            <v>986.4</v>
          </cell>
        </row>
        <row r="161">
          <cell r="Z161">
            <v>986.7</v>
          </cell>
        </row>
        <row r="162">
          <cell r="Z162">
            <v>987.1</v>
          </cell>
        </row>
        <row r="186">
          <cell r="Z186">
            <v>988.5</v>
          </cell>
        </row>
        <row r="187">
          <cell r="Z187">
            <v>988.4</v>
          </cell>
        </row>
        <row r="188">
          <cell r="Z188">
            <v>988.6</v>
          </cell>
        </row>
        <row r="189">
          <cell r="Z189">
            <v>988.2</v>
          </cell>
        </row>
        <row r="190">
          <cell r="Z190">
            <v>997.2</v>
          </cell>
        </row>
        <row r="191">
          <cell r="Z191">
            <v>986.7</v>
          </cell>
        </row>
        <row r="192">
          <cell r="Z192">
            <v>985.8</v>
          </cell>
        </row>
        <row r="193">
          <cell r="Z193">
            <v>985.67</v>
          </cell>
        </row>
        <row r="194">
          <cell r="Z194">
            <v>985.33</v>
          </cell>
        </row>
        <row r="195">
          <cell r="Z195">
            <v>985.69</v>
          </cell>
        </row>
        <row r="196">
          <cell r="Z196">
            <v>987.18</v>
          </cell>
        </row>
        <row r="197">
          <cell r="Z197">
            <v>987.14</v>
          </cell>
        </row>
        <row r="198">
          <cell r="Z198">
            <v>987.5</v>
          </cell>
        </row>
        <row r="222">
          <cell r="Z222">
            <v>988.34</v>
          </cell>
        </row>
        <row r="223">
          <cell r="Z223">
            <v>988.5</v>
          </cell>
        </row>
        <row r="224">
          <cell r="Z224">
            <v>988.91</v>
          </cell>
        </row>
        <row r="225">
          <cell r="Z225">
            <v>988.6</v>
          </cell>
        </row>
        <row r="226">
          <cell r="Z226">
            <v>987.62</v>
          </cell>
        </row>
        <row r="227">
          <cell r="Z227">
            <v>986.9</v>
          </cell>
        </row>
        <row r="228">
          <cell r="Z228">
            <v>986.14</v>
          </cell>
        </row>
        <row r="229">
          <cell r="Z229">
            <v>984.8</v>
          </cell>
        </row>
        <row r="230">
          <cell r="Z230">
            <v>984.4</v>
          </cell>
        </row>
        <row r="231">
          <cell r="Z231">
            <v>985.4</v>
          </cell>
        </row>
        <row r="232">
          <cell r="Z232">
            <v>986.4</v>
          </cell>
        </row>
        <row r="233">
          <cell r="Z233">
            <v>987.7</v>
          </cell>
        </row>
        <row r="234">
          <cell r="Z234">
            <v>987.5</v>
          </cell>
        </row>
        <row r="258">
          <cell r="Z258">
            <v>988.32</v>
          </cell>
        </row>
        <row r="259">
          <cell r="Z259">
            <v>989.05</v>
          </cell>
        </row>
        <row r="260">
          <cell r="Z260">
            <v>989.55</v>
          </cell>
        </row>
        <row r="261">
          <cell r="Z261">
            <v>989.43</v>
          </cell>
        </row>
        <row r="262">
          <cell r="Z262">
            <v>988.43</v>
          </cell>
        </row>
        <row r="263">
          <cell r="Z263">
            <v>987.24</v>
          </cell>
        </row>
        <row r="264">
          <cell r="Z264">
            <v>986.64</v>
          </cell>
        </row>
        <row r="265">
          <cell r="Z265">
            <v>986</v>
          </cell>
        </row>
        <row r="266">
          <cell r="Z266">
            <v>985.8</v>
          </cell>
        </row>
        <row r="267">
          <cell r="Z267">
            <v>986.4</v>
          </cell>
        </row>
        <row r="268">
          <cell r="Z268">
            <v>987.5</v>
          </cell>
        </row>
        <row r="269">
          <cell r="Z269">
            <v>988</v>
          </cell>
        </row>
        <row r="270">
          <cell r="Z270">
            <v>988.9</v>
          </cell>
        </row>
        <row r="294">
          <cell r="Z294">
            <v>988.7</v>
          </cell>
        </row>
        <row r="295">
          <cell r="Z295">
            <v>988.9</v>
          </cell>
        </row>
        <row r="296">
          <cell r="Z296">
            <v>989.1</v>
          </cell>
        </row>
        <row r="297">
          <cell r="Z297">
            <v>988.6</v>
          </cell>
        </row>
        <row r="298">
          <cell r="Z298">
            <v>987.9</v>
          </cell>
        </row>
        <row r="299">
          <cell r="Z299">
            <v>986.8</v>
          </cell>
        </row>
        <row r="300">
          <cell r="Z300">
            <v>986.1</v>
          </cell>
        </row>
        <row r="301">
          <cell r="Z301">
            <v>986.13</v>
          </cell>
        </row>
        <row r="302">
          <cell r="Z302">
            <v>985.7</v>
          </cell>
        </row>
        <row r="303">
          <cell r="Z303">
            <v>986.4</v>
          </cell>
        </row>
        <row r="304">
          <cell r="Z304">
            <v>986.8</v>
          </cell>
        </row>
        <row r="305">
          <cell r="Z305">
            <v>987.1</v>
          </cell>
        </row>
        <row r="306">
          <cell r="Z306">
            <v>988.1</v>
          </cell>
        </row>
        <row r="330">
          <cell r="Z330">
            <v>989.1</v>
          </cell>
        </row>
        <row r="331">
          <cell r="Z331">
            <v>989.5</v>
          </cell>
        </row>
        <row r="332">
          <cell r="Z332">
            <v>989.7</v>
          </cell>
        </row>
        <row r="333">
          <cell r="Z333">
            <v>989.4</v>
          </cell>
        </row>
        <row r="334">
          <cell r="Z334">
            <v>988.7</v>
          </cell>
        </row>
        <row r="335">
          <cell r="Z335">
            <v>987.4</v>
          </cell>
        </row>
        <row r="336">
          <cell r="Z336">
            <v>986.2</v>
          </cell>
        </row>
        <row r="337">
          <cell r="Z337">
            <v>985.86</v>
          </cell>
        </row>
        <row r="338">
          <cell r="Z338">
            <v>985.64</v>
          </cell>
        </row>
        <row r="339">
          <cell r="Z339">
            <v>986.45</v>
          </cell>
        </row>
        <row r="340">
          <cell r="Z340">
            <v>986.8</v>
          </cell>
        </row>
        <row r="341">
          <cell r="Z341">
            <v>987.3</v>
          </cell>
        </row>
        <row r="342">
          <cell r="Z342">
            <v>987.9</v>
          </cell>
        </row>
        <row r="366">
          <cell r="Z366">
            <v>989.2</v>
          </cell>
        </row>
        <row r="367">
          <cell r="Z367">
            <v>989.5</v>
          </cell>
        </row>
        <row r="368">
          <cell r="Z368">
            <v>989.5</v>
          </cell>
        </row>
        <row r="369">
          <cell r="Z369">
            <v>989.1</v>
          </cell>
        </row>
        <row r="370">
          <cell r="Z370">
            <v>987.9</v>
          </cell>
        </row>
        <row r="371">
          <cell r="Z371">
            <v>986.5</v>
          </cell>
        </row>
        <row r="372">
          <cell r="Z372">
            <v>985.9</v>
          </cell>
        </row>
        <row r="373">
          <cell r="Z373">
            <v>984.99</v>
          </cell>
        </row>
        <row r="374">
          <cell r="Z374">
            <v>984.56</v>
          </cell>
        </row>
        <row r="375">
          <cell r="Z375">
            <v>984.88</v>
          </cell>
        </row>
        <row r="376">
          <cell r="Z376">
            <v>985.31</v>
          </cell>
        </row>
        <row r="377">
          <cell r="Z377">
            <v>985.95</v>
          </cell>
        </row>
        <row r="378">
          <cell r="Z378">
            <v>986.87</v>
          </cell>
        </row>
        <row r="402">
          <cell r="Z402">
            <v>990.1</v>
          </cell>
        </row>
        <row r="403">
          <cell r="Z403">
            <v>990.2</v>
          </cell>
        </row>
        <row r="404">
          <cell r="Z404">
            <v>990</v>
          </cell>
        </row>
        <row r="405">
          <cell r="Z405">
            <v>989.5</v>
          </cell>
        </row>
        <row r="406">
          <cell r="Z406">
            <v>988.8</v>
          </cell>
        </row>
        <row r="407">
          <cell r="Z407">
            <v>988.11</v>
          </cell>
        </row>
        <row r="408">
          <cell r="Z408">
            <v>986.9</v>
          </cell>
        </row>
        <row r="409">
          <cell r="Z409">
            <v>985.91</v>
          </cell>
        </row>
        <row r="410">
          <cell r="Z410">
            <v>985.79</v>
          </cell>
        </row>
        <row r="411">
          <cell r="Z411">
            <v>985.76</v>
          </cell>
        </row>
        <row r="412">
          <cell r="Z412">
            <v>986.5</v>
          </cell>
        </row>
        <row r="413">
          <cell r="Z413">
            <v>987.83</v>
          </cell>
        </row>
        <row r="414">
          <cell r="Z414">
            <v>988.58</v>
          </cell>
        </row>
        <row r="438">
          <cell r="Z438">
            <v>990.14</v>
          </cell>
        </row>
        <row r="439">
          <cell r="Z439">
            <v>990.57</v>
          </cell>
        </row>
        <row r="440">
          <cell r="Z440">
            <v>990.69</v>
          </cell>
        </row>
        <row r="441">
          <cell r="Z441">
            <v>990.45</v>
          </cell>
        </row>
        <row r="442">
          <cell r="Z442">
            <v>989.11</v>
          </cell>
        </row>
        <row r="443">
          <cell r="Z443">
            <v>988.2</v>
          </cell>
        </row>
        <row r="444">
          <cell r="Z444">
            <v>987.56</v>
          </cell>
        </row>
        <row r="445">
          <cell r="Z445">
            <v>986.6</v>
          </cell>
        </row>
        <row r="446">
          <cell r="Z446">
            <v>986.1</v>
          </cell>
        </row>
        <row r="447">
          <cell r="Z447">
            <v>986.9</v>
          </cell>
        </row>
        <row r="448">
          <cell r="Z448">
            <v>988.1</v>
          </cell>
        </row>
        <row r="449">
          <cell r="Z449">
            <v>989.1</v>
          </cell>
        </row>
        <row r="450">
          <cell r="Z450">
            <v>989.5</v>
          </cell>
        </row>
        <row r="474">
          <cell r="Z474">
            <v>990.95</v>
          </cell>
        </row>
        <row r="475">
          <cell r="Z475">
            <v>991.54</v>
          </cell>
        </row>
        <row r="476">
          <cell r="Z476">
            <v>991.41</v>
          </cell>
        </row>
        <row r="477">
          <cell r="Z477">
            <v>991.35</v>
          </cell>
        </row>
        <row r="478">
          <cell r="Z478">
            <v>990.66</v>
          </cell>
        </row>
        <row r="479">
          <cell r="Z479">
            <v>990.04</v>
          </cell>
        </row>
        <row r="480">
          <cell r="Z480">
            <v>990.04</v>
          </cell>
        </row>
        <row r="481">
          <cell r="Z481">
            <v>988.6</v>
          </cell>
        </row>
        <row r="482">
          <cell r="Z482">
            <v>988.1</v>
          </cell>
        </row>
        <row r="483">
          <cell r="Z483">
            <v>988.7</v>
          </cell>
        </row>
        <row r="484">
          <cell r="Z484">
            <v>989.4</v>
          </cell>
        </row>
        <row r="485">
          <cell r="Z485">
            <v>989.8</v>
          </cell>
        </row>
        <row r="486">
          <cell r="Z486">
            <v>991.7</v>
          </cell>
        </row>
        <row r="510">
          <cell r="Z510">
            <v>991.65</v>
          </cell>
        </row>
        <row r="511">
          <cell r="Z511">
            <v>992.24</v>
          </cell>
        </row>
        <row r="512">
          <cell r="Z512">
            <v>992.39</v>
          </cell>
        </row>
        <row r="513">
          <cell r="Z513">
            <v>992.14</v>
          </cell>
        </row>
        <row r="514">
          <cell r="Z514">
            <v>991.49</v>
          </cell>
        </row>
        <row r="515">
          <cell r="Z515">
            <v>990.34</v>
          </cell>
        </row>
        <row r="516">
          <cell r="Z516">
            <v>989.33</v>
          </cell>
        </row>
        <row r="517">
          <cell r="Z517">
            <v>988.3</v>
          </cell>
        </row>
        <row r="518">
          <cell r="Z518">
            <v>988.1</v>
          </cell>
        </row>
        <row r="519">
          <cell r="Z519">
            <v>988.1</v>
          </cell>
        </row>
        <row r="520">
          <cell r="Z520">
            <v>988.2</v>
          </cell>
        </row>
        <row r="521">
          <cell r="Z521">
            <v>989.2</v>
          </cell>
        </row>
        <row r="522">
          <cell r="Z522">
            <v>990.3</v>
          </cell>
        </row>
        <row r="546">
          <cell r="Z546">
            <v>991.4</v>
          </cell>
        </row>
        <row r="547">
          <cell r="Z547">
            <v>992.2</v>
          </cell>
        </row>
        <row r="548">
          <cell r="Z548">
            <v>992</v>
          </cell>
        </row>
        <row r="549">
          <cell r="Z549">
            <v>991.5</v>
          </cell>
        </row>
        <row r="550">
          <cell r="Z550">
            <v>990.6</v>
          </cell>
        </row>
        <row r="551">
          <cell r="Z551">
            <v>989.6</v>
          </cell>
        </row>
        <row r="552">
          <cell r="Z552">
            <v>988.9</v>
          </cell>
        </row>
        <row r="553">
          <cell r="Z553">
            <v>988.5</v>
          </cell>
        </row>
        <row r="554">
          <cell r="Z554">
            <v>988.2</v>
          </cell>
        </row>
        <row r="555">
          <cell r="Z555">
            <v>987.9</v>
          </cell>
        </row>
        <row r="556">
          <cell r="Z556">
            <v>988.6</v>
          </cell>
        </row>
        <row r="557">
          <cell r="Z557">
            <v>989.3</v>
          </cell>
        </row>
        <row r="558">
          <cell r="Z558">
            <v>989.9</v>
          </cell>
        </row>
        <row r="582">
          <cell r="Z582">
            <v>991.1</v>
          </cell>
        </row>
        <row r="583">
          <cell r="Z583">
            <v>991.5</v>
          </cell>
        </row>
        <row r="584">
          <cell r="Z584">
            <v>992</v>
          </cell>
        </row>
        <row r="585">
          <cell r="Z585">
            <v>991.8</v>
          </cell>
        </row>
        <row r="586">
          <cell r="Z586">
            <v>991.1</v>
          </cell>
        </row>
        <row r="587">
          <cell r="Z587">
            <v>990.2</v>
          </cell>
        </row>
        <row r="588">
          <cell r="Z588">
            <v>989.6</v>
          </cell>
        </row>
        <row r="589">
          <cell r="Z589">
            <v>988.6</v>
          </cell>
        </row>
        <row r="590">
          <cell r="Z590">
            <v>988.3</v>
          </cell>
        </row>
        <row r="591">
          <cell r="Z591">
            <v>988.5</v>
          </cell>
        </row>
        <row r="592">
          <cell r="Z592">
            <v>989.4</v>
          </cell>
        </row>
        <row r="593">
          <cell r="Z593">
            <v>990.2</v>
          </cell>
        </row>
        <row r="594">
          <cell r="Z594">
            <v>990.6</v>
          </cell>
        </row>
        <row r="618">
          <cell r="Z618">
            <v>991.6</v>
          </cell>
        </row>
        <row r="619">
          <cell r="Z619">
            <v>992</v>
          </cell>
        </row>
        <row r="620">
          <cell r="Z620">
            <v>992.1</v>
          </cell>
        </row>
        <row r="621">
          <cell r="Z621">
            <v>992.1</v>
          </cell>
        </row>
        <row r="622">
          <cell r="Z622">
            <v>991</v>
          </cell>
        </row>
        <row r="623">
          <cell r="Z623">
            <v>990.2</v>
          </cell>
        </row>
        <row r="624">
          <cell r="Z624">
            <v>989.4</v>
          </cell>
        </row>
        <row r="625">
          <cell r="Z625">
            <v>988.5</v>
          </cell>
        </row>
        <row r="626">
          <cell r="Z626">
            <v>988.5</v>
          </cell>
        </row>
        <row r="627">
          <cell r="Z627">
            <v>988.9</v>
          </cell>
        </row>
        <row r="628">
          <cell r="Z628">
            <v>989.7</v>
          </cell>
        </row>
        <row r="629">
          <cell r="Z629">
            <v>990.4</v>
          </cell>
        </row>
        <row r="630">
          <cell r="Z630">
            <v>991.4</v>
          </cell>
        </row>
        <row r="654">
          <cell r="Z654">
            <v>991.69</v>
          </cell>
        </row>
        <row r="655">
          <cell r="Z655">
            <v>992.01</v>
          </cell>
        </row>
        <row r="656">
          <cell r="Z656">
            <v>992.51</v>
          </cell>
        </row>
        <row r="657">
          <cell r="Z657">
            <v>992.08</v>
          </cell>
        </row>
        <row r="658">
          <cell r="Z658">
            <v>990.85</v>
          </cell>
        </row>
        <row r="659">
          <cell r="Z659">
            <v>989.91</v>
          </cell>
        </row>
        <row r="660">
          <cell r="Z660">
            <v>989.15</v>
          </cell>
        </row>
        <row r="661">
          <cell r="Z661">
            <v>988.72</v>
          </cell>
        </row>
        <row r="662">
          <cell r="Z662">
            <v>988.1</v>
          </cell>
        </row>
        <row r="663">
          <cell r="Z663">
            <v>988.46</v>
          </cell>
        </row>
        <row r="664">
          <cell r="Z664">
            <v>990.43</v>
          </cell>
        </row>
        <row r="665">
          <cell r="Z665">
            <v>991.66</v>
          </cell>
        </row>
        <row r="666">
          <cell r="Z666">
            <v>992.38</v>
          </cell>
        </row>
        <row r="690">
          <cell r="Z690">
            <v>991.8</v>
          </cell>
        </row>
        <row r="691">
          <cell r="Z691">
            <v>991.8</v>
          </cell>
        </row>
        <row r="692">
          <cell r="Z692">
            <v>992</v>
          </cell>
        </row>
        <row r="693">
          <cell r="Z693">
            <v>991.5</v>
          </cell>
        </row>
        <row r="694">
          <cell r="Z694">
            <v>990.6</v>
          </cell>
        </row>
        <row r="695">
          <cell r="Z695">
            <v>989.6</v>
          </cell>
        </row>
        <row r="696">
          <cell r="Z696">
            <v>988.4</v>
          </cell>
        </row>
        <row r="697">
          <cell r="Z697">
            <v>987.7</v>
          </cell>
        </row>
        <row r="698">
          <cell r="Z698">
            <v>987.3</v>
          </cell>
        </row>
        <row r="699">
          <cell r="Z699">
            <v>988.5</v>
          </cell>
        </row>
        <row r="700">
          <cell r="Z700">
            <v>988.9</v>
          </cell>
        </row>
        <row r="701">
          <cell r="Z701">
            <v>989.9</v>
          </cell>
        </row>
        <row r="702">
          <cell r="Z702">
            <v>990.9</v>
          </cell>
        </row>
        <row r="726">
          <cell r="Z726">
            <v>992.3</v>
          </cell>
        </row>
        <row r="727">
          <cell r="Z727">
            <v>990.9</v>
          </cell>
        </row>
        <row r="728">
          <cell r="Z728">
            <v>991</v>
          </cell>
        </row>
        <row r="729">
          <cell r="Z729">
            <v>990.3</v>
          </cell>
        </row>
        <row r="730">
          <cell r="Z730">
            <v>989.1</v>
          </cell>
        </row>
        <row r="731">
          <cell r="Z731">
            <v>988.3</v>
          </cell>
        </row>
        <row r="732">
          <cell r="Z732">
            <v>987.5</v>
          </cell>
        </row>
        <row r="733">
          <cell r="Z733">
            <v>987.1</v>
          </cell>
        </row>
        <row r="734">
          <cell r="Z734">
            <v>986.8</v>
          </cell>
        </row>
        <row r="735">
          <cell r="Z735">
            <v>986.8</v>
          </cell>
        </row>
        <row r="736">
          <cell r="Z736">
            <v>987.8</v>
          </cell>
        </row>
        <row r="737">
          <cell r="Z737">
            <v>988.6</v>
          </cell>
        </row>
        <row r="738">
          <cell r="Z738">
            <v>989.6</v>
          </cell>
        </row>
        <row r="762">
          <cell r="Z762">
            <v>989.6</v>
          </cell>
        </row>
        <row r="764">
          <cell r="Z764">
            <v>989.8</v>
          </cell>
        </row>
        <row r="765">
          <cell r="Z765">
            <v>989.2</v>
          </cell>
        </row>
        <row r="766">
          <cell r="Z766">
            <v>988.3</v>
          </cell>
        </row>
        <row r="767">
          <cell r="Z767">
            <v>987.3</v>
          </cell>
        </row>
        <row r="768">
          <cell r="Z768">
            <v>986.2</v>
          </cell>
        </row>
        <row r="769">
          <cell r="Z769">
            <v>986.2</v>
          </cell>
        </row>
        <row r="770">
          <cell r="Z770">
            <v>986.1</v>
          </cell>
        </row>
        <row r="771">
          <cell r="Z771">
            <v>986.1</v>
          </cell>
        </row>
        <row r="772">
          <cell r="Z772">
            <v>986.7</v>
          </cell>
        </row>
        <row r="773">
          <cell r="Z773">
            <v>987.4</v>
          </cell>
        </row>
        <row r="774">
          <cell r="Z774">
            <v>988.3</v>
          </cell>
        </row>
        <row r="798">
          <cell r="Z798">
            <v>989.6</v>
          </cell>
        </row>
        <row r="799">
          <cell r="Z799">
            <v>989.4</v>
          </cell>
        </row>
        <row r="800">
          <cell r="Z800">
            <v>989.2</v>
          </cell>
        </row>
        <row r="801">
          <cell r="Z801">
            <v>988.6</v>
          </cell>
        </row>
        <row r="802">
          <cell r="Z802">
            <v>987.8</v>
          </cell>
        </row>
        <row r="803">
          <cell r="Z803">
            <v>987.2</v>
          </cell>
        </row>
        <row r="804">
          <cell r="Z804">
            <v>987.1</v>
          </cell>
        </row>
        <row r="805">
          <cell r="Z805">
            <v>986.8</v>
          </cell>
        </row>
        <row r="806">
          <cell r="Z806">
            <v>986.9</v>
          </cell>
        </row>
        <row r="807">
          <cell r="Z807">
            <v>987.3</v>
          </cell>
        </row>
        <row r="808">
          <cell r="Z808">
            <v>988</v>
          </cell>
        </row>
        <row r="809">
          <cell r="Z809">
            <v>988.6</v>
          </cell>
        </row>
        <row r="810">
          <cell r="Z810">
            <v>988.9</v>
          </cell>
        </row>
        <row r="834">
          <cell r="Z834">
            <v>990.1</v>
          </cell>
        </row>
        <row r="835">
          <cell r="Z835">
            <v>990.7</v>
          </cell>
        </row>
        <row r="836">
          <cell r="Z836">
            <v>990.6</v>
          </cell>
        </row>
        <row r="837">
          <cell r="Z837">
            <v>990.3</v>
          </cell>
        </row>
        <row r="838">
          <cell r="Z838">
            <v>989.9</v>
          </cell>
        </row>
        <row r="839">
          <cell r="Z839">
            <v>989.4</v>
          </cell>
        </row>
        <row r="840">
          <cell r="Z840">
            <v>988.6</v>
          </cell>
        </row>
        <row r="841">
          <cell r="Z841">
            <v>987.7</v>
          </cell>
        </row>
        <row r="842">
          <cell r="Z842">
            <v>988</v>
          </cell>
        </row>
        <row r="843">
          <cell r="Z843">
            <v>988.8</v>
          </cell>
        </row>
        <row r="844">
          <cell r="Z844">
            <v>989.3</v>
          </cell>
        </row>
        <row r="845">
          <cell r="Z845">
            <v>989.9</v>
          </cell>
        </row>
        <row r="846">
          <cell r="Z846">
            <v>990.4</v>
          </cell>
        </row>
        <row r="870">
          <cell r="Z870">
            <v>991.8</v>
          </cell>
        </row>
        <row r="871">
          <cell r="Z871">
            <v>992.1</v>
          </cell>
        </row>
        <row r="872">
          <cell r="Z872">
            <v>992.1</v>
          </cell>
        </row>
        <row r="873">
          <cell r="Z873">
            <v>991.7</v>
          </cell>
        </row>
        <row r="874">
          <cell r="Z874">
            <v>990.99</v>
          </cell>
        </row>
        <row r="875">
          <cell r="Z875">
            <v>989.45</v>
          </cell>
        </row>
        <row r="876">
          <cell r="Z876">
            <v>988.1</v>
          </cell>
        </row>
        <row r="877">
          <cell r="Z877">
            <v>987.2</v>
          </cell>
        </row>
        <row r="878">
          <cell r="Z878">
            <v>987.4</v>
          </cell>
        </row>
        <row r="879">
          <cell r="Z879">
            <v>988</v>
          </cell>
        </row>
        <row r="880">
          <cell r="Z880">
            <v>988.7</v>
          </cell>
        </row>
        <row r="881">
          <cell r="Z881">
            <v>989.7</v>
          </cell>
        </row>
        <row r="882">
          <cell r="Z882">
            <v>989.8</v>
          </cell>
        </row>
        <row r="906">
          <cell r="Z906">
            <v>990.99</v>
          </cell>
        </row>
        <row r="907">
          <cell r="Z907">
            <v>991.83</v>
          </cell>
        </row>
        <row r="908">
          <cell r="Z908">
            <v>992.11</v>
          </cell>
        </row>
        <row r="909">
          <cell r="Z909">
            <v>991.8</v>
          </cell>
        </row>
        <row r="910">
          <cell r="Z910">
            <v>991.16</v>
          </cell>
        </row>
        <row r="911">
          <cell r="Z911">
            <v>990.55</v>
          </cell>
        </row>
        <row r="912">
          <cell r="Z912">
            <v>989.85</v>
          </cell>
        </row>
        <row r="913">
          <cell r="Z913">
            <v>989.6</v>
          </cell>
        </row>
        <row r="914">
          <cell r="Z914">
            <v>990.1</v>
          </cell>
        </row>
        <row r="915">
          <cell r="Z915">
            <v>990.5</v>
          </cell>
        </row>
        <row r="916">
          <cell r="Z916">
            <v>990.9</v>
          </cell>
        </row>
        <row r="917">
          <cell r="Z917">
            <v>991.4</v>
          </cell>
        </row>
        <row r="918">
          <cell r="Z918">
            <v>991</v>
          </cell>
        </row>
        <row r="942">
          <cell r="Z942">
            <v>990.36</v>
          </cell>
        </row>
        <row r="943">
          <cell r="Z943">
            <v>991.04</v>
          </cell>
        </row>
        <row r="944">
          <cell r="Z944">
            <v>991.13</v>
          </cell>
        </row>
        <row r="945">
          <cell r="Z945">
            <v>990.98</v>
          </cell>
        </row>
        <row r="946">
          <cell r="Z946">
            <v>990.51</v>
          </cell>
        </row>
        <row r="947">
          <cell r="Z947">
            <v>983.2</v>
          </cell>
        </row>
        <row r="948">
          <cell r="Z948">
            <v>988.38</v>
          </cell>
        </row>
        <row r="949">
          <cell r="Z949">
            <v>988</v>
          </cell>
        </row>
        <row r="950">
          <cell r="Z950">
            <v>987.6</v>
          </cell>
        </row>
        <row r="951">
          <cell r="Z951">
            <v>987.8</v>
          </cell>
        </row>
        <row r="952">
          <cell r="Z952">
            <v>988.7</v>
          </cell>
        </row>
        <row r="953">
          <cell r="Z953">
            <v>989.6</v>
          </cell>
        </row>
        <row r="954">
          <cell r="Z954">
            <v>990.5</v>
          </cell>
        </row>
        <row r="978">
          <cell r="Z978">
            <v>989.4</v>
          </cell>
        </row>
        <row r="979">
          <cell r="Z979">
            <v>989.5</v>
          </cell>
        </row>
        <row r="980">
          <cell r="Z980">
            <v>989.7</v>
          </cell>
        </row>
        <row r="981">
          <cell r="Z981">
            <v>989.3</v>
          </cell>
        </row>
        <row r="982">
          <cell r="Z982">
            <v>988.7</v>
          </cell>
        </row>
        <row r="983">
          <cell r="Z983">
            <v>987.5</v>
          </cell>
        </row>
        <row r="984">
          <cell r="Z984">
            <v>986.7</v>
          </cell>
        </row>
        <row r="985">
          <cell r="Z985">
            <v>986.2</v>
          </cell>
        </row>
        <row r="986">
          <cell r="Z986">
            <v>985.5</v>
          </cell>
        </row>
        <row r="987">
          <cell r="Z987">
            <v>985.7</v>
          </cell>
        </row>
        <row r="988">
          <cell r="Z988">
            <v>986.3</v>
          </cell>
        </row>
        <row r="989">
          <cell r="Z989">
            <v>987</v>
          </cell>
        </row>
        <row r="990">
          <cell r="Z990">
            <v>988.9</v>
          </cell>
        </row>
        <row r="1014">
          <cell r="Z1014">
            <v>989.9</v>
          </cell>
        </row>
        <row r="1015">
          <cell r="Z1015">
            <v>990</v>
          </cell>
        </row>
        <row r="1016">
          <cell r="Z1016">
            <v>990</v>
          </cell>
        </row>
        <row r="1017">
          <cell r="Z1017">
            <v>989.7</v>
          </cell>
        </row>
        <row r="1018">
          <cell r="Z1018">
            <v>989.3</v>
          </cell>
        </row>
        <row r="1019">
          <cell r="Z1019">
            <v>988.5</v>
          </cell>
        </row>
        <row r="1020">
          <cell r="Z1020">
            <v>986.7</v>
          </cell>
        </row>
        <row r="1021">
          <cell r="Z1021">
            <v>986</v>
          </cell>
        </row>
        <row r="1022">
          <cell r="Z1022">
            <v>986.3</v>
          </cell>
        </row>
        <row r="1023">
          <cell r="Z1023">
            <v>987.2</v>
          </cell>
        </row>
        <row r="1024">
          <cell r="Z1024">
            <v>987.8</v>
          </cell>
        </row>
        <row r="1025">
          <cell r="Z1025">
            <v>988.3</v>
          </cell>
        </row>
        <row r="1026">
          <cell r="Z1026">
            <v>988.7</v>
          </cell>
        </row>
        <row r="1050">
          <cell r="Z1050">
            <v>989.2</v>
          </cell>
        </row>
        <row r="1051">
          <cell r="Z1051">
            <v>989</v>
          </cell>
        </row>
        <row r="1052">
          <cell r="Z1052">
            <v>989.2</v>
          </cell>
        </row>
        <row r="1053">
          <cell r="Z1053">
            <v>988.8</v>
          </cell>
        </row>
        <row r="1054">
          <cell r="Z1054">
            <v>987.9</v>
          </cell>
        </row>
        <row r="1055">
          <cell r="Z1055">
            <v>986.8</v>
          </cell>
        </row>
        <row r="1056">
          <cell r="Z1056">
            <v>986</v>
          </cell>
        </row>
        <row r="1057">
          <cell r="Z1057">
            <v>985.16</v>
          </cell>
        </row>
        <row r="1058">
          <cell r="Z1058">
            <v>985.16</v>
          </cell>
        </row>
        <row r="1059">
          <cell r="Z1059">
            <v>985.75</v>
          </cell>
        </row>
        <row r="1060">
          <cell r="Z1060">
            <v>996.3</v>
          </cell>
        </row>
        <row r="1061">
          <cell r="Z1061">
            <v>987.34</v>
          </cell>
        </row>
        <row r="1062">
          <cell r="Z1062">
            <v>988.07</v>
          </cell>
        </row>
        <row r="1086">
          <cell r="Z1086">
            <v>988.6</v>
          </cell>
        </row>
        <row r="1087">
          <cell r="Z1087">
            <v>989.3</v>
          </cell>
        </row>
        <row r="1088">
          <cell r="Z1088">
            <v>989.6</v>
          </cell>
        </row>
        <row r="1089">
          <cell r="Z1089">
            <v>989.6</v>
          </cell>
        </row>
        <row r="1090">
          <cell r="Z1090">
            <v>988.83</v>
          </cell>
        </row>
        <row r="1091">
          <cell r="Z1091">
            <v>987.7</v>
          </cell>
        </row>
        <row r="1092">
          <cell r="Z1092">
            <v>986.9</v>
          </cell>
        </row>
        <row r="1093">
          <cell r="Z1093">
            <v>986.25</v>
          </cell>
        </row>
        <row r="1094">
          <cell r="Z1094">
            <v>986.46</v>
          </cell>
        </row>
        <row r="1095">
          <cell r="Z1095">
            <v>986.56</v>
          </cell>
        </row>
        <row r="1096">
          <cell r="Z1096">
            <v>987.16</v>
          </cell>
        </row>
        <row r="1097">
          <cell r="Z1097">
            <v>988.16</v>
          </cell>
        </row>
        <row r="1098">
          <cell r="Z1098">
            <v>988.66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C3" t="str">
            <v>Mei 2022</v>
          </cell>
        </row>
      </sheetData>
      <sheetData sheetId="20">
        <row r="42">
          <cell r="C42" t="str">
            <v>Mengetahui,</v>
          </cell>
        </row>
      </sheetData>
      <sheetData sheetId="21"/>
      <sheetData sheetId="22">
        <row r="42">
          <cell r="C42" t="str">
            <v>Mengetahui,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Z51"/>
  <sheetViews>
    <sheetView view="pageBreakPreview" topLeftCell="A10" zoomScale="75" workbookViewId="0">
      <selection activeCell="H43" sqref="H43"/>
    </sheetView>
  </sheetViews>
  <sheetFormatPr defaultRowHeight="12.75" x14ac:dyDescent="0.2"/>
  <cols>
    <col min="1" max="1" width="13.140625" style="8" customWidth="1"/>
    <col min="2" max="16" width="11" style="1" customWidth="1"/>
    <col min="17" max="17" width="14.140625" style="1" customWidth="1"/>
    <col min="18" max="256" width="9.140625" style="1"/>
    <col min="257" max="257" width="7.140625" style="1" customWidth="1"/>
    <col min="258" max="273" width="11" style="1" customWidth="1"/>
    <col min="274" max="512" width="9.140625" style="1"/>
    <col min="513" max="513" width="7.140625" style="1" customWidth="1"/>
    <col min="514" max="529" width="11" style="1" customWidth="1"/>
    <col min="530" max="768" width="9.140625" style="1"/>
    <col min="769" max="769" width="7.140625" style="1" customWidth="1"/>
    <col min="770" max="785" width="11" style="1" customWidth="1"/>
    <col min="786" max="1024" width="9.140625" style="1"/>
    <col min="1025" max="1025" width="7.140625" style="1" customWidth="1"/>
    <col min="1026" max="1041" width="11" style="1" customWidth="1"/>
    <col min="1042" max="1280" width="9.140625" style="1"/>
    <col min="1281" max="1281" width="7.140625" style="1" customWidth="1"/>
    <col min="1282" max="1297" width="11" style="1" customWidth="1"/>
    <col min="1298" max="1536" width="9.140625" style="1"/>
    <col min="1537" max="1537" width="7.140625" style="1" customWidth="1"/>
    <col min="1538" max="1553" width="11" style="1" customWidth="1"/>
    <col min="1554" max="1792" width="9.140625" style="1"/>
    <col min="1793" max="1793" width="7.140625" style="1" customWidth="1"/>
    <col min="1794" max="1809" width="11" style="1" customWidth="1"/>
    <col min="1810" max="2048" width="9.140625" style="1"/>
    <col min="2049" max="2049" width="7.140625" style="1" customWidth="1"/>
    <col min="2050" max="2065" width="11" style="1" customWidth="1"/>
    <col min="2066" max="2304" width="9.140625" style="1"/>
    <col min="2305" max="2305" width="7.140625" style="1" customWidth="1"/>
    <col min="2306" max="2321" width="11" style="1" customWidth="1"/>
    <col min="2322" max="2560" width="9.140625" style="1"/>
    <col min="2561" max="2561" width="7.140625" style="1" customWidth="1"/>
    <col min="2562" max="2577" width="11" style="1" customWidth="1"/>
    <col min="2578" max="2816" width="9.140625" style="1"/>
    <col min="2817" max="2817" width="7.140625" style="1" customWidth="1"/>
    <col min="2818" max="2833" width="11" style="1" customWidth="1"/>
    <col min="2834" max="3072" width="9.140625" style="1"/>
    <col min="3073" max="3073" width="7.140625" style="1" customWidth="1"/>
    <col min="3074" max="3089" width="11" style="1" customWidth="1"/>
    <col min="3090" max="3328" width="9.140625" style="1"/>
    <col min="3329" max="3329" width="7.140625" style="1" customWidth="1"/>
    <col min="3330" max="3345" width="11" style="1" customWidth="1"/>
    <col min="3346" max="3584" width="9.140625" style="1"/>
    <col min="3585" max="3585" width="7.140625" style="1" customWidth="1"/>
    <col min="3586" max="3601" width="11" style="1" customWidth="1"/>
    <col min="3602" max="3840" width="9.140625" style="1"/>
    <col min="3841" max="3841" width="7.140625" style="1" customWidth="1"/>
    <col min="3842" max="3857" width="11" style="1" customWidth="1"/>
    <col min="3858" max="4096" width="9.140625" style="1"/>
    <col min="4097" max="4097" width="7.140625" style="1" customWidth="1"/>
    <col min="4098" max="4113" width="11" style="1" customWidth="1"/>
    <col min="4114" max="4352" width="9.140625" style="1"/>
    <col min="4353" max="4353" width="7.140625" style="1" customWidth="1"/>
    <col min="4354" max="4369" width="11" style="1" customWidth="1"/>
    <col min="4370" max="4608" width="9.140625" style="1"/>
    <col min="4609" max="4609" width="7.140625" style="1" customWidth="1"/>
    <col min="4610" max="4625" width="11" style="1" customWidth="1"/>
    <col min="4626" max="4864" width="9.140625" style="1"/>
    <col min="4865" max="4865" width="7.140625" style="1" customWidth="1"/>
    <col min="4866" max="4881" width="11" style="1" customWidth="1"/>
    <col min="4882" max="5120" width="9.140625" style="1"/>
    <col min="5121" max="5121" width="7.140625" style="1" customWidth="1"/>
    <col min="5122" max="5137" width="11" style="1" customWidth="1"/>
    <col min="5138" max="5376" width="9.140625" style="1"/>
    <col min="5377" max="5377" width="7.140625" style="1" customWidth="1"/>
    <col min="5378" max="5393" width="11" style="1" customWidth="1"/>
    <col min="5394" max="5632" width="9.140625" style="1"/>
    <col min="5633" max="5633" width="7.140625" style="1" customWidth="1"/>
    <col min="5634" max="5649" width="11" style="1" customWidth="1"/>
    <col min="5650" max="5888" width="9.140625" style="1"/>
    <col min="5889" max="5889" width="7.140625" style="1" customWidth="1"/>
    <col min="5890" max="5905" width="11" style="1" customWidth="1"/>
    <col min="5906" max="6144" width="9.140625" style="1"/>
    <col min="6145" max="6145" width="7.140625" style="1" customWidth="1"/>
    <col min="6146" max="6161" width="11" style="1" customWidth="1"/>
    <col min="6162" max="6400" width="9.140625" style="1"/>
    <col min="6401" max="6401" width="7.140625" style="1" customWidth="1"/>
    <col min="6402" max="6417" width="11" style="1" customWidth="1"/>
    <col min="6418" max="6656" width="9.140625" style="1"/>
    <col min="6657" max="6657" width="7.140625" style="1" customWidth="1"/>
    <col min="6658" max="6673" width="11" style="1" customWidth="1"/>
    <col min="6674" max="6912" width="9.140625" style="1"/>
    <col min="6913" max="6913" width="7.140625" style="1" customWidth="1"/>
    <col min="6914" max="6929" width="11" style="1" customWidth="1"/>
    <col min="6930" max="7168" width="9.140625" style="1"/>
    <col min="7169" max="7169" width="7.140625" style="1" customWidth="1"/>
    <col min="7170" max="7185" width="11" style="1" customWidth="1"/>
    <col min="7186" max="7424" width="9.140625" style="1"/>
    <col min="7425" max="7425" width="7.140625" style="1" customWidth="1"/>
    <col min="7426" max="7441" width="11" style="1" customWidth="1"/>
    <col min="7442" max="7680" width="9.140625" style="1"/>
    <col min="7681" max="7681" width="7.140625" style="1" customWidth="1"/>
    <col min="7682" max="7697" width="11" style="1" customWidth="1"/>
    <col min="7698" max="7936" width="9.140625" style="1"/>
    <col min="7937" max="7937" width="7.140625" style="1" customWidth="1"/>
    <col min="7938" max="7953" width="11" style="1" customWidth="1"/>
    <col min="7954" max="8192" width="9.140625" style="1"/>
    <col min="8193" max="8193" width="7.140625" style="1" customWidth="1"/>
    <col min="8194" max="8209" width="11" style="1" customWidth="1"/>
    <col min="8210" max="8448" width="9.140625" style="1"/>
    <col min="8449" max="8449" width="7.140625" style="1" customWidth="1"/>
    <col min="8450" max="8465" width="11" style="1" customWidth="1"/>
    <col min="8466" max="8704" width="9.140625" style="1"/>
    <col min="8705" max="8705" width="7.140625" style="1" customWidth="1"/>
    <col min="8706" max="8721" width="11" style="1" customWidth="1"/>
    <col min="8722" max="8960" width="9.140625" style="1"/>
    <col min="8961" max="8961" width="7.140625" style="1" customWidth="1"/>
    <col min="8962" max="8977" width="11" style="1" customWidth="1"/>
    <col min="8978" max="9216" width="9.140625" style="1"/>
    <col min="9217" max="9217" width="7.140625" style="1" customWidth="1"/>
    <col min="9218" max="9233" width="11" style="1" customWidth="1"/>
    <col min="9234" max="9472" width="9.140625" style="1"/>
    <col min="9473" max="9473" width="7.140625" style="1" customWidth="1"/>
    <col min="9474" max="9489" width="11" style="1" customWidth="1"/>
    <col min="9490" max="9728" width="9.140625" style="1"/>
    <col min="9729" max="9729" width="7.140625" style="1" customWidth="1"/>
    <col min="9730" max="9745" width="11" style="1" customWidth="1"/>
    <col min="9746" max="9984" width="9.140625" style="1"/>
    <col min="9985" max="9985" width="7.140625" style="1" customWidth="1"/>
    <col min="9986" max="10001" width="11" style="1" customWidth="1"/>
    <col min="10002" max="10240" width="9.140625" style="1"/>
    <col min="10241" max="10241" width="7.140625" style="1" customWidth="1"/>
    <col min="10242" max="10257" width="11" style="1" customWidth="1"/>
    <col min="10258" max="10496" width="9.140625" style="1"/>
    <col min="10497" max="10497" width="7.140625" style="1" customWidth="1"/>
    <col min="10498" max="10513" width="11" style="1" customWidth="1"/>
    <col min="10514" max="10752" width="9.140625" style="1"/>
    <col min="10753" max="10753" width="7.140625" style="1" customWidth="1"/>
    <col min="10754" max="10769" width="11" style="1" customWidth="1"/>
    <col min="10770" max="11008" width="9.140625" style="1"/>
    <col min="11009" max="11009" width="7.140625" style="1" customWidth="1"/>
    <col min="11010" max="11025" width="11" style="1" customWidth="1"/>
    <col min="11026" max="11264" width="9.140625" style="1"/>
    <col min="11265" max="11265" width="7.140625" style="1" customWidth="1"/>
    <col min="11266" max="11281" width="11" style="1" customWidth="1"/>
    <col min="11282" max="11520" width="9.140625" style="1"/>
    <col min="11521" max="11521" width="7.140625" style="1" customWidth="1"/>
    <col min="11522" max="11537" width="11" style="1" customWidth="1"/>
    <col min="11538" max="11776" width="9.140625" style="1"/>
    <col min="11777" max="11777" width="7.140625" style="1" customWidth="1"/>
    <col min="11778" max="11793" width="11" style="1" customWidth="1"/>
    <col min="11794" max="12032" width="9.140625" style="1"/>
    <col min="12033" max="12033" width="7.140625" style="1" customWidth="1"/>
    <col min="12034" max="12049" width="11" style="1" customWidth="1"/>
    <col min="12050" max="12288" width="9.140625" style="1"/>
    <col min="12289" max="12289" width="7.140625" style="1" customWidth="1"/>
    <col min="12290" max="12305" width="11" style="1" customWidth="1"/>
    <col min="12306" max="12544" width="9.140625" style="1"/>
    <col min="12545" max="12545" width="7.140625" style="1" customWidth="1"/>
    <col min="12546" max="12561" width="11" style="1" customWidth="1"/>
    <col min="12562" max="12800" width="9.140625" style="1"/>
    <col min="12801" max="12801" width="7.140625" style="1" customWidth="1"/>
    <col min="12802" max="12817" width="11" style="1" customWidth="1"/>
    <col min="12818" max="13056" width="9.140625" style="1"/>
    <col min="13057" max="13057" width="7.140625" style="1" customWidth="1"/>
    <col min="13058" max="13073" width="11" style="1" customWidth="1"/>
    <col min="13074" max="13312" width="9.140625" style="1"/>
    <col min="13313" max="13313" width="7.140625" style="1" customWidth="1"/>
    <col min="13314" max="13329" width="11" style="1" customWidth="1"/>
    <col min="13330" max="13568" width="9.140625" style="1"/>
    <col min="13569" max="13569" width="7.140625" style="1" customWidth="1"/>
    <col min="13570" max="13585" width="11" style="1" customWidth="1"/>
    <col min="13586" max="13824" width="9.140625" style="1"/>
    <col min="13825" max="13825" width="7.140625" style="1" customWidth="1"/>
    <col min="13826" max="13841" width="11" style="1" customWidth="1"/>
    <col min="13842" max="14080" width="9.140625" style="1"/>
    <col min="14081" max="14081" width="7.140625" style="1" customWidth="1"/>
    <col min="14082" max="14097" width="11" style="1" customWidth="1"/>
    <col min="14098" max="14336" width="9.140625" style="1"/>
    <col min="14337" max="14337" width="7.140625" style="1" customWidth="1"/>
    <col min="14338" max="14353" width="11" style="1" customWidth="1"/>
    <col min="14354" max="14592" width="9.140625" style="1"/>
    <col min="14593" max="14593" width="7.140625" style="1" customWidth="1"/>
    <col min="14594" max="14609" width="11" style="1" customWidth="1"/>
    <col min="14610" max="14848" width="9.140625" style="1"/>
    <col min="14849" max="14849" width="7.140625" style="1" customWidth="1"/>
    <col min="14850" max="14865" width="11" style="1" customWidth="1"/>
    <col min="14866" max="15104" width="9.140625" style="1"/>
    <col min="15105" max="15105" width="7.140625" style="1" customWidth="1"/>
    <col min="15106" max="15121" width="11" style="1" customWidth="1"/>
    <col min="15122" max="15360" width="9.140625" style="1"/>
    <col min="15361" max="15361" width="7.140625" style="1" customWidth="1"/>
    <col min="15362" max="15377" width="11" style="1" customWidth="1"/>
    <col min="15378" max="15616" width="9.140625" style="1"/>
    <col min="15617" max="15617" width="7.140625" style="1" customWidth="1"/>
    <col min="15618" max="15633" width="11" style="1" customWidth="1"/>
    <col min="15634" max="15872" width="9.140625" style="1"/>
    <col min="15873" max="15873" width="7.140625" style="1" customWidth="1"/>
    <col min="15874" max="15889" width="11" style="1" customWidth="1"/>
    <col min="15890" max="16128" width="9.140625" style="1"/>
    <col min="16129" max="16129" width="7.140625" style="1" customWidth="1"/>
    <col min="16130" max="16145" width="11" style="1" customWidth="1"/>
    <col min="16146" max="16384" width="9.140625" style="1"/>
  </cols>
  <sheetData>
    <row r="1" spans="1:26" ht="18" x14ac:dyDescent="0.25">
      <c r="A1" s="1"/>
      <c r="D1" s="2"/>
      <c r="E1" s="3"/>
      <c r="F1" s="3"/>
      <c r="G1" s="99" t="str">
        <f>[1]Suhu2!F1</f>
        <v>STASIUN KLIMATOLOGI KL. IV SLEMAN</v>
      </c>
      <c r="H1" s="100"/>
      <c r="I1" s="100"/>
      <c r="J1" s="100"/>
      <c r="K1" s="100"/>
      <c r="L1" s="4"/>
      <c r="M1" s="4"/>
      <c r="N1" s="4"/>
      <c r="O1" s="3"/>
      <c r="P1" s="3"/>
      <c r="Q1" s="3"/>
    </row>
    <row r="2" spans="1:26" ht="18" x14ac:dyDescent="0.25">
      <c r="A2" s="5" t="s">
        <v>0</v>
      </c>
      <c r="B2" s="3"/>
      <c r="C2" s="3" t="s">
        <v>1</v>
      </c>
      <c r="D2" s="2"/>
      <c r="E2" s="3"/>
      <c r="F2" s="3"/>
      <c r="G2" s="6"/>
      <c r="H2" s="4"/>
      <c r="I2" s="4"/>
      <c r="J2" s="4"/>
      <c r="K2" s="4"/>
      <c r="L2" s="4"/>
      <c r="M2" s="4"/>
      <c r="N2" s="4"/>
      <c r="O2" s="3"/>
      <c r="P2" s="3"/>
      <c r="Q2" s="3"/>
    </row>
    <row r="3" spans="1:26" ht="18" x14ac:dyDescent="0.25">
      <c r="A3" s="5" t="s">
        <v>2</v>
      </c>
      <c r="B3" s="3"/>
      <c r="C3" s="3" t="str">
        <f>'[1]REKAP Data'!Y11</f>
        <v>Januari 2022</v>
      </c>
      <c r="D3" s="2"/>
      <c r="E3" s="7"/>
      <c r="F3" s="3"/>
      <c r="G3" s="99"/>
      <c r="H3" s="100"/>
      <c r="I3" s="100"/>
      <c r="J3" s="100"/>
      <c r="K3" s="100"/>
      <c r="L3" s="3"/>
      <c r="M3" s="3"/>
      <c r="N3" s="3"/>
      <c r="O3" s="3"/>
      <c r="P3" s="3"/>
      <c r="Q3" s="3"/>
    </row>
    <row r="4" spans="1:26" ht="15" x14ac:dyDescent="0.2">
      <c r="A4" s="5" t="s">
        <v>3</v>
      </c>
      <c r="B4" s="3"/>
      <c r="C4" s="3" t="s">
        <v>4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6" ht="15.75" thickBot="1" x14ac:dyDescent="0.25">
      <c r="K5" s="3"/>
      <c r="L5" s="9" t="s">
        <v>5</v>
      </c>
      <c r="M5" s="9"/>
      <c r="N5" s="10" t="str">
        <f>'[1]input data'!R1121</f>
        <v xml:space="preserve">TIM PEMBUAT LAPORAN </v>
      </c>
      <c r="O5" s="9"/>
      <c r="P5" s="9"/>
    </row>
    <row r="6" spans="1:26" ht="18" customHeight="1" thickTop="1" thickBot="1" x14ac:dyDescent="0.25">
      <c r="A6" s="11" t="s">
        <v>6</v>
      </c>
      <c r="B6" s="12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4" t="s">
        <v>20</v>
      </c>
      <c r="P6" s="13" t="s">
        <v>21</v>
      </c>
      <c r="Q6" s="15" t="s">
        <v>22</v>
      </c>
      <c r="R6" s="16"/>
      <c r="S6" s="16"/>
      <c r="T6" s="16"/>
      <c r="U6" s="16"/>
      <c r="V6" s="16"/>
      <c r="W6" s="16"/>
      <c r="X6" s="16"/>
      <c r="Y6" s="16"/>
      <c r="Z6" s="16"/>
    </row>
    <row r="7" spans="1:26" ht="18.95" customHeight="1" thickTop="1" x14ac:dyDescent="0.2">
      <c r="A7" s="17">
        <v>1</v>
      </c>
      <c r="B7" s="18">
        <f>'[1]input data'!Z6</f>
        <v>990.5</v>
      </c>
      <c r="C7" s="18">
        <f>'[1]input data'!Z7</f>
        <v>990.7</v>
      </c>
      <c r="D7" s="18">
        <f>'[1]input data'!Z8</f>
        <v>990.9</v>
      </c>
      <c r="E7" s="18">
        <f>'[1]input data'!Z9</f>
        <v>990.3</v>
      </c>
      <c r="F7" s="18">
        <f>'[1]input data'!Z10</f>
        <v>990.1</v>
      </c>
      <c r="G7" s="18">
        <f>'[1]input data'!Z11</f>
        <v>989.4</v>
      </c>
      <c r="H7" s="18">
        <f>'[1]input data'!Z12</f>
        <v>988.9</v>
      </c>
      <c r="I7" s="18">
        <f>'[1]input data'!Z13</f>
        <v>987.7</v>
      </c>
      <c r="J7" s="18">
        <f>'[1]input data'!Z14</f>
        <v>987.8</v>
      </c>
      <c r="K7" s="18">
        <f>'[1]input data'!Z15</f>
        <v>987.9</v>
      </c>
      <c r="L7" s="18">
        <f>'[1]input data'!Z16</f>
        <v>988.1</v>
      </c>
      <c r="M7" s="18">
        <f>'[1]input data'!Z17</f>
        <v>988.4</v>
      </c>
      <c r="N7" s="18">
        <f>'[1]input data'!Z18</f>
        <v>989.8</v>
      </c>
      <c r="O7" s="19">
        <f>MAX(B7:N7)</f>
        <v>990.9</v>
      </c>
      <c r="P7" s="20">
        <f>MIN(B7:N7)</f>
        <v>987.7</v>
      </c>
      <c r="Q7" s="21">
        <f>AVERAGE(B7:N7)</f>
        <v>989.2692307692306</v>
      </c>
    </row>
    <row r="8" spans="1:26" ht="18.95" customHeight="1" x14ac:dyDescent="0.2">
      <c r="A8" s="22">
        <v>2</v>
      </c>
      <c r="B8" s="18">
        <f>'[1]input data'!Z42</f>
        <v>990.3</v>
      </c>
      <c r="C8" s="18">
        <f>'[1]input data'!Z43</f>
        <v>990.9</v>
      </c>
      <c r="D8" s="18">
        <f>'[1]input data'!Z44</f>
        <v>991.1</v>
      </c>
      <c r="E8" s="18">
        <f>'[1]input data'!Z45</f>
        <v>990.4</v>
      </c>
      <c r="F8" s="18">
        <f>'[1]input data'!Z46</f>
        <v>990.1</v>
      </c>
      <c r="G8" s="18">
        <f>'[1]input data'!Z47</f>
        <v>989.4</v>
      </c>
      <c r="H8" s="18">
        <f>'[1]input data'!Z48</f>
        <v>988.7</v>
      </c>
      <c r="I8" s="18">
        <f>'[1]input data'!Z49</f>
        <v>988</v>
      </c>
      <c r="J8" s="18">
        <f>'[1]input data'!Z50</f>
        <v>987.5</v>
      </c>
      <c r="K8" s="18">
        <f>'[1]input data'!Z51</f>
        <v>987.8</v>
      </c>
      <c r="L8" s="18">
        <f>'[1]input data'!Z52</f>
        <v>988.4</v>
      </c>
      <c r="M8" s="18">
        <f>'[1]input data'!Z53</f>
        <v>989.2</v>
      </c>
      <c r="N8" s="18">
        <f>'[1]input data'!Z54</f>
        <v>989.6</v>
      </c>
      <c r="O8" s="19">
        <f t="shared" ref="O8:O37" si="0">MAX(B8:N8)</f>
        <v>991.1</v>
      </c>
      <c r="P8" s="20">
        <f t="shared" ref="P8:P37" si="1">MIN(B8:N8)</f>
        <v>987.5</v>
      </c>
      <c r="Q8" s="21">
        <f t="shared" ref="Q8:Q37" si="2">AVERAGE(B8:N8)</f>
        <v>989.3384615384615</v>
      </c>
    </row>
    <row r="9" spans="1:26" ht="18.95" customHeight="1" x14ac:dyDescent="0.2">
      <c r="A9" s="22">
        <v>3</v>
      </c>
      <c r="B9" s="18">
        <f>'[1]input data'!Z78</f>
        <v>990.9</v>
      </c>
      <c r="C9" s="18">
        <f>'[1]input data'!Z79</f>
        <v>991.2</v>
      </c>
      <c r="D9" s="18">
        <f>'[1]input data'!Z80</f>
        <v>991.5</v>
      </c>
      <c r="E9" s="18">
        <f>'[1]input data'!Z81</f>
        <v>991</v>
      </c>
      <c r="F9" s="18">
        <f>'[1]input data'!Z82</f>
        <v>990.3</v>
      </c>
      <c r="G9" s="18">
        <f>'[1]input data'!Z83</f>
        <v>989.7</v>
      </c>
      <c r="H9" s="18">
        <f>'[1]input data'!Z84</f>
        <v>989.2</v>
      </c>
      <c r="I9" s="18">
        <f>'[1]input data'!Z85</f>
        <v>988.67</v>
      </c>
      <c r="J9" s="18">
        <f>'[1]input data'!Z86</f>
        <v>988.37</v>
      </c>
      <c r="K9" s="18">
        <f>'[1]input data'!Z87</f>
        <v>988.56</v>
      </c>
      <c r="L9" s="18">
        <f>'[1]input data'!Z88</f>
        <v>988.87</v>
      </c>
      <c r="M9" s="18">
        <f>'[1]input data'!Z89</f>
        <v>989.44</v>
      </c>
      <c r="N9" s="18">
        <f>'[1]input data'!Z90</f>
        <v>990.1</v>
      </c>
      <c r="O9" s="19">
        <f t="shared" si="0"/>
        <v>991.5</v>
      </c>
      <c r="P9" s="20">
        <f t="shared" si="1"/>
        <v>988.37</v>
      </c>
      <c r="Q9" s="21">
        <f t="shared" si="2"/>
        <v>989.83153846153857</v>
      </c>
    </row>
    <row r="10" spans="1:26" ht="18.95" customHeight="1" x14ac:dyDescent="0.2">
      <c r="A10" s="22">
        <v>4</v>
      </c>
      <c r="B10" s="18">
        <f>'[1]input data'!Z114</f>
        <v>991.67</v>
      </c>
      <c r="C10" s="18">
        <f>'[1]input data'!Z115</f>
        <v>992.27</v>
      </c>
      <c r="D10" s="18">
        <f>'[1]input data'!Z116</f>
        <v>992.1</v>
      </c>
      <c r="E10" s="18">
        <f>'[1]input data'!Z117</f>
        <v>991.82</v>
      </c>
      <c r="F10" s="18">
        <f>'[1]input data'!Z118</f>
        <v>991.22</v>
      </c>
      <c r="G10" s="18">
        <f>'[1]input data'!Z119</f>
        <v>990.31</v>
      </c>
      <c r="H10" s="18">
        <f>'[1]input data'!Z120</f>
        <v>989.49</v>
      </c>
      <c r="I10" s="18">
        <f>'[1]input data'!Z121</f>
        <v>989.2</v>
      </c>
      <c r="J10" s="18">
        <f>'[1]input data'!Z122</f>
        <v>988.2</v>
      </c>
      <c r="K10" s="18">
        <f>'[1]input data'!Z123</f>
        <v>988.4</v>
      </c>
      <c r="L10" s="18">
        <f>'[1]input data'!Z124</f>
        <v>988.9</v>
      </c>
      <c r="M10" s="18">
        <f>'[1]input data'!Z125</f>
        <v>989.4</v>
      </c>
      <c r="N10" s="18">
        <f>'[1]input data'!Z126</f>
        <v>990</v>
      </c>
      <c r="O10" s="19">
        <f t="shared" si="0"/>
        <v>992.27</v>
      </c>
      <c r="P10" s="20">
        <f t="shared" si="1"/>
        <v>988.2</v>
      </c>
      <c r="Q10" s="21">
        <f t="shared" si="2"/>
        <v>990.22923076923064</v>
      </c>
    </row>
    <row r="11" spans="1:26" ht="18.95" customHeight="1" x14ac:dyDescent="0.2">
      <c r="A11" s="22">
        <v>5</v>
      </c>
      <c r="B11" s="18">
        <f>'[1]input data'!Z150</f>
        <v>991.8</v>
      </c>
      <c r="C11" s="18">
        <f>'[1]input data'!Z151</f>
        <v>992.1</v>
      </c>
      <c r="D11" s="18">
        <f>'[1]input data'!Z152</f>
        <v>992</v>
      </c>
      <c r="E11" s="18">
        <f>'[1]input data'!Z153</f>
        <v>991.4</v>
      </c>
      <c r="F11" s="18">
        <f>'[1]input data'!Z154</f>
        <v>990.8</v>
      </c>
      <c r="G11" s="18">
        <f>'[1]input data'!Z155</f>
        <v>990</v>
      </c>
      <c r="H11" s="18">
        <f>'[1]input data'!Z156</f>
        <v>989.3</v>
      </c>
      <c r="I11" s="18">
        <f>'[1]input data'!Z157</f>
        <v>988.7</v>
      </c>
      <c r="J11" s="18">
        <f>'[1]input data'!Z158</f>
        <v>988.5</v>
      </c>
      <c r="K11" s="18">
        <f>'[1]input data'!Z159</f>
        <v>988.5</v>
      </c>
      <c r="L11" s="18">
        <f>'[1]input data'!Z160</f>
        <v>989</v>
      </c>
      <c r="M11" s="18">
        <f>'[1]input data'!Z161</f>
        <v>989.5</v>
      </c>
      <c r="N11" s="18">
        <f>'[1]input data'!Z162</f>
        <v>989.9</v>
      </c>
      <c r="O11" s="19">
        <f t="shared" si="0"/>
        <v>992.1</v>
      </c>
      <c r="P11" s="20">
        <f t="shared" si="1"/>
        <v>988.5</v>
      </c>
      <c r="Q11" s="21">
        <f t="shared" si="2"/>
        <v>990.11538461538464</v>
      </c>
    </row>
    <row r="12" spans="1:26" ht="18.95" customHeight="1" x14ac:dyDescent="0.2">
      <c r="A12" s="22">
        <v>6</v>
      </c>
      <c r="B12" s="18">
        <f>'[1]input data'!Z186</f>
        <v>991.7</v>
      </c>
      <c r="C12" s="18">
        <f>'[1]input data'!Z187</f>
        <v>992</v>
      </c>
      <c r="D12" s="18">
        <f>'[1]input data'!Z188</f>
        <v>991.9</v>
      </c>
      <c r="E12" s="18">
        <f>'[1]input data'!Z189</f>
        <v>991.1</v>
      </c>
      <c r="F12" s="18">
        <f>'[1]input data'!Z190</f>
        <v>990.8</v>
      </c>
      <c r="G12" s="18">
        <f>'[1]input data'!Z191</f>
        <v>990.3</v>
      </c>
      <c r="H12" s="18">
        <f>'[1]input data'!Z192</f>
        <v>989.8</v>
      </c>
      <c r="I12" s="18">
        <f>'[1]input data'!Z193</f>
        <v>989.2</v>
      </c>
      <c r="J12" s="18">
        <f>'[1]input data'!Z194</f>
        <v>988.8</v>
      </c>
      <c r="K12" s="18">
        <f>'[1]input data'!Z195</f>
        <v>988.4</v>
      </c>
      <c r="L12" s="18">
        <f>'[1]input data'!Z196</f>
        <v>989.2</v>
      </c>
      <c r="M12" s="18">
        <f>'[1]input data'!Z197</f>
        <v>990</v>
      </c>
      <c r="N12" s="18">
        <f>'[1]input data'!Z198</f>
        <v>990.7</v>
      </c>
      <c r="O12" s="19">
        <f t="shared" si="0"/>
        <v>992</v>
      </c>
      <c r="P12" s="20">
        <f t="shared" si="1"/>
        <v>988.4</v>
      </c>
      <c r="Q12" s="21">
        <f t="shared" si="2"/>
        <v>990.30000000000007</v>
      </c>
    </row>
    <row r="13" spans="1:26" ht="18.95" customHeight="1" x14ac:dyDescent="0.2">
      <c r="A13" s="22">
        <v>7</v>
      </c>
      <c r="B13" s="18">
        <f>'[1]input data'!Z222</f>
        <v>992</v>
      </c>
      <c r="C13" s="18">
        <f>'[1]input data'!Z223</f>
        <v>992.1</v>
      </c>
      <c r="D13" s="18">
        <f>'[1]input data'!Z224</f>
        <v>992.2</v>
      </c>
      <c r="E13" s="18">
        <f>'[1]input data'!Z225</f>
        <v>991.8</v>
      </c>
      <c r="F13" s="18">
        <f>'[1]input data'!Z226</f>
        <v>991.3</v>
      </c>
      <c r="G13" s="18">
        <f>'[1]input data'!Z227</f>
        <v>990.8</v>
      </c>
      <c r="H13" s="18">
        <f>'[1]input data'!Z228</f>
        <v>990.1</v>
      </c>
      <c r="I13" s="18">
        <f>'[1]input data'!Z229</f>
        <v>989.4</v>
      </c>
      <c r="J13" s="18">
        <f>'[1]input data'!Z230</f>
        <v>989.3</v>
      </c>
      <c r="K13" s="18">
        <f>'[1]input data'!Z231</f>
        <v>989.6</v>
      </c>
      <c r="L13" s="18">
        <f>'[1]input data'!Z232</f>
        <v>990.4</v>
      </c>
      <c r="M13" s="18">
        <f>'[1]input data'!Z233</f>
        <v>991.1</v>
      </c>
      <c r="N13" s="18">
        <f>'[1]input data'!Z234</f>
        <v>991.8</v>
      </c>
      <c r="O13" s="19">
        <f>MAX(B13:N13)</f>
        <v>992.2</v>
      </c>
      <c r="P13" s="20">
        <f>MIN(B13:N13)</f>
        <v>989.3</v>
      </c>
      <c r="Q13" s="21">
        <f>AVERAGE(B13:N13)</f>
        <v>990.9153846153846</v>
      </c>
    </row>
    <row r="14" spans="1:26" ht="18.95" customHeight="1" x14ac:dyDescent="0.2">
      <c r="A14" s="22">
        <v>8</v>
      </c>
      <c r="B14" s="18">
        <f>'[1]input data'!Z258</f>
        <v>991.3</v>
      </c>
      <c r="C14" s="18">
        <f>'[1]input data'!Z259</f>
        <v>991.5</v>
      </c>
      <c r="D14" s="18">
        <f>'[1]input data'!Z260</f>
        <v>991.5</v>
      </c>
      <c r="E14" s="18">
        <f>'[1]input data'!Z261</f>
        <v>991.3</v>
      </c>
      <c r="F14" s="18">
        <f>'[1]input data'!Z262</f>
        <v>990.8</v>
      </c>
      <c r="G14" s="18">
        <f>'[1]input data'!Z263</f>
        <v>989.5</v>
      </c>
      <c r="H14" s="18">
        <f>'[1]input data'!Z264</f>
        <v>988.6</v>
      </c>
      <c r="I14" s="18">
        <f>'[1]input data'!Z265</f>
        <v>987.54</v>
      </c>
      <c r="J14" s="18">
        <f>'[1]input data'!Z266</f>
        <v>986.99</v>
      </c>
      <c r="K14" s="18">
        <f>'[1]input data'!Z267</f>
        <v>987.26</v>
      </c>
      <c r="L14" s="18">
        <f>'[1]input data'!Z268</f>
        <v>988.29</v>
      </c>
      <c r="M14" s="18">
        <f>'[1]input data'!Z269</f>
        <v>989.08</v>
      </c>
      <c r="N14" s="18">
        <f>'[1]input data'!Z270</f>
        <v>990.14</v>
      </c>
      <c r="O14" s="19">
        <f t="shared" si="0"/>
        <v>991.5</v>
      </c>
      <c r="P14" s="20">
        <f t="shared" si="1"/>
        <v>986.99</v>
      </c>
      <c r="Q14" s="21">
        <f t="shared" si="2"/>
        <v>989.52307692307704</v>
      </c>
    </row>
    <row r="15" spans="1:26" ht="18.95" customHeight="1" x14ac:dyDescent="0.2">
      <c r="A15" s="22">
        <v>9</v>
      </c>
      <c r="B15" s="18">
        <f>'[1]input data'!Z294</f>
        <v>990.84</v>
      </c>
      <c r="C15" s="18">
        <f>'[1]input data'!Z295</f>
        <v>990.6</v>
      </c>
      <c r="D15" s="18">
        <f>'[1]input data'!Z296</f>
        <v>990.49</v>
      </c>
      <c r="E15" s="18">
        <f>'[1]input data'!Z297</f>
        <v>990.37</v>
      </c>
      <c r="F15" s="18">
        <f>'[1]input data'!Z298</f>
        <v>989.37</v>
      </c>
      <c r="G15" s="18">
        <f>'[1]input data'!Z299</f>
        <v>988.64</v>
      </c>
      <c r="H15" s="18">
        <f>'[1]input data'!Z300</f>
        <v>987.8</v>
      </c>
      <c r="I15" s="18">
        <f>'[1]input data'!Z301</f>
        <v>987.9</v>
      </c>
      <c r="J15" s="18">
        <f>'[1]input data'!Z302</f>
        <v>987.7</v>
      </c>
      <c r="K15" s="18">
        <f>'[1]input data'!Z303</f>
        <v>987.7</v>
      </c>
      <c r="L15" s="18">
        <f>'[1]input data'!Z304</f>
        <v>987.9</v>
      </c>
      <c r="M15" s="18">
        <f>'[1]input data'!Z305</f>
        <v>988.5</v>
      </c>
      <c r="N15" s="18">
        <f>'[1]input data'!Z306</f>
        <v>989.1</v>
      </c>
      <c r="O15" s="19">
        <f t="shared" si="0"/>
        <v>990.84</v>
      </c>
      <c r="P15" s="20">
        <f t="shared" si="1"/>
        <v>987.7</v>
      </c>
      <c r="Q15" s="21">
        <f t="shared" si="2"/>
        <v>988.99307692307707</v>
      </c>
    </row>
    <row r="16" spans="1:26" ht="18.95" customHeight="1" x14ac:dyDescent="0.2">
      <c r="A16" s="22">
        <v>10</v>
      </c>
      <c r="B16" s="18">
        <f>'[1]input data'!Z330</f>
        <v>990.7</v>
      </c>
      <c r="C16" s="18">
        <f>'[1]input data'!Z331</f>
        <v>991</v>
      </c>
      <c r="D16" s="18">
        <f>'[1]input data'!Z332</f>
        <v>990.2</v>
      </c>
      <c r="E16" s="18">
        <f>'[1]input data'!Z333</f>
        <v>989.9</v>
      </c>
      <c r="F16" s="18">
        <f>'[1]input data'!Z334</f>
        <v>989.7</v>
      </c>
      <c r="G16" s="18">
        <f>'[1]input data'!Z335</f>
        <v>988.4</v>
      </c>
      <c r="H16" s="18">
        <f>'[1]input data'!Z336</f>
        <v>987.7</v>
      </c>
      <c r="I16" s="18">
        <f>'[1]input data'!Z337</f>
        <v>986.9</v>
      </c>
      <c r="J16" s="18">
        <f>'[1]input data'!Z338</f>
        <v>987.3</v>
      </c>
      <c r="K16" s="18">
        <f>'[1]input data'!Z339</f>
        <v>986.9</v>
      </c>
      <c r="L16" s="18">
        <f>'[1]input data'!Z340</f>
        <v>987.6</v>
      </c>
      <c r="M16" s="18">
        <f>'[1]input data'!Z341</f>
        <v>988.4</v>
      </c>
      <c r="N16" s="18">
        <f>'[1]input data'!Z342</f>
        <v>989.3</v>
      </c>
      <c r="O16" s="19">
        <f t="shared" si="0"/>
        <v>991</v>
      </c>
      <c r="P16" s="20">
        <f t="shared" si="1"/>
        <v>986.9</v>
      </c>
      <c r="Q16" s="21">
        <f t="shared" si="2"/>
        <v>988.7692307692306</v>
      </c>
    </row>
    <row r="17" spans="1:18" ht="18.95" customHeight="1" x14ac:dyDescent="0.2">
      <c r="A17" s="22">
        <v>11</v>
      </c>
      <c r="B17" s="18">
        <f>'[1]input data'!Z366</f>
        <v>990.5</v>
      </c>
      <c r="C17" s="18">
        <f>'[1]input data'!Z367</f>
        <v>991.1</v>
      </c>
      <c r="D17" s="18">
        <f>'[1]input data'!Z368</f>
        <v>991.1</v>
      </c>
      <c r="E17" s="18">
        <f>'[1]input data'!Z369</f>
        <v>991</v>
      </c>
      <c r="F17" s="18">
        <f>'[1]input data'!Z370</f>
        <v>990.1</v>
      </c>
      <c r="G17" s="18">
        <f>'[1]input data'!Z371</f>
        <v>989.1</v>
      </c>
      <c r="H17" s="18">
        <f>'[1]input data'!Z372</f>
        <v>988.4</v>
      </c>
      <c r="I17" s="18">
        <f>'[1]input data'!Z373</f>
        <v>987.8</v>
      </c>
      <c r="J17" s="18">
        <f>'[1]input data'!Z374</f>
        <v>988.5</v>
      </c>
      <c r="K17" s="18">
        <f>'[1]input data'!Z375</f>
        <v>989</v>
      </c>
      <c r="L17" s="18">
        <f>'[1]input data'!Z376</f>
        <v>989.7</v>
      </c>
      <c r="M17" s="18">
        <f>'[1]input data'!Z377</f>
        <v>990.6</v>
      </c>
      <c r="N17" s="18">
        <f>'[1]input data'!Z378</f>
        <v>991.5</v>
      </c>
      <c r="O17" s="19">
        <f t="shared" si="0"/>
        <v>991.5</v>
      </c>
      <c r="P17" s="20">
        <f t="shared" si="1"/>
        <v>987.8</v>
      </c>
      <c r="Q17" s="21">
        <f t="shared" si="2"/>
        <v>989.87692307692316</v>
      </c>
    </row>
    <row r="18" spans="1:18" ht="18.95" customHeight="1" x14ac:dyDescent="0.2">
      <c r="A18" s="22">
        <v>12</v>
      </c>
      <c r="B18" s="18">
        <f>'[1]input data'!Z402</f>
        <v>991</v>
      </c>
      <c r="C18" s="18">
        <f>'[1]input data'!Z403</f>
        <v>991.6</v>
      </c>
      <c r="D18" s="18">
        <f>'[1]input data'!Z404</f>
        <v>991.4</v>
      </c>
      <c r="E18" s="18">
        <f>'[1]input data'!Z405</f>
        <v>991.2</v>
      </c>
      <c r="F18" s="18">
        <f>'[1]input data'!Z406</f>
        <v>990.6</v>
      </c>
      <c r="G18" s="18">
        <f>'[1]input data'!Z407</f>
        <v>989.6</v>
      </c>
      <c r="H18" s="18">
        <f>'[1]input data'!Z408</f>
        <v>988.6</v>
      </c>
      <c r="I18" s="18">
        <f>'[1]input data'!Z409</f>
        <v>988.5</v>
      </c>
      <c r="J18" s="18">
        <f>'[1]input data'!Z410</f>
        <v>988.4</v>
      </c>
      <c r="K18" s="18">
        <f>'[1]input data'!Z411</f>
        <v>988.5</v>
      </c>
      <c r="L18" s="18">
        <f>'[1]input data'!Z412</f>
        <v>988.9</v>
      </c>
      <c r="M18" s="18">
        <f>'[1]input data'!Z413</f>
        <v>990.4</v>
      </c>
      <c r="N18" s="18">
        <f>'[1]input data'!Z414</f>
        <v>991</v>
      </c>
      <c r="O18" s="19">
        <f t="shared" si="0"/>
        <v>991.6</v>
      </c>
      <c r="P18" s="20">
        <f t="shared" si="1"/>
        <v>988.4</v>
      </c>
      <c r="Q18" s="21">
        <f t="shared" si="2"/>
        <v>989.97692307692319</v>
      </c>
    </row>
    <row r="19" spans="1:18" ht="18.95" customHeight="1" x14ac:dyDescent="0.2">
      <c r="A19" s="22">
        <v>13</v>
      </c>
      <c r="B19" s="18">
        <f>'[1]input data'!Z438</f>
        <v>990.9</v>
      </c>
      <c r="C19" s="18">
        <f>'[1]input data'!Z439</f>
        <v>991.4</v>
      </c>
      <c r="D19" s="18">
        <f>'[1]input data'!Z440</f>
        <v>991.8</v>
      </c>
      <c r="E19" s="18">
        <f>'[1]input data'!Z441</f>
        <v>991.6</v>
      </c>
      <c r="F19" s="18">
        <f>'[1]input data'!Z442</f>
        <v>991.4</v>
      </c>
      <c r="G19" s="18">
        <f>'[1]input data'!Z443</f>
        <v>990.4</v>
      </c>
      <c r="H19" s="18">
        <f>'[1]input data'!Z444</f>
        <v>989.3</v>
      </c>
      <c r="I19" s="18">
        <f>'[1]input data'!Z445</f>
        <v>988.5</v>
      </c>
      <c r="J19" s="18">
        <f>'[1]input data'!Z446</f>
        <v>988.47</v>
      </c>
      <c r="K19" s="18">
        <f>'[1]input data'!Z447</f>
        <v>988.57</v>
      </c>
      <c r="L19" s="18">
        <f>'[1]input data'!Z448</f>
        <v>989.11</v>
      </c>
      <c r="M19" s="18">
        <f>'[1]input data'!Z449</f>
        <v>989.89</v>
      </c>
      <c r="N19" s="18">
        <f>'[1]input data'!Z450</f>
        <v>990.42</v>
      </c>
      <c r="O19" s="19">
        <f t="shared" si="0"/>
        <v>991.8</v>
      </c>
      <c r="P19" s="20">
        <f t="shared" si="1"/>
        <v>988.47</v>
      </c>
      <c r="Q19" s="21">
        <f t="shared" si="2"/>
        <v>990.13538461538451</v>
      </c>
    </row>
    <row r="20" spans="1:18" ht="18.95" customHeight="1" x14ac:dyDescent="0.2">
      <c r="A20" s="22">
        <v>14</v>
      </c>
      <c r="B20" s="18">
        <f>'[1]input data'!Z474</f>
        <v>990.76</v>
      </c>
      <c r="C20" s="18">
        <f>'[1]input data'!Z475</f>
        <v>991.09</v>
      </c>
      <c r="D20" s="18">
        <f>'[1]input data'!Z476</f>
        <v>991.14</v>
      </c>
      <c r="E20" s="18">
        <f>'[1]input data'!Z477</f>
        <v>991.1</v>
      </c>
      <c r="F20" s="18">
        <f>'[1]input data'!Z478</f>
        <v>989.77</v>
      </c>
      <c r="G20" s="18">
        <f>'[1]input data'!Z479</f>
        <v>988.91</v>
      </c>
      <c r="H20" s="18">
        <f>'[1]input data'!Z480</f>
        <v>988.35</v>
      </c>
      <c r="I20" s="18">
        <f>'[1]input data'!Z481</f>
        <v>987.8</v>
      </c>
      <c r="J20" s="18">
        <f>'[1]input data'!Z482</f>
        <v>987.4</v>
      </c>
      <c r="K20" s="18">
        <f>'[1]input data'!Z483</f>
        <v>987.3</v>
      </c>
      <c r="L20" s="18">
        <f>'[1]input data'!Z484</f>
        <v>988.3</v>
      </c>
      <c r="M20" s="18">
        <f>'[1]input data'!Z485</f>
        <v>989</v>
      </c>
      <c r="N20" s="18">
        <f>'[1]input data'!Z486</f>
        <v>989.6</v>
      </c>
      <c r="O20" s="19">
        <f t="shared" si="0"/>
        <v>991.14</v>
      </c>
      <c r="P20" s="20">
        <f t="shared" si="1"/>
        <v>987.3</v>
      </c>
      <c r="Q20" s="21">
        <f t="shared" si="2"/>
        <v>989.27076923076913</v>
      </c>
      <c r="R20" s="23"/>
    </row>
    <row r="21" spans="1:18" ht="18.95" customHeight="1" x14ac:dyDescent="0.2">
      <c r="A21" s="22">
        <v>15</v>
      </c>
      <c r="B21" s="18">
        <f>'[1]input data'!Z510</f>
        <v>989.9</v>
      </c>
      <c r="C21" s="18">
        <f>'[1]input data'!Z511</f>
        <v>990.2</v>
      </c>
      <c r="D21" s="18">
        <f>'[1]input data'!Z512</f>
        <v>990.4</v>
      </c>
      <c r="E21" s="18">
        <f>'[1]input data'!Z513</f>
        <v>990.6</v>
      </c>
      <c r="F21" s="18">
        <f>'[1]input data'!Z514</f>
        <v>989.4</v>
      </c>
      <c r="G21" s="18">
        <f>'[1]input data'!Z515</f>
        <v>989.2</v>
      </c>
      <c r="H21" s="18">
        <f>'[1]input data'!Z516</f>
        <v>988.7</v>
      </c>
      <c r="I21" s="18">
        <f>'[1]input data'!Z517</f>
        <v>987.5</v>
      </c>
      <c r="J21" s="18">
        <f>'[1]input data'!Z518</f>
        <v>987.5</v>
      </c>
      <c r="K21" s="18">
        <f>'[1]input data'!Z519</f>
        <v>987.8</v>
      </c>
      <c r="L21" s="18">
        <f>'[1]input data'!Z520</f>
        <v>988.4</v>
      </c>
      <c r="M21" s="18">
        <f>'[1]input data'!Z521</f>
        <v>989.2</v>
      </c>
      <c r="N21" s="18">
        <f>'[1]input data'!Z522</f>
        <v>989.9</v>
      </c>
      <c r="O21" s="19">
        <f t="shared" si="0"/>
        <v>990.6</v>
      </c>
      <c r="P21" s="20">
        <f t="shared" si="1"/>
        <v>987.5</v>
      </c>
      <c r="Q21" s="21">
        <f t="shared" si="2"/>
        <v>989.13076923076915</v>
      </c>
    </row>
    <row r="22" spans="1:18" ht="18.95" customHeight="1" x14ac:dyDescent="0.2">
      <c r="A22" s="22">
        <v>16</v>
      </c>
      <c r="B22" s="18">
        <f>'[1]input data'!Z546</f>
        <v>989.5</v>
      </c>
      <c r="C22" s="18">
        <f>'[1]input data'!Z547</f>
        <v>990.3</v>
      </c>
      <c r="D22" s="18">
        <f>'[1]input data'!Z548</f>
        <v>990.4</v>
      </c>
      <c r="E22" s="18">
        <f>'[1]input data'!Z549</f>
        <v>989.9</v>
      </c>
      <c r="F22" s="18">
        <f>'[1]input data'!Z550</f>
        <v>989.1</v>
      </c>
      <c r="G22" s="18">
        <f>'[1]input data'!Z551</f>
        <v>988.5</v>
      </c>
      <c r="H22" s="18">
        <f>'[1]input data'!Z552</f>
        <v>987.6</v>
      </c>
      <c r="I22" s="18">
        <f>'[1]input data'!Z553</f>
        <v>987.4</v>
      </c>
      <c r="J22" s="18">
        <f>'[1]input data'!Z554</f>
        <v>986.8</v>
      </c>
      <c r="K22" s="18">
        <f>'[1]input data'!Z555</f>
        <v>987.1</v>
      </c>
      <c r="L22" s="18">
        <f>'[1]input data'!Z556</f>
        <v>987.7</v>
      </c>
      <c r="M22" s="18">
        <f>'[1]input data'!Z557</f>
        <v>988.4</v>
      </c>
      <c r="N22" s="18">
        <f>'[1]input data'!Z558</f>
        <v>989.8</v>
      </c>
      <c r="O22" s="19">
        <f t="shared" si="0"/>
        <v>990.4</v>
      </c>
      <c r="P22" s="20">
        <f t="shared" si="1"/>
        <v>986.8</v>
      </c>
      <c r="Q22" s="21">
        <f t="shared" si="2"/>
        <v>988.65384615384619</v>
      </c>
    </row>
    <row r="23" spans="1:18" ht="18.95" customHeight="1" x14ac:dyDescent="0.2">
      <c r="A23" s="22">
        <v>17</v>
      </c>
      <c r="B23" s="18">
        <f>'[1]input data'!Z582</f>
        <v>989.8</v>
      </c>
      <c r="C23" s="18">
        <f>'[1]input data'!Z583</f>
        <v>990.2</v>
      </c>
      <c r="D23" s="18">
        <f>'[1]input data'!Z584</f>
        <v>989.9</v>
      </c>
      <c r="E23" s="18">
        <f>'[1]input data'!Z585</f>
        <v>989.7</v>
      </c>
      <c r="F23" s="18">
        <f>'[1]input data'!Z586</f>
        <v>989.2</v>
      </c>
      <c r="G23" s="18">
        <f>'[1]input data'!Z587</f>
        <v>988.7</v>
      </c>
      <c r="H23" s="18">
        <f>'[1]input data'!Z588</f>
        <v>987.9</v>
      </c>
      <c r="I23" s="18">
        <f>'[1]input data'!Z589</f>
        <v>987.4</v>
      </c>
      <c r="J23" s="18">
        <f>'[1]input data'!Z590</f>
        <v>987.3</v>
      </c>
      <c r="K23" s="18">
        <f>'[1]input data'!Z591</f>
        <v>987.5</v>
      </c>
      <c r="L23" s="18">
        <f>'[1]input data'!Z592</f>
        <v>987.7</v>
      </c>
      <c r="M23" s="18">
        <f>'[1]input data'!Z593</f>
        <v>988.5</v>
      </c>
      <c r="N23" s="18">
        <f>'[1]input data'!Z594</f>
        <v>988.6</v>
      </c>
      <c r="O23" s="19">
        <f t="shared" si="0"/>
        <v>990.2</v>
      </c>
      <c r="P23" s="20">
        <f t="shared" si="1"/>
        <v>987.3</v>
      </c>
      <c r="Q23" s="21">
        <f t="shared" si="2"/>
        <v>988.64615384615377</v>
      </c>
    </row>
    <row r="24" spans="1:18" ht="18.95" customHeight="1" x14ac:dyDescent="0.2">
      <c r="A24" s="22">
        <v>18</v>
      </c>
      <c r="B24" s="18">
        <f>'[1]input data'!Z618</f>
        <v>989.3</v>
      </c>
      <c r="C24" s="18">
        <f>'[1]input data'!Z619</f>
        <v>989.8</v>
      </c>
      <c r="D24" s="18">
        <f>'[1]input data'!Z620</f>
        <v>990</v>
      </c>
      <c r="E24" s="18">
        <f>'[1]input data'!Z621</f>
        <v>989.7</v>
      </c>
      <c r="F24" s="18">
        <f>'[1]input data'!Z622</f>
        <v>989</v>
      </c>
      <c r="G24" s="18">
        <f>'[1]input data'!Z623</f>
        <v>988.1</v>
      </c>
      <c r="H24" s="18">
        <f>'[1]input data'!Z624</f>
        <v>987</v>
      </c>
      <c r="I24" s="18">
        <f>'[1]input data'!Z625</f>
        <v>986.28</v>
      </c>
      <c r="J24" s="18">
        <f>'[1]input data'!Z626</f>
        <v>986.18</v>
      </c>
      <c r="K24" s="18">
        <f>'[1]input data'!Z627</f>
        <v>986.71</v>
      </c>
      <c r="L24" s="18">
        <f>'[1]input data'!Z628</f>
        <v>987.66</v>
      </c>
      <c r="M24" s="18">
        <f>'[1]input data'!Z629</f>
        <v>987.76</v>
      </c>
      <c r="N24" s="18">
        <f>'[1]input data'!Z630</f>
        <v>988.4</v>
      </c>
      <c r="O24" s="19">
        <f t="shared" si="0"/>
        <v>990</v>
      </c>
      <c r="P24" s="20">
        <f t="shared" si="1"/>
        <v>986.18</v>
      </c>
      <c r="Q24" s="21">
        <f t="shared" si="2"/>
        <v>988.14538461538461</v>
      </c>
    </row>
    <row r="25" spans="1:18" ht="18.95" customHeight="1" x14ac:dyDescent="0.2">
      <c r="A25" s="22">
        <v>19</v>
      </c>
      <c r="B25" s="18">
        <f>'[1]input data'!Z654</f>
        <v>988.65</v>
      </c>
      <c r="C25" s="18">
        <f>'[1]input data'!Z655</f>
        <v>989.05</v>
      </c>
      <c r="D25" s="18">
        <f>'[1]input data'!Z656</f>
        <v>989.19</v>
      </c>
      <c r="E25" s="18">
        <f>'[1]input data'!Z657</f>
        <v>988.84</v>
      </c>
      <c r="F25" s="18">
        <f>'[1]input data'!Z658</f>
        <v>988.12</v>
      </c>
      <c r="G25" s="18">
        <f>'[1]input data'!Z659</f>
        <v>987.78</v>
      </c>
      <c r="H25" s="18">
        <f>'[1]input data'!Z660</f>
        <v>986.76</v>
      </c>
      <c r="I25" s="18">
        <f>'[1]input data'!Z661</f>
        <v>985.5</v>
      </c>
      <c r="J25" s="18">
        <f>'[1]input data'!Z662</f>
        <v>985.91</v>
      </c>
      <c r="K25" s="18">
        <f>'[1]input data'!Z663</f>
        <v>985.98</v>
      </c>
      <c r="L25" s="18">
        <f>'[1]input data'!Z664</f>
        <v>986.99</v>
      </c>
      <c r="M25" s="18">
        <f>'[1]input data'!Z665</f>
        <v>987.4</v>
      </c>
      <c r="N25" s="18">
        <f>'[1]input data'!Z666</f>
        <v>987.6</v>
      </c>
      <c r="O25" s="19">
        <f t="shared" si="0"/>
        <v>989.19</v>
      </c>
      <c r="P25" s="20">
        <f t="shared" si="1"/>
        <v>985.5</v>
      </c>
      <c r="Q25" s="21">
        <f t="shared" si="2"/>
        <v>987.52076923076925</v>
      </c>
    </row>
    <row r="26" spans="1:18" ht="18.95" customHeight="1" x14ac:dyDescent="0.2">
      <c r="A26" s="22">
        <v>20</v>
      </c>
      <c r="B26" s="18">
        <f>'[1]input data'!Z690</f>
        <v>989.89</v>
      </c>
      <c r="C26" s="18">
        <f>'[1]input data'!Z691</f>
        <v>990.04</v>
      </c>
      <c r="D26" s="18">
        <f>'[1]input data'!Z692</f>
        <v>989.9</v>
      </c>
      <c r="E26" s="18">
        <f>'[1]input data'!Z693</f>
        <v>990</v>
      </c>
      <c r="F26" s="18">
        <f>'[1]input data'!Z694</f>
        <v>989.71</v>
      </c>
      <c r="G26" s="18">
        <f>'[1]input data'!Z695</f>
        <v>988.8</v>
      </c>
      <c r="H26" s="18">
        <f>'[1]input data'!Z696</f>
        <v>988.4</v>
      </c>
      <c r="I26" s="18">
        <f>'[1]input data'!Z697</f>
        <v>988.1</v>
      </c>
      <c r="J26" s="18">
        <f>'[1]input data'!Z698</f>
        <v>987.6</v>
      </c>
      <c r="K26" s="18">
        <f>'[1]input data'!Z699</f>
        <v>987.9</v>
      </c>
      <c r="L26" s="18">
        <f>'[1]input data'!Z700</f>
        <v>988.4</v>
      </c>
      <c r="M26" s="18">
        <f>'[1]input data'!Z701</f>
        <v>989.2</v>
      </c>
      <c r="N26" s="18">
        <f>'[1]input data'!Z702</f>
        <v>989.7</v>
      </c>
      <c r="O26" s="19">
        <f t="shared" si="0"/>
        <v>990.04</v>
      </c>
      <c r="P26" s="20">
        <f t="shared" si="1"/>
        <v>987.6</v>
      </c>
      <c r="Q26" s="21">
        <f t="shared" si="2"/>
        <v>989.04923076923092</v>
      </c>
    </row>
    <row r="27" spans="1:18" ht="18.95" customHeight="1" x14ac:dyDescent="0.2">
      <c r="A27" s="22">
        <v>21</v>
      </c>
      <c r="B27" s="18">
        <f>'[1]input data'!Z726</f>
        <v>989.5</v>
      </c>
      <c r="C27" s="18">
        <f>'[1]input data'!Z727</f>
        <v>990.1</v>
      </c>
      <c r="D27" s="18">
        <f>'[1]input data'!Z728</f>
        <v>990.4</v>
      </c>
      <c r="E27" s="18">
        <f>'[1]input data'!Z729</f>
        <v>989.9</v>
      </c>
      <c r="F27" s="18">
        <f>'[1]input data'!Z730</f>
        <v>989.4</v>
      </c>
      <c r="G27" s="18">
        <f>'[1]input data'!Z731</f>
        <v>989.1</v>
      </c>
      <c r="H27" s="18">
        <f>'[1]input data'!Z732</f>
        <v>988.3</v>
      </c>
      <c r="I27" s="18">
        <f>'[1]input data'!Z733</f>
        <v>987.8</v>
      </c>
      <c r="J27" s="18">
        <f>'[1]input data'!Z734</f>
        <v>987.1</v>
      </c>
      <c r="K27" s="18">
        <f>'[1]input data'!Z735</f>
        <v>987.5</v>
      </c>
      <c r="L27" s="18">
        <f>'[1]input data'!Z736</f>
        <v>987.9</v>
      </c>
      <c r="M27" s="18">
        <f>'[1]input data'!Z737</f>
        <v>988.2</v>
      </c>
      <c r="N27" s="18">
        <f>'[1]input data'!Z738</f>
        <v>988.8</v>
      </c>
      <c r="O27" s="19">
        <f t="shared" si="0"/>
        <v>990.4</v>
      </c>
      <c r="P27" s="20">
        <f t="shared" si="1"/>
        <v>987.1</v>
      </c>
      <c r="Q27" s="21">
        <f t="shared" si="2"/>
        <v>988.76923076923072</v>
      </c>
    </row>
    <row r="28" spans="1:18" ht="18.95" customHeight="1" x14ac:dyDescent="0.2">
      <c r="A28" s="22">
        <v>22</v>
      </c>
      <c r="B28" s="18">
        <f>'[1]input data'!Z762</f>
        <v>990.1</v>
      </c>
      <c r="C28" s="18">
        <f>'[1]input data'!Z762</f>
        <v>990.1</v>
      </c>
      <c r="D28" s="18">
        <f>'[1]input data'!Z764</f>
        <v>990.5</v>
      </c>
      <c r="E28" s="18">
        <f>'[1]input data'!Z765</f>
        <v>989.8</v>
      </c>
      <c r="F28" s="18">
        <f>'[1]input data'!Z766</f>
        <v>989.4</v>
      </c>
      <c r="G28" s="18">
        <f>'[1]input data'!Z767</f>
        <v>988.8</v>
      </c>
      <c r="H28" s="18">
        <f>'[1]input data'!Z768</f>
        <v>988.2</v>
      </c>
      <c r="I28" s="18">
        <f>'[1]input data'!Z769</f>
        <v>987.2</v>
      </c>
      <c r="J28" s="18">
        <f>'[1]input data'!Z770</f>
        <v>986.9</v>
      </c>
      <c r="K28" s="18">
        <f>'[1]input data'!Z771</f>
        <v>987.2</v>
      </c>
      <c r="L28" s="18">
        <f>'[1]input data'!Z772</f>
        <v>987.6</v>
      </c>
      <c r="M28" s="18">
        <f>'[1]input data'!Z773</f>
        <v>988.4</v>
      </c>
      <c r="N28" s="18">
        <f>'[1]input data'!Z774</f>
        <v>989</v>
      </c>
      <c r="O28" s="19">
        <f t="shared" si="0"/>
        <v>990.5</v>
      </c>
      <c r="P28" s="20">
        <f t="shared" si="1"/>
        <v>986.9</v>
      </c>
      <c r="Q28" s="21">
        <f t="shared" si="2"/>
        <v>988.70769230769235</v>
      </c>
    </row>
    <row r="29" spans="1:18" ht="18.95" customHeight="1" x14ac:dyDescent="0.2">
      <c r="A29" s="22">
        <v>23</v>
      </c>
      <c r="B29" s="18">
        <f>'[1]input data'!Z798</f>
        <v>989.87</v>
      </c>
      <c r="C29" s="18">
        <f>'[1]input data'!Z799</f>
        <v>990.39</v>
      </c>
      <c r="D29" s="18">
        <f>'[1]input data'!Z800</f>
        <v>990.41</v>
      </c>
      <c r="E29" s="18">
        <f>'[1]input data'!Z801</f>
        <v>989.73</v>
      </c>
      <c r="F29" s="18">
        <f>'[1]input data'!Z802</f>
        <v>989.25</v>
      </c>
      <c r="G29" s="18">
        <f>'[1]input data'!Z803</f>
        <v>988.53</v>
      </c>
      <c r="H29" s="18">
        <f>'[1]input data'!Z804</f>
        <v>987.74</v>
      </c>
      <c r="I29" s="18">
        <f>'[1]input data'!Z805</f>
        <v>986.9</v>
      </c>
      <c r="J29" s="18">
        <f>'[1]input data'!Z806</f>
        <v>986.2</v>
      </c>
      <c r="K29" s="18">
        <f>'[1]input data'!Z807</f>
        <v>986.8</v>
      </c>
      <c r="L29" s="18">
        <f>'[1]input data'!Z808</f>
        <v>987.4</v>
      </c>
      <c r="M29" s="18">
        <f>'[1]input data'!Z809</f>
        <v>988.1</v>
      </c>
      <c r="N29" s="18">
        <f>'[1]input data'!Z810</f>
        <v>988.6</v>
      </c>
      <c r="O29" s="19">
        <f t="shared" si="0"/>
        <v>990.41</v>
      </c>
      <c r="P29" s="20">
        <f t="shared" si="1"/>
        <v>986.2</v>
      </c>
      <c r="Q29" s="21">
        <f t="shared" si="2"/>
        <v>988.45538461538445</v>
      </c>
    </row>
    <row r="30" spans="1:18" ht="18.95" customHeight="1" x14ac:dyDescent="0.2">
      <c r="A30" s="22">
        <v>24</v>
      </c>
      <c r="B30" s="18">
        <f>'[1]input data'!Z834</f>
        <v>988.7</v>
      </c>
      <c r="C30" s="18">
        <f>'[1]input data'!Z835</f>
        <v>989</v>
      </c>
      <c r="D30" s="18">
        <f>'[1]input data'!Z836</f>
        <v>988.8</v>
      </c>
      <c r="E30" s="18">
        <f>'[1]input data'!Z837</f>
        <v>988.3</v>
      </c>
      <c r="F30" s="18">
        <f>'[1]input data'!Z838</f>
        <v>987.4</v>
      </c>
      <c r="G30" s="18">
        <f>'[1]input data'!Z839</f>
        <v>986.7</v>
      </c>
      <c r="H30" s="18">
        <f>'[1]input data'!Z840</f>
        <v>985.9</v>
      </c>
      <c r="I30" s="18">
        <f>'[1]input data'!Z841</f>
        <v>985.6</v>
      </c>
      <c r="J30" s="18">
        <f>'[1]input data'!Z842</f>
        <v>985.2</v>
      </c>
      <c r="K30" s="18">
        <f>'[1]input data'!Z843</f>
        <v>985.4</v>
      </c>
      <c r="L30" s="18">
        <f>'[1]input data'!Z844</f>
        <v>986.1</v>
      </c>
      <c r="M30" s="18">
        <f>'[1]input data'!Z845</f>
        <v>986.8</v>
      </c>
      <c r="N30" s="18">
        <f>'[1]input data'!Z846</f>
        <v>987.6</v>
      </c>
      <c r="O30" s="19">
        <f t="shared" si="0"/>
        <v>989</v>
      </c>
      <c r="P30" s="20">
        <f t="shared" si="1"/>
        <v>985.2</v>
      </c>
      <c r="Q30" s="21">
        <f t="shared" si="2"/>
        <v>987.03846153846155</v>
      </c>
    </row>
    <row r="31" spans="1:18" ht="18.95" customHeight="1" x14ac:dyDescent="0.2">
      <c r="A31" s="22">
        <v>25</v>
      </c>
      <c r="B31" s="18">
        <f>'[1]input data'!Z870</f>
        <v>987.9</v>
      </c>
      <c r="C31" s="18">
        <f>'[1]input data'!Z871</f>
        <v>988.3</v>
      </c>
      <c r="D31" s="18">
        <f>'[1]input data'!Z872</f>
        <v>988.5</v>
      </c>
      <c r="E31" s="18">
        <f>'[1]input data'!Z873</f>
        <v>987.9</v>
      </c>
      <c r="F31" s="18">
        <f>'[1]input data'!Z874</f>
        <v>987</v>
      </c>
      <c r="G31" s="18">
        <f>'[1]input data'!Z875</f>
        <v>986.4</v>
      </c>
      <c r="H31" s="18">
        <f>'[1]input data'!Z876</f>
        <v>986</v>
      </c>
      <c r="I31" s="18">
        <f>'[1]input data'!Z877</f>
        <v>985.4</v>
      </c>
      <c r="J31" s="18">
        <f>'[1]input data'!Z878</f>
        <v>984.79</v>
      </c>
      <c r="K31" s="18">
        <f>'[1]input data'!Z879</f>
        <v>984.87</v>
      </c>
      <c r="L31" s="18">
        <f>'[1]input data'!Z880</f>
        <v>985.69</v>
      </c>
      <c r="M31" s="18">
        <f>'[1]input data'!Z881</f>
        <v>986.52</v>
      </c>
      <c r="N31" s="18">
        <f>'[1]input data'!Z882</f>
        <v>986.76</v>
      </c>
      <c r="O31" s="19">
        <f t="shared" si="0"/>
        <v>988.5</v>
      </c>
      <c r="P31" s="20">
        <f t="shared" si="1"/>
        <v>984.79</v>
      </c>
      <c r="Q31" s="21">
        <f t="shared" si="2"/>
        <v>986.61769230769232</v>
      </c>
    </row>
    <row r="32" spans="1:18" ht="18.95" customHeight="1" x14ac:dyDescent="0.2">
      <c r="A32" s="22">
        <v>26</v>
      </c>
      <c r="B32" s="18">
        <f>'[1]input data'!Z906</f>
        <v>988.83</v>
      </c>
      <c r="C32" s="18">
        <f>'[1]input data'!Z907</f>
        <v>988.78</v>
      </c>
      <c r="D32" s="18">
        <f>'[1]input data'!Z908</f>
        <v>988.68</v>
      </c>
      <c r="E32" s="18">
        <f>'[1]input data'!Z909</f>
        <v>988.06</v>
      </c>
      <c r="F32" s="18">
        <f>'[1]input data'!Z910</f>
        <v>987.8</v>
      </c>
      <c r="G32" s="18">
        <f>'[1]input data'!Z911</f>
        <v>986.88</v>
      </c>
      <c r="H32" s="18">
        <f>'[1]input data'!Z912</f>
        <v>986.12</v>
      </c>
      <c r="I32" s="18">
        <f>'[1]input data'!Z913</f>
        <v>985.8</v>
      </c>
      <c r="J32" s="18">
        <f>'[1]input data'!Z914</f>
        <v>985.5</v>
      </c>
      <c r="K32" s="18">
        <f>'[1]input data'!Z915</f>
        <v>985.9</v>
      </c>
      <c r="L32" s="18">
        <f>'[1]input data'!Z916</f>
        <v>986.9</v>
      </c>
      <c r="M32" s="18">
        <f>'[1]input data'!Z917</f>
        <v>987.5</v>
      </c>
      <c r="N32" s="18">
        <f>'[1]input data'!Z918</f>
        <v>988.3</v>
      </c>
      <c r="O32" s="19">
        <f t="shared" si="0"/>
        <v>988.83</v>
      </c>
      <c r="P32" s="20">
        <f t="shared" si="1"/>
        <v>985.5</v>
      </c>
      <c r="Q32" s="21">
        <f t="shared" si="2"/>
        <v>987.31153846153836</v>
      </c>
    </row>
    <row r="33" spans="1:17" ht="18.95" customHeight="1" x14ac:dyDescent="0.2">
      <c r="A33" s="22">
        <v>27</v>
      </c>
      <c r="B33" s="18">
        <f>'[1]input data'!Z942</f>
        <v>989.3</v>
      </c>
      <c r="C33" s="18">
        <f>'[1]input data'!Z943</f>
        <v>989.9</v>
      </c>
      <c r="D33" s="18">
        <f>'[1]input data'!Z944</f>
        <v>990.1</v>
      </c>
      <c r="E33" s="18">
        <f>'[1]input data'!Z945</f>
        <v>989.7</v>
      </c>
      <c r="F33" s="18">
        <f>'[1]input data'!Z946</f>
        <v>989.2</v>
      </c>
      <c r="G33" s="18">
        <f>'[1]input data'!Z947</f>
        <v>988.3</v>
      </c>
      <c r="H33" s="18">
        <f>'[1]input data'!Z948</f>
        <v>987.6</v>
      </c>
      <c r="I33" s="18">
        <f>'[1]input data'!Z949</f>
        <v>987.3</v>
      </c>
      <c r="J33" s="18">
        <f>'[1]input data'!Z950</f>
        <v>987.3</v>
      </c>
      <c r="K33" s="18">
        <f>'[1]input data'!Z951</f>
        <v>987.3</v>
      </c>
      <c r="L33" s="18">
        <f>'[1]input data'!Z952</f>
        <v>987.8</v>
      </c>
      <c r="M33" s="18">
        <f>'[1]input data'!Z953</f>
        <v>988.3</v>
      </c>
      <c r="N33" s="18">
        <f>'[1]input data'!Z954</f>
        <v>989.3</v>
      </c>
      <c r="O33" s="19">
        <f t="shared" si="0"/>
        <v>990.1</v>
      </c>
      <c r="P33" s="20">
        <f t="shared" si="1"/>
        <v>987.3</v>
      </c>
      <c r="Q33" s="21">
        <f t="shared" si="2"/>
        <v>988.56923076923056</v>
      </c>
    </row>
    <row r="34" spans="1:17" ht="18.95" customHeight="1" x14ac:dyDescent="0.2">
      <c r="A34" s="22">
        <v>28</v>
      </c>
      <c r="B34" s="18">
        <f>'[1]input data'!Z978</f>
        <v>990.14</v>
      </c>
      <c r="C34" s="18">
        <f>'[1]input data'!Z979</f>
        <v>990.82</v>
      </c>
      <c r="D34" s="18">
        <f>'[1]input data'!Z980</f>
        <v>991.03</v>
      </c>
      <c r="E34" s="18">
        <f>'[1]input data'!Z981</f>
        <v>990.84</v>
      </c>
      <c r="F34" s="18">
        <f>'[1]input data'!Z982</f>
        <v>990.25</v>
      </c>
      <c r="G34" s="18">
        <f>'[1]input data'!Z983</f>
        <v>989.47</v>
      </c>
      <c r="H34" s="18">
        <f>'[1]input data'!Z984</f>
        <v>988.44</v>
      </c>
      <c r="I34" s="18">
        <f>'[1]input data'!Z985</f>
        <v>988.3</v>
      </c>
      <c r="J34" s="18">
        <f>'[1]input data'!Z986</f>
        <v>988.3</v>
      </c>
      <c r="K34" s="18">
        <f>'[1]input data'!Z987</f>
        <v>987.4</v>
      </c>
      <c r="L34" s="18">
        <f>'[1]input data'!Z988</f>
        <v>988.2</v>
      </c>
      <c r="M34" s="18">
        <f>'[1]input data'!Z989</f>
        <v>989.1</v>
      </c>
      <c r="N34" s="18">
        <f>'[1]input data'!Z990</f>
        <v>990.4</v>
      </c>
      <c r="O34" s="19">
        <f t="shared" si="0"/>
        <v>991.03</v>
      </c>
      <c r="P34" s="20">
        <f t="shared" si="1"/>
        <v>987.4</v>
      </c>
      <c r="Q34" s="21">
        <f t="shared" si="2"/>
        <v>989.43769230769237</v>
      </c>
    </row>
    <row r="35" spans="1:17" ht="18.95" customHeight="1" x14ac:dyDescent="0.2">
      <c r="A35" s="22">
        <v>29</v>
      </c>
      <c r="B35" s="18">
        <f>'[1]input data'!Z1014</f>
        <v>990.8</v>
      </c>
      <c r="C35" s="18">
        <f>'[1]input data'!Z1015</f>
        <v>991.2</v>
      </c>
      <c r="D35" s="18">
        <f>'[1]input data'!Z1016</f>
        <v>990.9</v>
      </c>
      <c r="E35" s="18">
        <f>'[1]input data'!Z1017</f>
        <v>990.6</v>
      </c>
      <c r="F35" s="18">
        <f>'[1]input data'!Z1018</f>
        <v>989.9</v>
      </c>
      <c r="G35" s="18">
        <f>'[1]input data'!Z1019</f>
        <v>988.9</v>
      </c>
      <c r="H35" s="18">
        <f>'[1]input data'!Z1020</f>
        <v>988.2</v>
      </c>
      <c r="I35" s="18">
        <f>'[1]input data'!Z1021</f>
        <v>987.1</v>
      </c>
      <c r="J35" s="18">
        <f>'[1]input data'!Z1022</f>
        <v>986.6</v>
      </c>
      <c r="K35" s="18">
        <f>'[1]input data'!Z1023</f>
        <v>986.9</v>
      </c>
      <c r="L35" s="18">
        <f>'[1]input data'!Z1024</f>
        <v>987.4</v>
      </c>
      <c r="M35" s="18">
        <f>'[1]input data'!Z1025</f>
        <v>988.2</v>
      </c>
      <c r="N35" s="18">
        <f>'[1]input data'!Z1026</f>
        <v>989.6</v>
      </c>
      <c r="O35" s="19">
        <f t="shared" si="0"/>
        <v>991.2</v>
      </c>
      <c r="P35" s="20">
        <f t="shared" si="1"/>
        <v>986.6</v>
      </c>
      <c r="Q35" s="21">
        <f t="shared" si="2"/>
        <v>988.94615384615383</v>
      </c>
    </row>
    <row r="36" spans="1:17" ht="18.95" customHeight="1" x14ac:dyDescent="0.2">
      <c r="A36" s="22">
        <v>30</v>
      </c>
      <c r="B36" s="18">
        <f>'[1]input data'!Z1050</f>
        <v>990.5</v>
      </c>
      <c r="C36" s="18">
        <f>'[1]input data'!Z1051</f>
        <v>990.9</v>
      </c>
      <c r="D36" s="18">
        <f>'[1]input data'!Z1052</f>
        <v>990.9</v>
      </c>
      <c r="E36" s="18">
        <f>'[1]input data'!Z1053</f>
        <v>990.7</v>
      </c>
      <c r="F36" s="18">
        <f>'[1]input data'!Z1054</f>
        <v>990.4</v>
      </c>
      <c r="G36" s="18">
        <f>'[1]input data'!Z1055</f>
        <v>989.2</v>
      </c>
      <c r="H36" s="18">
        <f>'[1]input data'!Z1056</f>
        <v>988.2</v>
      </c>
      <c r="I36" s="18">
        <f>'[1]input data'!Z1057</f>
        <v>987.09</v>
      </c>
      <c r="J36" s="18">
        <f>'[1]input data'!Z1058</f>
        <v>986.73</v>
      </c>
      <c r="K36" s="18">
        <f>'[1]input data'!Z1059</f>
        <v>986.95</v>
      </c>
      <c r="L36" s="18">
        <f>'[1]input data'!Z1060</f>
        <v>987.22</v>
      </c>
      <c r="M36" s="18">
        <f>'[1]input data'!Z1061</f>
        <v>987.7</v>
      </c>
      <c r="N36" s="18">
        <f>'[1]input data'!Z1062</f>
        <v>988.19</v>
      </c>
      <c r="O36" s="19">
        <f t="shared" si="0"/>
        <v>990.9</v>
      </c>
      <c r="P36" s="20">
        <f t="shared" si="1"/>
        <v>986.73</v>
      </c>
      <c r="Q36" s="21">
        <f t="shared" si="2"/>
        <v>988.82153846153847</v>
      </c>
    </row>
    <row r="37" spans="1:17" ht="18.95" customHeight="1" thickBot="1" x14ac:dyDescent="0.25">
      <c r="A37" s="22">
        <v>31</v>
      </c>
      <c r="B37" s="18">
        <f>'[1]input data'!Z1086</f>
        <v>990.23</v>
      </c>
      <c r="C37" s="18">
        <f>'[1]input data'!Z1087</f>
        <v>990.33</v>
      </c>
      <c r="D37" s="18">
        <f>'[1]input data'!Z1088</f>
        <v>990.24</v>
      </c>
      <c r="E37" s="18">
        <f>'[1]input data'!Z1089</f>
        <v>990.08</v>
      </c>
      <c r="F37" s="18">
        <f>'[1]input data'!Z1090</f>
        <v>989.77</v>
      </c>
      <c r="G37" s="18">
        <f>'[1]input data'!Z1091</f>
        <v>988.65</v>
      </c>
      <c r="H37" s="18">
        <f>'[1]input data'!Z1092</f>
        <v>988.25</v>
      </c>
      <c r="I37" s="18">
        <f>'[1]input data'!Z1093</f>
        <v>987.11</v>
      </c>
      <c r="J37" s="18">
        <f>'[1]input data'!Z1094</f>
        <v>987.1</v>
      </c>
      <c r="K37" s="18">
        <f>'[1]input data'!Z1095</f>
        <v>986.67</v>
      </c>
      <c r="L37" s="18">
        <f>'[1]input data'!Z1096</f>
        <v>987.1</v>
      </c>
      <c r="M37" s="18">
        <f>'[1]input data'!Z1097</f>
        <v>987.82</v>
      </c>
      <c r="N37" s="18">
        <f>'[1]input data'!Z1098</f>
        <v>988.83</v>
      </c>
      <c r="O37" s="19">
        <f t="shared" si="0"/>
        <v>990.33</v>
      </c>
      <c r="P37" s="20">
        <f t="shared" si="1"/>
        <v>986.67</v>
      </c>
      <c r="Q37" s="21">
        <f t="shared" si="2"/>
        <v>988.62923076923062</v>
      </c>
    </row>
    <row r="38" spans="1:17" ht="18" customHeight="1" thickTop="1" x14ac:dyDescent="0.2">
      <c r="A38" s="24" t="s">
        <v>23</v>
      </c>
      <c r="B38" s="25">
        <f>MAX(B7:B37)</f>
        <v>992</v>
      </c>
      <c r="C38" s="25">
        <f t="shared" ref="C38:N38" si="3">MAX(C7:C37)</f>
        <v>992.27</v>
      </c>
      <c r="D38" s="25">
        <f t="shared" si="3"/>
        <v>992.2</v>
      </c>
      <c r="E38" s="25">
        <f t="shared" si="3"/>
        <v>991.82</v>
      </c>
      <c r="F38" s="25">
        <f t="shared" si="3"/>
        <v>991.4</v>
      </c>
      <c r="G38" s="25">
        <f t="shared" si="3"/>
        <v>990.8</v>
      </c>
      <c r="H38" s="25">
        <f t="shared" si="3"/>
        <v>990.1</v>
      </c>
      <c r="I38" s="25">
        <f t="shared" si="3"/>
        <v>989.4</v>
      </c>
      <c r="J38" s="25">
        <f t="shared" si="3"/>
        <v>989.3</v>
      </c>
      <c r="K38" s="25">
        <f t="shared" si="3"/>
        <v>989.6</v>
      </c>
      <c r="L38" s="25">
        <f t="shared" si="3"/>
        <v>990.4</v>
      </c>
      <c r="M38" s="25">
        <f t="shared" si="3"/>
        <v>991.1</v>
      </c>
      <c r="N38" s="25">
        <f t="shared" si="3"/>
        <v>991.8</v>
      </c>
      <c r="O38" s="26">
        <f>MAX(O7:O37)</f>
        <v>992.27</v>
      </c>
      <c r="P38" s="25">
        <f>MAX(P7:P37)</f>
        <v>989.3</v>
      </c>
      <c r="Q38" s="27">
        <f>MAX(Q7:Q37)</f>
        <v>990.9153846153846</v>
      </c>
    </row>
    <row r="39" spans="1:17" ht="18" customHeight="1" x14ac:dyDescent="0.2">
      <c r="A39" s="22" t="s">
        <v>24</v>
      </c>
      <c r="B39" s="28">
        <f>MIN(B7:B37)</f>
        <v>987.9</v>
      </c>
      <c r="C39" s="28">
        <f t="shared" ref="C39:N39" si="4">MIN(C7:C37)</f>
        <v>988.3</v>
      </c>
      <c r="D39" s="28">
        <f t="shared" si="4"/>
        <v>988.5</v>
      </c>
      <c r="E39" s="28">
        <f t="shared" si="4"/>
        <v>987.9</v>
      </c>
      <c r="F39" s="28">
        <f t="shared" si="4"/>
        <v>987</v>
      </c>
      <c r="G39" s="28">
        <f t="shared" si="4"/>
        <v>986.4</v>
      </c>
      <c r="H39" s="28">
        <f t="shared" si="4"/>
        <v>985.9</v>
      </c>
      <c r="I39" s="28">
        <f t="shared" si="4"/>
        <v>985.4</v>
      </c>
      <c r="J39" s="28">
        <f t="shared" si="4"/>
        <v>984.79</v>
      </c>
      <c r="K39" s="28">
        <f t="shared" si="4"/>
        <v>984.87</v>
      </c>
      <c r="L39" s="28">
        <f t="shared" si="4"/>
        <v>985.69</v>
      </c>
      <c r="M39" s="28">
        <f t="shared" si="4"/>
        <v>986.52</v>
      </c>
      <c r="N39" s="28">
        <f t="shared" si="4"/>
        <v>986.76</v>
      </c>
      <c r="O39" s="29">
        <f>MIN(O7:O37)</f>
        <v>988.5</v>
      </c>
      <c r="P39" s="28">
        <f>MIN(P7:P37)</f>
        <v>984.79</v>
      </c>
      <c r="Q39" s="30">
        <f>MIN(Q7:Q37)</f>
        <v>986.61769230769232</v>
      </c>
    </row>
    <row r="40" spans="1:17" ht="18" customHeight="1" thickBot="1" x14ac:dyDescent="0.25">
      <c r="A40" s="31" t="s">
        <v>25</v>
      </c>
      <c r="B40" s="32">
        <f>AVERAGE(B7:B37)</f>
        <v>990.25096774193548</v>
      </c>
      <c r="C40" s="32">
        <f t="shared" ref="C40:N40" si="5">AVERAGE(C7:C37)</f>
        <v>990.61193548387098</v>
      </c>
      <c r="D40" s="32">
        <f t="shared" si="5"/>
        <v>990.63161290322591</v>
      </c>
      <c r="E40" s="32">
        <f t="shared" si="5"/>
        <v>990.27870967741956</v>
      </c>
      <c r="F40" s="32">
        <f t="shared" si="5"/>
        <v>989.69870967741963</v>
      </c>
      <c r="G40" s="32">
        <f t="shared" si="5"/>
        <v>988.91838709677427</v>
      </c>
      <c r="H40" s="32">
        <f t="shared" si="5"/>
        <v>988.17903225806458</v>
      </c>
      <c r="I40" s="32">
        <f t="shared" si="5"/>
        <v>987.53516129032232</v>
      </c>
      <c r="J40" s="32">
        <f t="shared" si="5"/>
        <v>987.29806451612887</v>
      </c>
      <c r="K40" s="32">
        <f t="shared" si="5"/>
        <v>987.42806451612921</v>
      </c>
      <c r="L40" s="32">
        <f t="shared" si="5"/>
        <v>988.02677419354859</v>
      </c>
      <c r="M40" s="32">
        <f t="shared" si="5"/>
        <v>988.71</v>
      </c>
      <c r="N40" s="32">
        <f t="shared" si="5"/>
        <v>989.43032258064488</v>
      </c>
      <c r="O40" s="33">
        <f>AVERAGE(O7:O37)</f>
        <v>990.74451612903226</v>
      </c>
      <c r="P40" s="32">
        <f>AVERAGE(P7:P37)</f>
        <v>987.18709677419338</v>
      </c>
      <c r="Q40" s="34">
        <f>AVERAGE(Q7:Q37)</f>
        <v>988.99982630272962</v>
      </c>
    </row>
    <row r="41" spans="1:17" ht="13.5" thickTop="1" x14ac:dyDescent="0.2"/>
    <row r="43" spans="1:17" x14ac:dyDescent="0.2">
      <c r="C43" s="8" t="str">
        <f>[1]FKLIM.71!M43</f>
        <v>Mengetahui,</v>
      </c>
    </row>
    <row r="44" spans="1:17" x14ac:dyDescent="0.2">
      <c r="C44" s="8" t="str">
        <f>[1]FKLIM.71!M44</f>
        <v>Kepala Stasiun Klimatologi Kelas IV</v>
      </c>
      <c r="O44" s="8" t="str">
        <f>[1]FKLIM.71!T44</f>
        <v>Pengolah</v>
      </c>
    </row>
    <row r="45" spans="1:17" x14ac:dyDescent="0.2">
      <c r="C45" s="8" t="str">
        <f>[1]FKLIM.71!M45</f>
        <v>Sleman Yogyakarta</v>
      </c>
      <c r="O45" s="8"/>
    </row>
    <row r="46" spans="1:17" x14ac:dyDescent="0.2">
      <c r="C46" s="8"/>
      <c r="O46" s="8"/>
    </row>
    <row r="47" spans="1:17" x14ac:dyDescent="0.2">
      <c r="C47" s="8"/>
      <c r="O47" s="8"/>
    </row>
    <row r="48" spans="1:17" x14ac:dyDescent="0.2">
      <c r="C48" s="8"/>
      <c r="O48" s="8"/>
    </row>
    <row r="49" spans="3:15" x14ac:dyDescent="0.2">
      <c r="C49" s="8"/>
      <c r="O49" s="8"/>
    </row>
    <row r="50" spans="3:15" x14ac:dyDescent="0.2">
      <c r="C50" s="35" t="str">
        <f>[1]FKLIM.71!M50</f>
        <v>RENI KRANINGTYAS, SP, M.Si</v>
      </c>
      <c r="O50" s="35" t="str">
        <f>[1]FKLIM.71!T50</f>
        <v xml:space="preserve">TIM PEMBUAT LAPORAN </v>
      </c>
    </row>
    <row r="51" spans="3:15" x14ac:dyDescent="0.2">
      <c r="C51" s="8" t="str">
        <f>[1]FKLIM.71!M51</f>
        <v>NIP.  19740203 199703 2 001</v>
      </c>
      <c r="O51" s="8" t="str">
        <f>[1]FKLIM.71!T51</f>
        <v xml:space="preserve">PETUGAS OPERASIONAL </v>
      </c>
    </row>
  </sheetData>
  <mergeCells count="2">
    <mergeCell ref="G1:K1"/>
    <mergeCell ref="G3:K3"/>
  </mergeCells>
  <printOptions horizontalCentered="1"/>
  <pageMargins left="0.14000000000000001" right="0.14000000000000001" top="0.55118110236220497" bottom="0.261811024" header="0.39370078740157499" footer="0.39370078740157499"/>
  <pageSetup paperSize="5" scale="61" orientation="landscape" horizontalDpi="4294967293" verticalDpi="4294967293" r:id="rId1"/>
  <headerFooter alignWithMargins="0"/>
  <rowBreaks count="1" manualBreakCount="1">
    <brk id="56" max="1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Z51"/>
  <sheetViews>
    <sheetView zoomScale="70" zoomScaleNormal="70" workbookViewId="0">
      <selection activeCell="T46" sqref="T46"/>
    </sheetView>
  </sheetViews>
  <sheetFormatPr defaultRowHeight="12.75" x14ac:dyDescent="0.2"/>
  <cols>
    <col min="1" max="1" width="13.140625" style="8" customWidth="1"/>
    <col min="2" max="16" width="11" style="1" customWidth="1"/>
    <col min="17" max="17" width="14.140625" style="1" customWidth="1"/>
    <col min="18" max="256" width="9.140625" style="1"/>
    <col min="257" max="257" width="7.140625" style="1" customWidth="1"/>
    <col min="258" max="273" width="11" style="1" customWidth="1"/>
    <col min="274" max="512" width="9.140625" style="1"/>
    <col min="513" max="513" width="7.140625" style="1" customWidth="1"/>
    <col min="514" max="529" width="11" style="1" customWidth="1"/>
    <col min="530" max="768" width="9.140625" style="1"/>
    <col min="769" max="769" width="7.140625" style="1" customWidth="1"/>
    <col min="770" max="785" width="11" style="1" customWidth="1"/>
    <col min="786" max="1024" width="9.140625" style="1"/>
    <col min="1025" max="1025" width="7.140625" style="1" customWidth="1"/>
    <col min="1026" max="1041" width="11" style="1" customWidth="1"/>
    <col min="1042" max="1280" width="9.140625" style="1"/>
    <col min="1281" max="1281" width="7.140625" style="1" customWidth="1"/>
    <col min="1282" max="1297" width="11" style="1" customWidth="1"/>
    <col min="1298" max="1536" width="9.140625" style="1"/>
    <col min="1537" max="1537" width="7.140625" style="1" customWidth="1"/>
    <col min="1538" max="1553" width="11" style="1" customWidth="1"/>
    <col min="1554" max="1792" width="9.140625" style="1"/>
    <col min="1793" max="1793" width="7.140625" style="1" customWidth="1"/>
    <col min="1794" max="1809" width="11" style="1" customWidth="1"/>
    <col min="1810" max="2048" width="9.140625" style="1"/>
    <col min="2049" max="2049" width="7.140625" style="1" customWidth="1"/>
    <col min="2050" max="2065" width="11" style="1" customWidth="1"/>
    <col min="2066" max="2304" width="9.140625" style="1"/>
    <col min="2305" max="2305" width="7.140625" style="1" customWidth="1"/>
    <col min="2306" max="2321" width="11" style="1" customWidth="1"/>
    <col min="2322" max="2560" width="9.140625" style="1"/>
    <col min="2561" max="2561" width="7.140625" style="1" customWidth="1"/>
    <col min="2562" max="2577" width="11" style="1" customWidth="1"/>
    <col min="2578" max="2816" width="9.140625" style="1"/>
    <col min="2817" max="2817" width="7.140625" style="1" customWidth="1"/>
    <col min="2818" max="2833" width="11" style="1" customWidth="1"/>
    <col min="2834" max="3072" width="9.140625" style="1"/>
    <col min="3073" max="3073" width="7.140625" style="1" customWidth="1"/>
    <col min="3074" max="3089" width="11" style="1" customWidth="1"/>
    <col min="3090" max="3328" width="9.140625" style="1"/>
    <col min="3329" max="3329" width="7.140625" style="1" customWidth="1"/>
    <col min="3330" max="3345" width="11" style="1" customWidth="1"/>
    <col min="3346" max="3584" width="9.140625" style="1"/>
    <col min="3585" max="3585" width="7.140625" style="1" customWidth="1"/>
    <col min="3586" max="3601" width="11" style="1" customWidth="1"/>
    <col min="3602" max="3840" width="9.140625" style="1"/>
    <col min="3841" max="3841" width="7.140625" style="1" customWidth="1"/>
    <col min="3842" max="3857" width="11" style="1" customWidth="1"/>
    <col min="3858" max="4096" width="9.140625" style="1"/>
    <col min="4097" max="4097" width="7.140625" style="1" customWidth="1"/>
    <col min="4098" max="4113" width="11" style="1" customWidth="1"/>
    <col min="4114" max="4352" width="9.140625" style="1"/>
    <col min="4353" max="4353" width="7.140625" style="1" customWidth="1"/>
    <col min="4354" max="4369" width="11" style="1" customWidth="1"/>
    <col min="4370" max="4608" width="9.140625" style="1"/>
    <col min="4609" max="4609" width="7.140625" style="1" customWidth="1"/>
    <col min="4610" max="4625" width="11" style="1" customWidth="1"/>
    <col min="4626" max="4864" width="9.140625" style="1"/>
    <col min="4865" max="4865" width="7.140625" style="1" customWidth="1"/>
    <col min="4866" max="4881" width="11" style="1" customWidth="1"/>
    <col min="4882" max="5120" width="9.140625" style="1"/>
    <col min="5121" max="5121" width="7.140625" style="1" customWidth="1"/>
    <col min="5122" max="5137" width="11" style="1" customWidth="1"/>
    <col min="5138" max="5376" width="9.140625" style="1"/>
    <col min="5377" max="5377" width="7.140625" style="1" customWidth="1"/>
    <col min="5378" max="5393" width="11" style="1" customWidth="1"/>
    <col min="5394" max="5632" width="9.140625" style="1"/>
    <col min="5633" max="5633" width="7.140625" style="1" customWidth="1"/>
    <col min="5634" max="5649" width="11" style="1" customWidth="1"/>
    <col min="5650" max="5888" width="9.140625" style="1"/>
    <col min="5889" max="5889" width="7.140625" style="1" customWidth="1"/>
    <col min="5890" max="5905" width="11" style="1" customWidth="1"/>
    <col min="5906" max="6144" width="9.140625" style="1"/>
    <col min="6145" max="6145" width="7.140625" style="1" customWidth="1"/>
    <col min="6146" max="6161" width="11" style="1" customWidth="1"/>
    <col min="6162" max="6400" width="9.140625" style="1"/>
    <col min="6401" max="6401" width="7.140625" style="1" customWidth="1"/>
    <col min="6402" max="6417" width="11" style="1" customWidth="1"/>
    <col min="6418" max="6656" width="9.140625" style="1"/>
    <col min="6657" max="6657" width="7.140625" style="1" customWidth="1"/>
    <col min="6658" max="6673" width="11" style="1" customWidth="1"/>
    <col min="6674" max="6912" width="9.140625" style="1"/>
    <col min="6913" max="6913" width="7.140625" style="1" customWidth="1"/>
    <col min="6914" max="6929" width="11" style="1" customWidth="1"/>
    <col min="6930" max="7168" width="9.140625" style="1"/>
    <col min="7169" max="7169" width="7.140625" style="1" customWidth="1"/>
    <col min="7170" max="7185" width="11" style="1" customWidth="1"/>
    <col min="7186" max="7424" width="9.140625" style="1"/>
    <col min="7425" max="7425" width="7.140625" style="1" customWidth="1"/>
    <col min="7426" max="7441" width="11" style="1" customWidth="1"/>
    <col min="7442" max="7680" width="9.140625" style="1"/>
    <col min="7681" max="7681" width="7.140625" style="1" customWidth="1"/>
    <col min="7682" max="7697" width="11" style="1" customWidth="1"/>
    <col min="7698" max="7936" width="9.140625" style="1"/>
    <col min="7937" max="7937" width="7.140625" style="1" customWidth="1"/>
    <col min="7938" max="7953" width="11" style="1" customWidth="1"/>
    <col min="7954" max="8192" width="9.140625" style="1"/>
    <col min="8193" max="8193" width="7.140625" style="1" customWidth="1"/>
    <col min="8194" max="8209" width="11" style="1" customWidth="1"/>
    <col min="8210" max="8448" width="9.140625" style="1"/>
    <col min="8449" max="8449" width="7.140625" style="1" customWidth="1"/>
    <col min="8450" max="8465" width="11" style="1" customWidth="1"/>
    <col min="8466" max="8704" width="9.140625" style="1"/>
    <col min="8705" max="8705" width="7.140625" style="1" customWidth="1"/>
    <col min="8706" max="8721" width="11" style="1" customWidth="1"/>
    <col min="8722" max="8960" width="9.140625" style="1"/>
    <col min="8961" max="8961" width="7.140625" style="1" customWidth="1"/>
    <col min="8962" max="8977" width="11" style="1" customWidth="1"/>
    <col min="8978" max="9216" width="9.140625" style="1"/>
    <col min="9217" max="9217" width="7.140625" style="1" customWidth="1"/>
    <col min="9218" max="9233" width="11" style="1" customWidth="1"/>
    <col min="9234" max="9472" width="9.140625" style="1"/>
    <col min="9473" max="9473" width="7.140625" style="1" customWidth="1"/>
    <col min="9474" max="9489" width="11" style="1" customWidth="1"/>
    <col min="9490" max="9728" width="9.140625" style="1"/>
    <col min="9729" max="9729" width="7.140625" style="1" customWidth="1"/>
    <col min="9730" max="9745" width="11" style="1" customWidth="1"/>
    <col min="9746" max="9984" width="9.140625" style="1"/>
    <col min="9985" max="9985" width="7.140625" style="1" customWidth="1"/>
    <col min="9986" max="10001" width="11" style="1" customWidth="1"/>
    <col min="10002" max="10240" width="9.140625" style="1"/>
    <col min="10241" max="10241" width="7.140625" style="1" customWidth="1"/>
    <col min="10242" max="10257" width="11" style="1" customWidth="1"/>
    <col min="10258" max="10496" width="9.140625" style="1"/>
    <col min="10497" max="10497" width="7.140625" style="1" customWidth="1"/>
    <col min="10498" max="10513" width="11" style="1" customWidth="1"/>
    <col min="10514" max="10752" width="9.140625" style="1"/>
    <col min="10753" max="10753" width="7.140625" style="1" customWidth="1"/>
    <col min="10754" max="10769" width="11" style="1" customWidth="1"/>
    <col min="10770" max="11008" width="9.140625" style="1"/>
    <col min="11009" max="11009" width="7.140625" style="1" customWidth="1"/>
    <col min="11010" max="11025" width="11" style="1" customWidth="1"/>
    <col min="11026" max="11264" width="9.140625" style="1"/>
    <col min="11265" max="11265" width="7.140625" style="1" customWidth="1"/>
    <col min="11266" max="11281" width="11" style="1" customWidth="1"/>
    <col min="11282" max="11520" width="9.140625" style="1"/>
    <col min="11521" max="11521" width="7.140625" style="1" customWidth="1"/>
    <col min="11522" max="11537" width="11" style="1" customWidth="1"/>
    <col min="11538" max="11776" width="9.140625" style="1"/>
    <col min="11777" max="11777" width="7.140625" style="1" customWidth="1"/>
    <col min="11778" max="11793" width="11" style="1" customWidth="1"/>
    <col min="11794" max="12032" width="9.140625" style="1"/>
    <col min="12033" max="12033" width="7.140625" style="1" customWidth="1"/>
    <col min="12034" max="12049" width="11" style="1" customWidth="1"/>
    <col min="12050" max="12288" width="9.140625" style="1"/>
    <col min="12289" max="12289" width="7.140625" style="1" customWidth="1"/>
    <col min="12290" max="12305" width="11" style="1" customWidth="1"/>
    <col min="12306" max="12544" width="9.140625" style="1"/>
    <col min="12545" max="12545" width="7.140625" style="1" customWidth="1"/>
    <col min="12546" max="12561" width="11" style="1" customWidth="1"/>
    <col min="12562" max="12800" width="9.140625" style="1"/>
    <col min="12801" max="12801" width="7.140625" style="1" customWidth="1"/>
    <col min="12802" max="12817" width="11" style="1" customWidth="1"/>
    <col min="12818" max="13056" width="9.140625" style="1"/>
    <col min="13057" max="13057" width="7.140625" style="1" customWidth="1"/>
    <col min="13058" max="13073" width="11" style="1" customWidth="1"/>
    <col min="13074" max="13312" width="9.140625" style="1"/>
    <col min="13313" max="13313" width="7.140625" style="1" customWidth="1"/>
    <col min="13314" max="13329" width="11" style="1" customWidth="1"/>
    <col min="13330" max="13568" width="9.140625" style="1"/>
    <col min="13569" max="13569" width="7.140625" style="1" customWidth="1"/>
    <col min="13570" max="13585" width="11" style="1" customWidth="1"/>
    <col min="13586" max="13824" width="9.140625" style="1"/>
    <col min="13825" max="13825" width="7.140625" style="1" customWidth="1"/>
    <col min="13826" max="13841" width="11" style="1" customWidth="1"/>
    <col min="13842" max="14080" width="9.140625" style="1"/>
    <col min="14081" max="14081" width="7.140625" style="1" customWidth="1"/>
    <col min="14082" max="14097" width="11" style="1" customWidth="1"/>
    <col min="14098" max="14336" width="9.140625" style="1"/>
    <col min="14337" max="14337" width="7.140625" style="1" customWidth="1"/>
    <col min="14338" max="14353" width="11" style="1" customWidth="1"/>
    <col min="14354" max="14592" width="9.140625" style="1"/>
    <col min="14593" max="14593" width="7.140625" style="1" customWidth="1"/>
    <col min="14594" max="14609" width="11" style="1" customWidth="1"/>
    <col min="14610" max="14848" width="9.140625" style="1"/>
    <col min="14849" max="14849" width="7.140625" style="1" customWidth="1"/>
    <col min="14850" max="14865" width="11" style="1" customWidth="1"/>
    <col min="14866" max="15104" width="9.140625" style="1"/>
    <col min="15105" max="15105" width="7.140625" style="1" customWidth="1"/>
    <col min="15106" max="15121" width="11" style="1" customWidth="1"/>
    <col min="15122" max="15360" width="9.140625" style="1"/>
    <col min="15361" max="15361" width="7.140625" style="1" customWidth="1"/>
    <col min="15362" max="15377" width="11" style="1" customWidth="1"/>
    <col min="15378" max="15616" width="9.140625" style="1"/>
    <col min="15617" max="15617" width="7.140625" style="1" customWidth="1"/>
    <col min="15618" max="15633" width="11" style="1" customWidth="1"/>
    <col min="15634" max="15872" width="9.140625" style="1"/>
    <col min="15873" max="15873" width="7.140625" style="1" customWidth="1"/>
    <col min="15874" max="15889" width="11" style="1" customWidth="1"/>
    <col min="15890" max="16128" width="9.140625" style="1"/>
    <col min="16129" max="16129" width="7.140625" style="1" customWidth="1"/>
    <col min="16130" max="16145" width="11" style="1" customWidth="1"/>
    <col min="16146" max="16384" width="9.140625" style="1"/>
  </cols>
  <sheetData>
    <row r="1" spans="1:26" ht="18" x14ac:dyDescent="0.25">
      <c r="A1" s="1"/>
      <c r="D1" s="2"/>
      <c r="E1" s="3"/>
      <c r="F1" s="3"/>
      <c r="G1" s="99" t="str">
        <f>[2]Suhu2!F1</f>
        <v>STASIUN KLIMATOLOGI KL. IV SLEMAN</v>
      </c>
      <c r="H1" s="100"/>
      <c r="I1" s="100"/>
      <c r="J1" s="100"/>
      <c r="K1" s="100"/>
      <c r="L1" s="4"/>
      <c r="M1" s="4"/>
      <c r="N1" s="4"/>
      <c r="O1" s="3"/>
      <c r="P1" s="3"/>
      <c r="Q1" s="3"/>
    </row>
    <row r="2" spans="1:26" ht="18" x14ac:dyDescent="0.25">
      <c r="A2" s="5" t="s">
        <v>0</v>
      </c>
      <c r="B2" s="3"/>
      <c r="C2" s="3" t="s">
        <v>1</v>
      </c>
      <c r="D2" s="2"/>
      <c r="E2" s="3"/>
      <c r="F2" s="3"/>
      <c r="G2" s="6"/>
      <c r="H2" s="4"/>
      <c r="I2" s="4"/>
      <c r="J2" s="4"/>
      <c r="K2" s="4"/>
      <c r="L2" s="4"/>
      <c r="M2" s="4"/>
      <c r="N2" s="4"/>
      <c r="O2" s="3"/>
      <c r="P2" s="3"/>
      <c r="Q2" s="3"/>
    </row>
    <row r="3" spans="1:26" ht="18" x14ac:dyDescent="0.25">
      <c r="A3" s="5" t="s">
        <v>2</v>
      </c>
      <c r="B3" s="3"/>
      <c r="C3" s="3" t="s">
        <v>26</v>
      </c>
      <c r="D3" s="2"/>
      <c r="E3" s="7"/>
      <c r="F3" s="3"/>
      <c r="G3" s="99"/>
      <c r="H3" s="100"/>
      <c r="I3" s="100"/>
      <c r="J3" s="100"/>
      <c r="K3" s="100"/>
      <c r="L3" s="3"/>
      <c r="M3" s="3"/>
      <c r="N3" s="3"/>
      <c r="O3" s="3"/>
      <c r="P3" s="3"/>
      <c r="Q3" s="3"/>
    </row>
    <row r="4" spans="1:26" ht="15" x14ac:dyDescent="0.2">
      <c r="A4" s="5" t="s">
        <v>3</v>
      </c>
      <c r="B4" s="3"/>
      <c r="C4" s="3" t="s">
        <v>4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6" ht="15.75" thickBot="1" x14ac:dyDescent="0.25">
      <c r="K5" s="3"/>
      <c r="L5" s="9" t="s">
        <v>5</v>
      </c>
      <c r="M5" s="9"/>
      <c r="N5" s="10" t="str">
        <f>'[2]input data'!R1121</f>
        <v xml:space="preserve">TIM PEMBUAT LAPORAN </v>
      </c>
      <c r="O5" s="9"/>
      <c r="P5" s="9"/>
    </row>
    <row r="6" spans="1:26" ht="18" customHeight="1" thickTop="1" thickBot="1" x14ac:dyDescent="0.25">
      <c r="A6" s="11" t="s">
        <v>6</v>
      </c>
      <c r="B6" s="12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4" t="s">
        <v>20</v>
      </c>
      <c r="P6" s="13" t="s">
        <v>21</v>
      </c>
      <c r="Q6" s="15" t="s">
        <v>22</v>
      </c>
      <c r="R6" s="16"/>
      <c r="S6" s="16"/>
      <c r="T6" s="16"/>
      <c r="U6" s="16"/>
      <c r="V6" s="16"/>
      <c r="W6" s="16"/>
      <c r="X6" s="16"/>
      <c r="Y6" s="16"/>
      <c r="Z6" s="16"/>
    </row>
    <row r="7" spans="1:26" ht="18.95" customHeight="1" thickTop="1" x14ac:dyDescent="0.2">
      <c r="A7" s="17">
        <v>1</v>
      </c>
      <c r="B7" s="18">
        <f>'[2]input data'!Z6</f>
        <v>989.04</v>
      </c>
      <c r="C7" s="18">
        <f>'[2]input data'!Z7</f>
        <v>989.66</v>
      </c>
      <c r="D7" s="18">
        <f>'[2]input data'!Z8</f>
        <v>989.67</v>
      </c>
      <c r="E7" s="18">
        <f>'[2]input data'!Z9</f>
        <v>989.48</v>
      </c>
      <c r="F7" s="18">
        <f>'[2]input data'!Z10</f>
        <v>989.15</v>
      </c>
      <c r="G7" s="18">
        <f>'[2]input data'!Z11</f>
        <v>988.42</v>
      </c>
      <c r="H7" s="18">
        <f>'[2]input data'!Z12</f>
        <v>987.48</v>
      </c>
      <c r="I7" s="18">
        <f>'[2]input data'!Z13</f>
        <v>986.5</v>
      </c>
      <c r="J7" s="18">
        <f>'[2]input data'!Z14</f>
        <v>985.9</v>
      </c>
      <c r="K7" s="18">
        <f>'[2]input data'!Z15</f>
        <v>986.1</v>
      </c>
      <c r="L7" s="18">
        <f>'[2]input data'!Z16</f>
        <v>986.5</v>
      </c>
      <c r="M7" s="18">
        <f>'[2]input data'!Z17</f>
        <v>987.2</v>
      </c>
      <c r="N7" s="18">
        <f>'[2]input data'!Z18</f>
        <v>987.9</v>
      </c>
      <c r="O7" s="19">
        <f>MAX(B7:N7)</f>
        <v>989.67</v>
      </c>
      <c r="P7" s="20">
        <f>MIN(B7:N7)</f>
        <v>985.9</v>
      </c>
      <c r="Q7" s="21">
        <f>AVERAGE(B7:N7)</f>
        <v>987.92307692307691</v>
      </c>
    </row>
    <row r="8" spans="1:26" ht="18.95" customHeight="1" x14ac:dyDescent="0.2">
      <c r="A8" s="22">
        <v>2</v>
      </c>
      <c r="B8" s="18">
        <f>'[2]input data'!Z42</f>
        <v>989.6</v>
      </c>
      <c r="C8" s="18">
        <f>'[2]input data'!Z43</f>
        <v>990.1</v>
      </c>
      <c r="D8" s="18">
        <f>'[2]input data'!Z44</f>
        <v>990.1</v>
      </c>
      <c r="E8" s="18">
        <f>'[2]input data'!Z45</f>
        <v>989.9</v>
      </c>
      <c r="F8" s="18">
        <f>'[2]input data'!Z46</f>
        <v>989.5</v>
      </c>
      <c r="G8" s="18">
        <f>'[2]input data'!Z47</f>
        <v>988.6</v>
      </c>
      <c r="H8" s="18">
        <f>'[2]input data'!Z48</f>
        <v>987.7</v>
      </c>
      <c r="I8" s="18">
        <f>'[2]input data'!Z49</f>
        <v>988.1</v>
      </c>
      <c r="J8" s="18">
        <f>'[2]input data'!Z50</f>
        <v>987.8</v>
      </c>
      <c r="K8" s="18">
        <f>'[2]input data'!Z51</f>
        <v>987.8</v>
      </c>
      <c r="L8" s="18">
        <f>'[2]input data'!Z52</f>
        <v>988.3</v>
      </c>
      <c r="M8" s="18">
        <f>'[2]input data'!Z53</f>
        <v>988.8</v>
      </c>
      <c r="N8" s="18">
        <f>'[2]input data'!Z54</f>
        <v>989.4</v>
      </c>
      <c r="O8" s="19">
        <f t="shared" ref="O8:O34" si="0">MAX(B8:N8)</f>
        <v>990.1</v>
      </c>
      <c r="P8" s="20">
        <f t="shared" ref="P8:P34" si="1">MIN(B8:N8)</f>
        <v>987.7</v>
      </c>
      <c r="Q8" s="21">
        <f t="shared" ref="Q8:Q34" si="2">AVERAGE(B8:N8)</f>
        <v>988.89999999999986</v>
      </c>
    </row>
    <row r="9" spans="1:26" ht="18.95" customHeight="1" x14ac:dyDescent="0.2">
      <c r="A9" s="22">
        <v>3</v>
      </c>
      <c r="B9" s="18">
        <f>'[2]input data'!Z78</f>
        <v>989.7</v>
      </c>
      <c r="C9" s="18">
        <f>'[2]input data'!Z79</f>
        <v>989.7</v>
      </c>
      <c r="D9" s="18">
        <f>'[2]input data'!Z80</f>
        <v>989.7</v>
      </c>
      <c r="E9" s="18">
        <f>'[2]input data'!Z81</f>
        <v>989.3</v>
      </c>
      <c r="F9" s="18">
        <f>'[2]input data'!Z82</f>
        <v>988.7</v>
      </c>
      <c r="G9" s="18">
        <f>'[2]input data'!Z83</f>
        <v>988.1</v>
      </c>
      <c r="H9" s="18">
        <f>'[2]input data'!Z84</f>
        <v>987.5</v>
      </c>
      <c r="I9" s="18">
        <f>'[2]input data'!Z85</f>
        <v>988</v>
      </c>
      <c r="J9" s="18">
        <f>'[2]input data'!Z86</f>
        <v>988.3</v>
      </c>
      <c r="K9" s="18">
        <f>'[2]input data'!Z87</f>
        <v>987.2</v>
      </c>
      <c r="L9" s="18">
        <f>'[2]input data'!Z88</f>
        <v>987.7</v>
      </c>
      <c r="M9" s="18">
        <f>'[2]input data'!Z89</f>
        <v>988.1</v>
      </c>
      <c r="N9" s="18">
        <f>'[2]input data'!Z90</f>
        <v>988.7</v>
      </c>
      <c r="O9" s="19">
        <f t="shared" si="0"/>
        <v>989.7</v>
      </c>
      <c r="P9" s="20">
        <f t="shared" si="1"/>
        <v>987.2</v>
      </c>
      <c r="Q9" s="21">
        <f t="shared" si="2"/>
        <v>988.51538461538485</v>
      </c>
    </row>
    <row r="10" spans="1:26" ht="18.95" customHeight="1" x14ac:dyDescent="0.2">
      <c r="A10" s="22">
        <v>4</v>
      </c>
      <c r="B10" s="18">
        <f>'[2]input data'!Z114</f>
        <v>989</v>
      </c>
      <c r="C10" s="18">
        <f>'[2]input data'!Z115</f>
        <v>989.2</v>
      </c>
      <c r="D10" s="18">
        <f>'[2]input data'!Z117</f>
        <v>988.5</v>
      </c>
      <c r="E10" s="18">
        <f>'[2]input data'!Z118</f>
        <v>987.6</v>
      </c>
      <c r="F10" s="18">
        <f>'[2]input data'!Z119</f>
        <v>987.4</v>
      </c>
      <c r="G10" s="18">
        <f>'[2]input data'!Z119</f>
        <v>987.4</v>
      </c>
      <c r="H10" s="18">
        <f>'[2]input data'!Z120</f>
        <v>986.2</v>
      </c>
      <c r="I10" s="18">
        <f>'[2]input data'!Z121</f>
        <v>985.5</v>
      </c>
      <c r="J10" s="18">
        <f>'[2]input data'!Z122</f>
        <v>985.2</v>
      </c>
      <c r="K10" s="18">
        <f>'[2]input data'!Z123</f>
        <v>985.4</v>
      </c>
      <c r="L10" s="18">
        <f>'[2]input data'!Z124</f>
        <v>986.5</v>
      </c>
      <c r="M10" s="18">
        <f>'[2]input data'!Z125</f>
        <v>987</v>
      </c>
      <c r="N10" s="18">
        <f>'[2]input data'!Z126</f>
        <v>987.8</v>
      </c>
      <c r="O10" s="19">
        <f t="shared" si="0"/>
        <v>989.2</v>
      </c>
      <c r="P10" s="20">
        <f t="shared" si="1"/>
        <v>985.2</v>
      </c>
      <c r="Q10" s="21">
        <f t="shared" si="2"/>
        <v>987.13076923076915</v>
      </c>
    </row>
    <row r="11" spans="1:26" ht="18.95" customHeight="1" x14ac:dyDescent="0.2">
      <c r="A11" s="22">
        <v>5</v>
      </c>
      <c r="B11" s="18">
        <f>'[2]input data'!Z150</f>
        <v>988.8</v>
      </c>
      <c r="C11" s="18">
        <f>'[2]input data'!Z151</f>
        <v>989.1</v>
      </c>
      <c r="D11" s="18">
        <f>'[2]input data'!Z152</f>
        <v>989.8</v>
      </c>
      <c r="E11" s="18">
        <f>'[2]input data'!Z153</f>
        <v>989.8</v>
      </c>
      <c r="F11" s="18">
        <f>'[2]input data'!Z154</f>
        <v>989.5</v>
      </c>
      <c r="G11" s="18">
        <f>'[2]input data'!Z155</f>
        <v>988.3</v>
      </c>
      <c r="H11" s="18">
        <f>'[2]input data'!Z156</f>
        <v>988.3</v>
      </c>
      <c r="I11" s="18">
        <f>'[2]input data'!Z157</f>
        <v>986.85</v>
      </c>
      <c r="J11" s="18">
        <f>'[2]input data'!Z158</f>
        <v>986.41</v>
      </c>
      <c r="K11" s="18">
        <f>'[2]input data'!Z159</f>
        <v>986.4</v>
      </c>
      <c r="L11" s="18">
        <f>'[2]input data'!Z160</f>
        <v>986.61</v>
      </c>
      <c r="M11" s="18">
        <f>'[2]input data'!Z161</f>
        <v>987.21</v>
      </c>
      <c r="N11" s="18">
        <f>'[2]input data'!Z162</f>
        <v>987.9</v>
      </c>
      <c r="O11" s="19">
        <f t="shared" si="0"/>
        <v>989.8</v>
      </c>
      <c r="P11" s="20">
        <f t="shared" si="1"/>
        <v>986.4</v>
      </c>
      <c r="Q11" s="21">
        <f t="shared" si="2"/>
        <v>988.07538461538468</v>
      </c>
    </row>
    <row r="12" spans="1:26" ht="18.95" customHeight="1" x14ac:dyDescent="0.2">
      <c r="A12" s="22">
        <v>6</v>
      </c>
      <c r="B12" s="18">
        <f>'[2]input data'!Z186</f>
        <v>987.99</v>
      </c>
      <c r="C12" s="18">
        <f>'[2]input data'!Z187</f>
        <v>988.3</v>
      </c>
      <c r="D12" s="18">
        <f>'[2]input data'!Z188</f>
        <v>988.32</v>
      </c>
      <c r="E12" s="18">
        <f>'[2]input data'!Z189</f>
        <v>987.9</v>
      </c>
      <c r="F12" s="18">
        <f>'[2]input data'!Z190</f>
        <v>987.51</v>
      </c>
      <c r="G12" s="18">
        <f>'[2]input data'!Z191</f>
        <v>986.38</v>
      </c>
      <c r="H12" s="18">
        <f>'[2]input data'!Z192</f>
        <v>986.26</v>
      </c>
      <c r="I12" s="18">
        <f>'[2]input data'!Z193</f>
        <v>986.57</v>
      </c>
      <c r="J12" s="18">
        <f>'[2]input data'!Z194</f>
        <v>985.87</v>
      </c>
      <c r="K12" s="18">
        <f>'[2]input data'!Z195</f>
        <v>985.77</v>
      </c>
      <c r="L12" s="18">
        <f>'[2]input data'!Z196</f>
        <v>986.1</v>
      </c>
      <c r="M12" s="18">
        <f>'[2]input data'!Z197</f>
        <v>987.18</v>
      </c>
      <c r="N12" s="18">
        <f>'[2]input data'!Z198</f>
        <v>987.8</v>
      </c>
      <c r="O12" s="19">
        <f t="shared" si="0"/>
        <v>988.32</v>
      </c>
      <c r="P12" s="20">
        <f t="shared" si="1"/>
        <v>985.77</v>
      </c>
      <c r="Q12" s="21">
        <f t="shared" si="2"/>
        <v>987.073076923077</v>
      </c>
    </row>
    <row r="13" spans="1:26" ht="18.95" customHeight="1" x14ac:dyDescent="0.2">
      <c r="A13" s="22">
        <v>7</v>
      </c>
      <c r="B13" s="18">
        <f>'[2]input data'!Z222</f>
        <v>988.11</v>
      </c>
      <c r="C13" s="18">
        <f>'[2]input data'!Z223</f>
        <v>988.22</v>
      </c>
      <c r="D13" s="18">
        <f>'[2]input data'!Z224</f>
        <v>988.49</v>
      </c>
      <c r="E13" s="18">
        <f>'[2]input data'!Z225</f>
        <v>988.09</v>
      </c>
      <c r="F13" s="18">
        <f>'[2]input data'!Z226</f>
        <v>987.7</v>
      </c>
      <c r="G13" s="18">
        <f>'[2]input data'!Z227</f>
        <v>987.33</v>
      </c>
      <c r="H13" s="18">
        <f>'[2]input data'!Z228</f>
        <v>986.8</v>
      </c>
      <c r="I13" s="18">
        <f>'[2]input data'!Z229</f>
        <v>986.5</v>
      </c>
      <c r="J13" s="18">
        <f>'[2]input data'!Z230</f>
        <v>985.9</v>
      </c>
      <c r="K13" s="18">
        <f>'[2]input data'!Z231</f>
        <v>985.9</v>
      </c>
      <c r="L13" s="18">
        <f>'[2]input data'!Z232</f>
        <v>986.1</v>
      </c>
      <c r="M13" s="18">
        <f>'[2]input data'!Z233</f>
        <v>986.4</v>
      </c>
      <c r="N13" s="18">
        <f>'[2]input data'!Z234</f>
        <v>987.4</v>
      </c>
      <c r="O13" s="19">
        <f>MAX(B13:N13)</f>
        <v>988.49</v>
      </c>
      <c r="P13" s="20">
        <f>MIN(B13:N13)</f>
        <v>985.9</v>
      </c>
      <c r="Q13" s="21">
        <f>AVERAGE(B13:N13)</f>
        <v>987.14923076923071</v>
      </c>
    </row>
    <row r="14" spans="1:26" ht="18.95" customHeight="1" x14ac:dyDescent="0.2">
      <c r="A14" s="22">
        <v>8</v>
      </c>
      <c r="B14" s="18">
        <f>'[2]input data'!Z258</f>
        <v>989.5</v>
      </c>
      <c r="C14" s="18">
        <f>'[2]input data'!Z259</f>
        <v>990.1</v>
      </c>
      <c r="D14" s="18">
        <f>'[2]input data'!Z260</f>
        <v>990.2</v>
      </c>
      <c r="E14" s="18">
        <f>'[2]input data'!Z261</f>
        <v>989.6</v>
      </c>
      <c r="F14" s="18">
        <f>'[2]input data'!Z262</f>
        <v>989.2</v>
      </c>
      <c r="G14" s="18">
        <f>'[2]input data'!Z263</f>
        <v>988.5</v>
      </c>
      <c r="H14" s="18">
        <f>'[2]input data'!Z264</f>
        <v>987.5</v>
      </c>
      <c r="I14" s="18">
        <f>'[2]input data'!Z265</f>
        <v>987.3</v>
      </c>
      <c r="J14" s="18">
        <f>'[2]input data'!Z266</f>
        <v>987</v>
      </c>
      <c r="K14" s="18">
        <f>'[2]input data'!Z267</f>
        <v>987.2</v>
      </c>
      <c r="L14" s="18">
        <f>'[2]input data'!Z268</f>
        <v>987.5</v>
      </c>
      <c r="M14" s="18">
        <f>'[2]input data'!Z269</f>
        <v>987.8</v>
      </c>
      <c r="N14" s="18">
        <f>'[2]input data'!Z270</f>
        <v>988.5</v>
      </c>
      <c r="O14" s="19">
        <f t="shared" si="0"/>
        <v>990.2</v>
      </c>
      <c r="P14" s="20">
        <f t="shared" si="1"/>
        <v>987</v>
      </c>
      <c r="Q14" s="21">
        <f t="shared" si="2"/>
        <v>988.45384615384626</v>
      </c>
    </row>
    <row r="15" spans="1:26" ht="18.95" customHeight="1" x14ac:dyDescent="0.2">
      <c r="A15" s="22">
        <v>9</v>
      </c>
      <c r="B15" s="18">
        <f>'[2]input data'!Z294</f>
        <v>989.4</v>
      </c>
      <c r="C15" s="18">
        <f>'[2]input data'!Z295</f>
        <v>990.1</v>
      </c>
      <c r="D15" s="18">
        <f>'[2]input data'!Z296</f>
        <v>990</v>
      </c>
      <c r="E15" s="18">
        <f>'[2]input data'!Z297</f>
        <v>989.8</v>
      </c>
      <c r="F15" s="18">
        <f>'[2]input data'!Z298</f>
        <v>988.7</v>
      </c>
      <c r="G15" s="18">
        <f>'[2]input data'!Z299</f>
        <v>987.9</v>
      </c>
      <c r="H15" s="18">
        <f>'[2]input data'!Z300</f>
        <v>987.4</v>
      </c>
      <c r="I15" s="18">
        <f>'[2]input data'!Z301</f>
        <v>987.1</v>
      </c>
      <c r="J15" s="18">
        <f>'[2]input data'!Z302</f>
        <v>987.1</v>
      </c>
      <c r="K15" s="18">
        <f>'[2]input data'!Z303</f>
        <v>987.5</v>
      </c>
      <c r="L15" s="18">
        <f>'[2]input data'!Z304</f>
        <v>988.3</v>
      </c>
      <c r="M15" s="18">
        <f>'[2]input data'!Z305</f>
        <v>989</v>
      </c>
      <c r="N15" s="18">
        <f>'[2]input data'!Z306</f>
        <v>989.4</v>
      </c>
      <c r="O15" s="19">
        <f t="shared" si="0"/>
        <v>990.1</v>
      </c>
      <c r="P15" s="20">
        <f t="shared" si="1"/>
        <v>987.1</v>
      </c>
      <c r="Q15" s="21">
        <f t="shared" si="2"/>
        <v>988.5923076923076</v>
      </c>
    </row>
    <row r="16" spans="1:26" ht="18.95" customHeight="1" x14ac:dyDescent="0.2">
      <c r="A16" s="22">
        <v>10</v>
      </c>
      <c r="B16" s="18">
        <f>'[2]input data'!Z330</f>
        <v>987.4</v>
      </c>
      <c r="C16" s="18">
        <f>'[2]input data'!Z331</f>
        <v>988.1</v>
      </c>
      <c r="D16" s="18">
        <f>'[2]input data'!Z332</f>
        <v>988.8</v>
      </c>
      <c r="E16" s="18">
        <f>'[2]input data'!Z333</f>
        <v>988.5</v>
      </c>
      <c r="F16" s="18">
        <f>'[2]input data'!Z334</f>
        <v>987.5</v>
      </c>
      <c r="G16" s="18">
        <f>'[2]input data'!Z335</f>
        <v>986.8</v>
      </c>
      <c r="H16" s="18">
        <f>'[2]input data'!Z336</f>
        <v>985.9</v>
      </c>
      <c r="I16" s="18">
        <f>'[2]input data'!Z337</f>
        <v>985.5</v>
      </c>
      <c r="J16" s="18">
        <f>'[2]input data'!Z338</f>
        <v>984.9</v>
      </c>
      <c r="K16" s="18">
        <f>'[2]input data'!Z339</f>
        <v>984.9</v>
      </c>
      <c r="L16" s="18">
        <f>'[2]input data'!Z340</f>
        <v>985.4</v>
      </c>
      <c r="M16" s="18">
        <f>'[2]input data'!Z341</f>
        <v>986.4</v>
      </c>
      <c r="N16" s="18">
        <f>'[2]input data'!Z342</f>
        <v>988</v>
      </c>
      <c r="O16" s="19">
        <f t="shared" si="0"/>
        <v>988.8</v>
      </c>
      <c r="P16" s="20">
        <f t="shared" si="1"/>
        <v>984.9</v>
      </c>
      <c r="Q16" s="21">
        <f t="shared" si="2"/>
        <v>986.77692307692291</v>
      </c>
    </row>
    <row r="17" spans="1:18" ht="18.95" customHeight="1" x14ac:dyDescent="0.2">
      <c r="A17" s="22">
        <v>11</v>
      </c>
      <c r="B17" s="18">
        <f>'[2]input data'!Z366</f>
        <v>988.2</v>
      </c>
      <c r="C17" s="18">
        <f>'[2]input data'!Z367</f>
        <v>988.6</v>
      </c>
      <c r="D17" s="18">
        <f>'[2]input data'!Z368</f>
        <v>988.5</v>
      </c>
      <c r="E17" s="18">
        <f>'[2]input data'!Z369</f>
        <v>988.3</v>
      </c>
      <c r="F17" s="18">
        <f>'[2]input data'!Z370</f>
        <v>987.8</v>
      </c>
      <c r="G17" s="18">
        <f>'[2]input data'!Z371</f>
        <v>987.2</v>
      </c>
      <c r="H17" s="18">
        <f>'[2]input data'!Z372</f>
        <v>986</v>
      </c>
      <c r="I17" s="18">
        <f>'[2]input data'!Z373</f>
        <v>985.33</v>
      </c>
      <c r="J17" s="18">
        <f>'[2]input data'!Z374</f>
        <v>985.02</v>
      </c>
      <c r="K17" s="18">
        <f>'[2]input data'!Z375</f>
        <v>986.36</v>
      </c>
      <c r="L17" s="18">
        <f>'[2]input data'!Z376</f>
        <v>986.15</v>
      </c>
      <c r="M17" s="18">
        <f>'[2]input data'!Z377</f>
        <v>986.91</v>
      </c>
      <c r="N17" s="18">
        <f>'[2]input data'!Z378</f>
        <v>987.6</v>
      </c>
      <c r="O17" s="19">
        <f t="shared" si="0"/>
        <v>988.6</v>
      </c>
      <c r="P17" s="20">
        <f t="shared" si="1"/>
        <v>985.02</v>
      </c>
      <c r="Q17" s="21">
        <f t="shared" si="2"/>
        <v>987.07461538461553</v>
      </c>
    </row>
    <row r="18" spans="1:18" ht="18.95" customHeight="1" x14ac:dyDescent="0.2">
      <c r="A18" s="22">
        <v>12</v>
      </c>
      <c r="B18" s="18">
        <f>'[2]input data'!Z402</f>
        <v>987.37</v>
      </c>
      <c r="C18" s="18">
        <f>'[2]input data'!Z403</f>
        <v>987.96</v>
      </c>
      <c r="D18" s="18">
        <f>'[2]input data'!Z404</f>
        <v>987.72</v>
      </c>
      <c r="E18" s="18">
        <f>'[2]input data'!Z405</f>
        <v>987.14</v>
      </c>
      <c r="F18" s="18">
        <f>'[2]input data'!Z406</f>
        <v>986.56</v>
      </c>
      <c r="G18" s="18">
        <f>'[2]input data'!Z407</f>
        <v>985.79</v>
      </c>
      <c r="H18" s="18">
        <f>'[2]input data'!Z408</f>
        <v>985.2</v>
      </c>
      <c r="I18" s="18">
        <f>'[2]input data'!Z409</f>
        <v>984.08</v>
      </c>
      <c r="J18" s="18">
        <f>'[2]input data'!Z410</f>
        <v>983.62</v>
      </c>
      <c r="K18" s="18">
        <f>'[2]input data'!Z411</f>
        <v>983.41</v>
      </c>
      <c r="L18" s="18">
        <f>'[2]input data'!Z412</f>
        <v>984.61</v>
      </c>
      <c r="M18" s="18">
        <f>'[2]input data'!Z413</f>
        <v>985.82</v>
      </c>
      <c r="N18" s="18">
        <f>'[2]input data'!Z414</f>
        <v>986.55</v>
      </c>
      <c r="O18" s="19">
        <f t="shared" si="0"/>
        <v>987.96</v>
      </c>
      <c r="P18" s="20">
        <f t="shared" si="1"/>
        <v>983.41</v>
      </c>
      <c r="Q18" s="21">
        <f t="shared" si="2"/>
        <v>985.83307692307687</v>
      </c>
    </row>
    <row r="19" spans="1:18" ht="18.95" customHeight="1" x14ac:dyDescent="0.2">
      <c r="A19" s="22">
        <v>13</v>
      </c>
      <c r="B19" s="18">
        <f>'[2]input data'!Z438</f>
        <v>987.12</v>
      </c>
      <c r="C19" s="18">
        <f>'[2]input data'!Z439</f>
        <v>987.55</v>
      </c>
      <c r="D19" s="18">
        <f>'[2]input data'!Z440</f>
        <v>987.61</v>
      </c>
      <c r="E19" s="18">
        <f>'[2]input data'!Z441</f>
        <v>987.86</v>
      </c>
      <c r="F19" s="18">
        <f>'[2]input data'!Z442</f>
        <v>986.84</v>
      </c>
      <c r="G19" s="18">
        <f>'[2]input data'!Z443</f>
        <v>986.38</v>
      </c>
      <c r="H19" s="18">
        <f>'[2]input data'!Z444</f>
        <v>985.39</v>
      </c>
      <c r="I19" s="18">
        <f>'[2]input data'!Z445</f>
        <v>984.6</v>
      </c>
      <c r="J19" s="18">
        <f>'[2]input data'!Z446</f>
        <v>984</v>
      </c>
      <c r="K19" s="18">
        <f>'[2]input data'!Z447</f>
        <v>984.5</v>
      </c>
      <c r="L19" s="18">
        <f>'[2]input data'!Z448</f>
        <v>985.6</v>
      </c>
      <c r="M19" s="18">
        <f>'[2]input data'!Z449</f>
        <v>986.2</v>
      </c>
      <c r="N19" s="18">
        <f>'[2]input data'!Z450</f>
        <v>987.3</v>
      </c>
      <c r="O19" s="19">
        <f t="shared" si="0"/>
        <v>987.86</v>
      </c>
      <c r="P19" s="20">
        <f t="shared" si="1"/>
        <v>984</v>
      </c>
      <c r="Q19" s="21">
        <f t="shared" si="2"/>
        <v>986.2269230769233</v>
      </c>
    </row>
    <row r="20" spans="1:18" ht="18.95" customHeight="1" x14ac:dyDescent="0.2">
      <c r="A20" s="22">
        <v>14</v>
      </c>
      <c r="B20" s="18">
        <f>'[2]input data'!Z474</f>
        <v>989.6</v>
      </c>
      <c r="C20" s="18">
        <f>'[2]input data'!Z475</f>
        <v>989.7</v>
      </c>
      <c r="D20" s="18">
        <f>'[2]input data'!Z476</f>
        <v>989.9</v>
      </c>
      <c r="E20" s="18">
        <f>'[2]input data'!Z477</f>
        <v>990</v>
      </c>
      <c r="F20" s="18">
        <f>'[2]input data'!Z478</f>
        <v>989.9</v>
      </c>
      <c r="G20" s="18">
        <f>'[2]input data'!Z479</f>
        <v>988.9</v>
      </c>
      <c r="H20" s="18">
        <f>'[2]input data'!Z480</f>
        <v>987.8</v>
      </c>
      <c r="I20" s="18">
        <f>'[2]input data'!Z481</f>
        <v>987</v>
      </c>
      <c r="J20" s="18">
        <f>'[2]input data'!Z482</f>
        <v>986.9</v>
      </c>
      <c r="K20" s="18">
        <f>'[2]input data'!Z483</f>
        <v>986.9</v>
      </c>
      <c r="L20" s="18">
        <f>'[2]input data'!Z484</f>
        <v>987.7</v>
      </c>
      <c r="M20" s="18">
        <f>'[2]input data'!Z485</f>
        <v>988.2</v>
      </c>
      <c r="N20" s="18">
        <f>'[2]input data'!Z486</f>
        <v>988.9</v>
      </c>
      <c r="O20" s="19">
        <f t="shared" si="0"/>
        <v>990</v>
      </c>
      <c r="P20" s="20">
        <f t="shared" si="1"/>
        <v>986.9</v>
      </c>
      <c r="Q20" s="21">
        <f t="shared" si="2"/>
        <v>988.5692307692309</v>
      </c>
      <c r="R20" s="23"/>
    </row>
    <row r="21" spans="1:18" ht="18.95" customHeight="1" x14ac:dyDescent="0.2">
      <c r="A21" s="22">
        <v>15</v>
      </c>
      <c r="B21" s="18">
        <f>'[2]input data'!Z510</f>
        <v>990.7</v>
      </c>
      <c r="C21" s="18">
        <f>'[2]input data'!Z511</f>
        <v>991.5</v>
      </c>
      <c r="D21" s="18">
        <f>'[2]input data'!Z512</f>
        <v>991.8</v>
      </c>
      <c r="E21" s="18">
        <f>'[2]input data'!Z513</f>
        <v>991.3</v>
      </c>
      <c r="F21" s="18">
        <f>'[2]input data'!Z514</f>
        <v>990.9</v>
      </c>
      <c r="G21" s="18">
        <f>'[2]input data'!Z515</f>
        <v>990.3</v>
      </c>
      <c r="H21" s="18">
        <f>'[2]input data'!Z516</f>
        <v>988.9</v>
      </c>
      <c r="I21" s="18">
        <f>'[2]input data'!Z517</f>
        <v>988.2</v>
      </c>
      <c r="J21" s="18">
        <f>'[2]input data'!Z518</f>
        <v>987.1</v>
      </c>
      <c r="K21" s="18">
        <f>'[2]input data'!Z519</f>
        <v>986.8</v>
      </c>
      <c r="L21" s="18">
        <f>'[2]input data'!Z520</f>
        <v>986.7</v>
      </c>
      <c r="M21" s="18">
        <f>'[2]input data'!Z521</f>
        <v>987.7</v>
      </c>
      <c r="N21" s="18">
        <f>'[2]input data'!Z522</f>
        <v>988.5</v>
      </c>
      <c r="O21" s="19">
        <f t="shared" si="0"/>
        <v>991.8</v>
      </c>
      <c r="P21" s="20">
        <f t="shared" si="1"/>
        <v>986.7</v>
      </c>
      <c r="Q21" s="21">
        <f t="shared" si="2"/>
        <v>989.26153846153841</v>
      </c>
    </row>
    <row r="22" spans="1:18" ht="18.95" customHeight="1" x14ac:dyDescent="0.2">
      <c r="A22" s="22">
        <v>16</v>
      </c>
      <c r="B22" s="18">
        <f>'[2]input data'!Z546</f>
        <v>988.26</v>
      </c>
      <c r="C22" s="18">
        <f>'[2]input data'!Z547</f>
        <v>988.64</v>
      </c>
      <c r="D22" s="18">
        <f>'[2]input data'!Z548</f>
        <v>988.56</v>
      </c>
      <c r="E22" s="18">
        <f>'[2]input data'!Z549</f>
        <v>987.63</v>
      </c>
      <c r="F22" s="18">
        <f>'[2]input data'!Z550</f>
        <v>987.19</v>
      </c>
      <c r="G22" s="18">
        <f>'[2]input data'!Z551</f>
        <v>986.14</v>
      </c>
      <c r="H22" s="18">
        <f>'[2]input data'!Z552</f>
        <v>985.15</v>
      </c>
      <c r="I22" s="18">
        <f>'[2]input data'!Z553</f>
        <v>984.6</v>
      </c>
      <c r="J22" s="18">
        <f>'[2]input data'!Z554</f>
        <v>984.1</v>
      </c>
      <c r="K22" s="18">
        <f>'[2]input data'!Z555</f>
        <v>984.3</v>
      </c>
      <c r="L22" s="18">
        <f>'[2]input data'!Z556</f>
        <v>984.4</v>
      </c>
      <c r="M22" s="18">
        <f>'[2]input data'!Z557</f>
        <v>985.8</v>
      </c>
      <c r="N22" s="18">
        <f>'[2]input data'!Z558</f>
        <v>986.6</v>
      </c>
      <c r="O22" s="19">
        <f t="shared" si="0"/>
        <v>988.64</v>
      </c>
      <c r="P22" s="20">
        <f t="shared" si="1"/>
        <v>984.1</v>
      </c>
      <c r="Q22" s="21">
        <f t="shared" si="2"/>
        <v>986.25923076923073</v>
      </c>
    </row>
    <row r="23" spans="1:18" ht="18.95" customHeight="1" x14ac:dyDescent="0.2">
      <c r="A23" s="22">
        <v>17</v>
      </c>
      <c r="B23" s="18">
        <f>'[2]input data'!Z582</f>
        <v>987.4</v>
      </c>
      <c r="C23" s="18">
        <f>'[2]input data'!Z583</f>
        <v>987.8</v>
      </c>
      <c r="D23" s="18">
        <f>'[2]input data'!Z584</f>
        <v>987.4</v>
      </c>
      <c r="E23" s="18">
        <f>'[2]input data'!Z585</f>
        <v>987</v>
      </c>
      <c r="F23" s="18">
        <f>'[2]input data'!Z586</f>
        <v>986.4</v>
      </c>
      <c r="G23" s="18">
        <f>'[2]input data'!Z587</f>
        <v>985.6</v>
      </c>
      <c r="H23" s="18">
        <f>'[2]input data'!Z588</f>
        <v>984.7</v>
      </c>
      <c r="I23" s="18">
        <f>'[2]input data'!Z589</f>
        <v>983.61</v>
      </c>
      <c r="J23" s="18">
        <f>'[2]input data'!Z590</f>
        <v>983.62</v>
      </c>
      <c r="K23" s="18">
        <f>'[2]input data'!Z591</f>
        <v>984.82</v>
      </c>
      <c r="L23" s="18">
        <f>'[2]input data'!Z592</f>
        <v>986.3</v>
      </c>
      <c r="M23" s="18">
        <f>'[2]input data'!Z593</f>
        <v>987.01</v>
      </c>
      <c r="N23" s="18">
        <f>'[2]input data'!Z594</f>
        <v>987.7</v>
      </c>
      <c r="O23" s="19">
        <f t="shared" si="0"/>
        <v>987.8</v>
      </c>
      <c r="P23" s="20">
        <f t="shared" si="1"/>
        <v>983.61</v>
      </c>
      <c r="Q23" s="21">
        <f t="shared" si="2"/>
        <v>986.10461538461539</v>
      </c>
    </row>
    <row r="24" spans="1:18" ht="18.95" customHeight="1" x14ac:dyDescent="0.2">
      <c r="A24" s="22">
        <v>18</v>
      </c>
      <c r="B24" s="18">
        <f>'[2]input data'!Z618</f>
        <v>989.18</v>
      </c>
      <c r="C24" s="18">
        <f>'[2]input data'!Z619</f>
        <v>989.6</v>
      </c>
      <c r="D24" s="18">
        <f>'[2]input data'!Z620</f>
        <v>989.68</v>
      </c>
      <c r="E24" s="18">
        <f>'[2]input data'!Z621</f>
        <v>989.4</v>
      </c>
      <c r="F24" s="18">
        <f>'[2]input data'!Z622</f>
        <v>989.11</v>
      </c>
      <c r="G24" s="18">
        <f>'[2]input data'!Z623</f>
        <v>988.52</v>
      </c>
      <c r="H24" s="18">
        <f>'[2]input data'!Z624</f>
        <v>987.86</v>
      </c>
      <c r="I24" s="18">
        <f>'[2]input data'!Z625</f>
        <v>987.7</v>
      </c>
      <c r="J24" s="18">
        <f>'[2]input data'!Z626</f>
        <v>987.2</v>
      </c>
      <c r="K24" s="18">
        <f>'[2]input data'!Z627</f>
        <v>987.3</v>
      </c>
      <c r="L24" s="18">
        <f>'[2]input data'!Z628</f>
        <v>988.2</v>
      </c>
      <c r="M24" s="18">
        <f>'[2]input data'!Z629</f>
        <v>988.6</v>
      </c>
      <c r="N24" s="18">
        <f>'[2]input data'!Z630</f>
        <v>989.2</v>
      </c>
      <c r="O24" s="19">
        <f t="shared" si="0"/>
        <v>989.68</v>
      </c>
      <c r="P24" s="20">
        <f t="shared" si="1"/>
        <v>987.2</v>
      </c>
      <c r="Q24" s="21">
        <f t="shared" si="2"/>
        <v>988.58076923076931</v>
      </c>
    </row>
    <row r="25" spans="1:18" ht="18.95" customHeight="1" x14ac:dyDescent="0.2">
      <c r="A25" s="22">
        <v>19</v>
      </c>
      <c r="B25" s="18">
        <f>'[2]input data'!Z654</f>
        <v>990.2</v>
      </c>
      <c r="C25" s="18">
        <f>'[2]input data'!Z655</f>
        <v>990.4</v>
      </c>
      <c r="D25" s="18">
        <f>'[2]input data'!Z656</f>
        <v>990.4</v>
      </c>
      <c r="E25" s="18">
        <f>'[2]input data'!Z657</f>
        <v>990.1</v>
      </c>
      <c r="F25" s="18">
        <f>'[2]input data'!Z658</f>
        <v>989.9</v>
      </c>
      <c r="G25" s="18">
        <f>'[2]input data'!Z659</f>
        <v>988.9</v>
      </c>
      <c r="H25" s="18">
        <f>'[2]input data'!Z660</f>
        <v>988.6</v>
      </c>
      <c r="I25" s="18">
        <f>'[2]input data'!Z661</f>
        <v>987.82</v>
      </c>
      <c r="J25" s="18">
        <f>'[2]input data'!Z662</f>
        <v>987.63</v>
      </c>
      <c r="K25" s="18">
        <f>'[2]input data'!Z663</f>
        <v>987.4</v>
      </c>
      <c r="L25" s="18">
        <f>'[2]input data'!Z664</f>
        <v>987.74</v>
      </c>
      <c r="M25" s="18">
        <f>'[2]input data'!Z665</f>
        <v>988.57</v>
      </c>
      <c r="N25" s="18">
        <f>'[2]input data'!Z666</f>
        <v>989.08</v>
      </c>
      <c r="O25" s="19">
        <f t="shared" si="0"/>
        <v>990.4</v>
      </c>
      <c r="P25" s="20">
        <f t="shared" si="1"/>
        <v>987.4</v>
      </c>
      <c r="Q25" s="21">
        <f t="shared" si="2"/>
        <v>988.97999999999979</v>
      </c>
    </row>
    <row r="26" spans="1:18" ht="18.95" customHeight="1" x14ac:dyDescent="0.2">
      <c r="A26" s="22">
        <v>20</v>
      </c>
      <c r="B26" s="18">
        <f>'[2]input data'!Z690</f>
        <v>990.6</v>
      </c>
      <c r="C26" s="18">
        <f>'[2]input data'!Z691</f>
        <v>990.8</v>
      </c>
      <c r="D26" s="18">
        <f>'[2]input data'!Z692</f>
        <v>991</v>
      </c>
      <c r="E26" s="18">
        <f>'[2]input data'!Z693</f>
        <v>990.6</v>
      </c>
      <c r="F26" s="18">
        <f>'[2]input data'!Z694</f>
        <v>990.1</v>
      </c>
      <c r="G26" s="18">
        <f>'[2]input data'!Z695</f>
        <v>989.2</v>
      </c>
      <c r="H26" s="18">
        <f>'[2]input data'!Z696</f>
        <v>988.3</v>
      </c>
      <c r="I26" s="18">
        <f>'[2]input data'!Z697</f>
        <v>987.6</v>
      </c>
      <c r="J26" s="18">
        <f>'[2]input data'!Z698</f>
        <v>987</v>
      </c>
      <c r="K26" s="18">
        <f>'[2]input data'!Z699</f>
        <v>987</v>
      </c>
      <c r="L26" s="18">
        <f>'[2]input data'!Z700</f>
        <v>987.6</v>
      </c>
      <c r="M26" s="18">
        <f>'[2]input data'!Z701</f>
        <v>988.5</v>
      </c>
      <c r="N26" s="18">
        <f>'[2]input data'!Z702</f>
        <v>988.8</v>
      </c>
      <c r="O26" s="19">
        <f t="shared" si="0"/>
        <v>991</v>
      </c>
      <c r="P26" s="20">
        <f t="shared" si="1"/>
        <v>987</v>
      </c>
      <c r="Q26" s="21">
        <f t="shared" si="2"/>
        <v>989.00769230769231</v>
      </c>
    </row>
    <row r="27" spans="1:18" ht="18.95" customHeight="1" x14ac:dyDescent="0.2">
      <c r="A27" s="22">
        <v>21</v>
      </c>
      <c r="B27" s="18">
        <f>'[2]input data'!Z726</f>
        <v>989.7</v>
      </c>
      <c r="C27" s="18">
        <f>'[2]input data'!Z727</f>
        <v>990.4</v>
      </c>
      <c r="D27" s="18">
        <f>'[2]input data'!Z728</f>
        <v>990.1</v>
      </c>
      <c r="E27" s="18">
        <f>'[2]input data'!Z729</f>
        <v>989.8</v>
      </c>
      <c r="F27" s="18">
        <f>'[2]input data'!Z730</f>
        <v>989.6</v>
      </c>
      <c r="G27" s="18">
        <f>'[2]input data'!Z731</f>
        <v>988.9</v>
      </c>
      <c r="H27" s="18">
        <f>'[2]input data'!Z732</f>
        <v>988.2</v>
      </c>
      <c r="I27" s="18">
        <f>'[2]input data'!Z733</f>
        <v>987.9</v>
      </c>
      <c r="J27" s="18">
        <f>'[2]input data'!Z734</f>
        <v>1007.6</v>
      </c>
      <c r="K27" s="18">
        <f>'[2]input data'!Z735</f>
        <v>987.3</v>
      </c>
      <c r="L27" s="18">
        <f>'[2]input data'!Z736</f>
        <v>987.9</v>
      </c>
      <c r="M27" s="18">
        <f>'[2]input data'!Z737</f>
        <v>988.6</v>
      </c>
      <c r="N27" s="18">
        <f>'[2]input data'!Z738</f>
        <v>989.5</v>
      </c>
      <c r="O27" s="19">
        <f t="shared" si="0"/>
        <v>1007.6</v>
      </c>
      <c r="P27" s="20">
        <f t="shared" si="1"/>
        <v>987.3</v>
      </c>
      <c r="Q27" s="21">
        <f t="shared" si="2"/>
        <v>990.42307692307679</v>
      </c>
    </row>
    <row r="28" spans="1:18" ht="18.95" customHeight="1" x14ac:dyDescent="0.2">
      <c r="A28" s="22">
        <v>22</v>
      </c>
      <c r="B28" s="18">
        <f>'[2]input data'!Z762</f>
        <v>991.8</v>
      </c>
      <c r="C28" s="18">
        <f>'[2]input data'!Z762</f>
        <v>991.8</v>
      </c>
      <c r="D28" s="18">
        <f>'[2]input data'!Z764</f>
        <v>993.1</v>
      </c>
      <c r="E28" s="18">
        <f>'[2]input data'!Z765</f>
        <v>991.8</v>
      </c>
      <c r="F28" s="18">
        <f>'[2]input data'!Z766</f>
        <v>990.4</v>
      </c>
      <c r="G28" s="18">
        <f>'[2]input data'!Z767</f>
        <v>989.9</v>
      </c>
      <c r="H28" s="18">
        <f>'[2]input data'!Z768</f>
        <v>989.5</v>
      </c>
      <c r="I28" s="18">
        <f>'[2]input data'!Z769</f>
        <v>988.9</v>
      </c>
      <c r="J28" s="18">
        <f>'[2]input data'!Z770</f>
        <v>988.7</v>
      </c>
      <c r="K28" s="18">
        <f>'[2]input data'!Z771</f>
        <v>988.6</v>
      </c>
      <c r="L28" s="18">
        <f>'[2]input data'!Z772</f>
        <v>988.9</v>
      </c>
      <c r="M28" s="18">
        <f>'[2]input data'!Z773</f>
        <v>989.6</v>
      </c>
      <c r="N28" s="18">
        <f>'[2]input data'!Z774</f>
        <v>990.4</v>
      </c>
      <c r="O28" s="19">
        <f t="shared" si="0"/>
        <v>993.1</v>
      </c>
      <c r="P28" s="20">
        <f t="shared" si="1"/>
        <v>988.6</v>
      </c>
      <c r="Q28" s="21">
        <f t="shared" si="2"/>
        <v>990.26153846153841</v>
      </c>
    </row>
    <row r="29" spans="1:18" ht="18.95" customHeight="1" x14ac:dyDescent="0.2">
      <c r="A29" s="22">
        <v>23</v>
      </c>
      <c r="B29" s="18">
        <f>'[2]input data'!Z798</f>
        <v>990.72</v>
      </c>
      <c r="C29" s="18">
        <f>'[2]input data'!Z799</f>
        <v>990.79</v>
      </c>
      <c r="D29" s="18">
        <f>'[2]input data'!Z800</f>
        <v>991.06</v>
      </c>
      <c r="E29" s="18">
        <f>'[2]input data'!Z801</f>
        <v>991</v>
      </c>
      <c r="F29" s="18">
        <f>'[2]input data'!Z802</f>
        <v>990.23</v>
      </c>
      <c r="G29" s="18">
        <f>'[2]input data'!Z803</f>
        <v>989.35</v>
      </c>
      <c r="H29" s="18">
        <f>'[2]input data'!Z804</f>
        <v>988.88</v>
      </c>
      <c r="I29" s="18">
        <f>'[2]input data'!Z805</f>
        <v>988.33</v>
      </c>
      <c r="J29" s="18">
        <f>'[2]input data'!Z806</f>
        <v>988.37</v>
      </c>
      <c r="K29" s="18">
        <f>'[2]input data'!Z807</f>
        <v>988.61</v>
      </c>
      <c r="L29" s="18">
        <f>'[2]input data'!Z808</f>
        <v>989.05</v>
      </c>
      <c r="M29" s="18">
        <f>'[2]input data'!Z809</f>
        <v>989.35</v>
      </c>
      <c r="N29" s="18">
        <f>'[2]input data'!Z810</f>
        <v>990.1</v>
      </c>
      <c r="O29" s="19">
        <f t="shared" si="0"/>
        <v>991.06</v>
      </c>
      <c r="P29" s="20">
        <f t="shared" si="1"/>
        <v>988.33</v>
      </c>
      <c r="Q29" s="21">
        <f t="shared" si="2"/>
        <v>989.68000000000006</v>
      </c>
    </row>
    <row r="30" spans="1:18" ht="18.95" customHeight="1" x14ac:dyDescent="0.2">
      <c r="A30" s="22">
        <v>24</v>
      </c>
      <c r="B30" s="18">
        <f>'[2]input data'!Z834</f>
        <v>990.91</v>
      </c>
      <c r="C30" s="18">
        <f>'[2]input data'!Z835</f>
        <v>997.83</v>
      </c>
      <c r="D30" s="18">
        <f>'[2]input data'!Z836</f>
        <v>991.97</v>
      </c>
      <c r="E30" s="18">
        <f>'[2]input data'!Z837</f>
        <v>991.69</v>
      </c>
      <c r="F30" s="18">
        <f>'[2]input data'!Z838</f>
        <v>991.41</v>
      </c>
      <c r="G30" s="18">
        <f>'[2]input data'!Z839</f>
        <v>990.26</v>
      </c>
      <c r="H30" s="18">
        <f>'[2]input data'!Z840</f>
        <v>989.87</v>
      </c>
      <c r="I30" s="18">
        <f>'[2]input data'!Z841</f>
        <v>988.6</v>
      </c>
      <c r="J30" s="18">
        <f>'[2]input data'!Z842</f>
        <v>987.9</v>
      </c>
      <c r="K30" s="18">
        <f>'[2]input data'!Z843</f>
        <v>988</v>
      </c>
      <c r="L30" s="18">
        <f>'[2]input data'!Z844</f>
        <v>988.5</v>
      </c>
      <c r="M30" s="18">
        <f>'[2]input data'!Z845</f>
        <v>989.4</v>
      </c>
      <c r="N30" s="18">
        <f>'[2]input data'!Z846</f>
        <v>990.2</v>
      </c>
      <c r="O30" s="19">
        <f t="shared" si="0"/>
        <v>997.83</v>
      </c>
      <c r="P30" s="20">
        <f t="shared" si="1"/>
        <v>987.9</v>
      </c>
      <c r="Q30" s="21">
        <f t="shared" si="2"/>
        <v>990.50307692307695</v>
      </c>
    </row>
    <row r="31" spans="1:18" ht="18.95" customHeight="1" x14ac:dyDescent="0.2">
      <c r="A31" s="22">
        <v>25</v>
      </c>
      <c r="B31" s="18">
        <f>'[2]input data'!Z870</f>
        <v>990.45</v>
      </c>
      <c r="C31" s="18">
        <f>'[2]input data'!Z871</f>
        <v>991.67</v>
      </c>
      <c r="D31" s="18">
        <f>'[2]input data'!Z872</f>
        <v>991.4</v>
      </c>
      <c r="E31" s="18">
        <f>'[2]input data'!Z873</f>
        <v>991.27</v>
      </c>
      <c r="F31" s="18">
        <f>'[2]input data'!Z874</f>
        <v>990.46</v>
      </c>
      <c r="G31" s="18">
        <f>'[2]input data'!Z875</f>
        <v>989.36</v>
      </c>
      <c r="H31" s="18">
        <f>'[2]input data'!Z876</f>
        <v>988.6</v>
      </c>
      <c r="I31" s="18">
        <f>'[2]input data'!Z877</f>
        <v>987.55</v>
      </c>
      <c r="J31" s="18">
        <f>'[2]input data'!Z878</f>
        <v>987.28</v>
      </c>
      <c r="K31" s="18">
        <f>'[2]input data'!Z879</f>
        <v>987.58</v>
      </c>
      <c r="L31" s="18">
        <f>'[2]input data'!Z880</f>
        <v>988.34</v>
      </c>
      <c r="M31" s="18">
        <f>'[2]input data'!Z881</f>
        <v>989.23</v>
      </c>
      <c r="N31" s="18">
        <f>'[2]input data'!Z882</f>
        <v>989.87</v>
      </c>
      <c r="O31" s="19">
        <f t="shared" si="0"/>
        <v>991.67</v>
      </c>
      <c r="P31" s="20">
        <f t="shared" si="1"/>
        <v>987.28</v>
      </c>
      <c r="Q31" s="21">
        <f t="shared" si="2"/>
        <v>989.46615384615393</v>
      </c>
    </row>
    <row r="32" spans="1:18" ht="18.95" customHeight="1" x14ac:dyDescent="0.2">
      <c r="A32" s="22">
        <v>26</v>
      </c>
      <c r="B32" s="18">
        <f>'[2]input data'!Z906</f>
        <v>990.6</v>
      </c>
      <c r="C32" s="18">
        <f>'[2]input data'!Z907</f>
        <v>990.7</v>
      </c>
      <c r="D32" s="18">
        <f>'[2]input data'!Z908</f>
        <v>990.5</v>
      </c>
      <c r="E32" s="18">
        <f>'[2]input data'!Z909</f>
        <v>990.1</v>
      </c>
      <c r="F32" s="18">
        <f>'[2]input data'!Z910</f>
        <v>989.3</v>
      </c>
      <c r="G32" s="18">
        <f>'[2]input data'!Z911</f>
        <v>988.6</v>
      </c>
      <c r="H32" s="18">
        <f>'[2]input data'!Z912</f>
        <v>987.4</v>
      </c>
      <c r="I32" s="18">
        <f>'[2]input data'!Z913</f>
        <v>986.8</v>
      </c>
      <c r="J32" s="18">
        <f>'[2]input data'!Z914</f>
        <v>986.9</v>
      </c>
      <c r="K32" s="18">
        <f>'[2]input data'!Z915</f>
        <v>987.9</v>
      </c>
      <c r="L32" s="18">
        <f>'[2]input data'!Z916</f>
        <v>989</v>
      </c>
      <c r="M32" s="18">
        <f>'[2]input data'!Z917</f>
        <v>990.2</v>
      </c>
      <c r="N32" s="18">
        <f>'[2]input data'!Z918</f>
        <v>990.8</v>
      </c>
      <c r="O32" s="19">
        <f t="shared" si="0"/>
        <v>990.8</v>
      </c>
      <c r="P32" s="20">
        <f t="shared" si="1"/>
        <v>986.8</v>
      </c>
      <c r="Q32" s="21">
        <f t="shared" si="2"/>
        <v>989.13846153846146</v>
      </c>
    </row>
    <row r="33" spans="1:17" ht="18.95" customHeight="1" x14ac:dyDescent="0.2">
      <c r="A33" s="22">
        <v>27</v>
      </c>
      <c r="B33" s="18">
        <f>'[2]input data'!Z942</f>
        <v>989.5</v>
      </c>
      <c r="C33" s="18">
        <f>'[2]input data'!Z943</f>
        <v>990.2</v>
      </c>
      <c r="D33" s="18">
        <f>'[2]input data'!Z944</f>
        <v>990.3</v>
      </c>
      <c r="E33" s="18">
        <f>'[2]input data'!Z945</f>
        <v>989.8</v>
      </c>
      <c r="F33" s="18">
        <f>'[2]input data'!Z946</f>
        <v>989.3</v>
      </c>
      <c r="G33" s="18">
        <f>'[2]input data'!Z947</f>
        <v>987.3</v>
      </c>
      <c r="H33" s="18">
        <f>'[2]input data'!Z948</f>
        <v>987</v>
      </c>
      <c r="I33" s="18">
        <f>'[2]input data'!Z949</f>
        <v>986.2</v>
      </c>
      <c r="J33" s="18">
        <f>'[2]input data'!Z950</f>
        <v>986.1</v>
      </c>
      <c r="K33" s="18">
        <f>'[2]input data'!Z951</f>
        <v>986</v>
      </c>
      <c r="L33" s="18">
        <f>'[2]input data'!Z952</f>
        <v>986.6</v>
      </c>
      <c r="M33" s="18">
        <f>'[2]input data'!Z953</f>
        <v>987.2</v>
      </c>
      <c r="N33" s="18">
        <f>'[2]input data'!Z954</f>
        <v>987.8</v>
      </c>
      <c r="O33" s="19">
        <f t="shared" si="0"/>
        <v>990.3</v>
      </c>
      <c r="P33" s="20">
        <f t="shared" si="1"/>
        <v>986</v>
      </c>
      <c r="Q33" s="21">
        <f t="shared" si="2"/>
        <v>987.94615384615395</v>
      </c>
    </row>
    <row r="34" spans="1:17" ht="18.95" customHeight="1" x14ac:dyDescent="0.2">
      <c r="A34" s="22">
        <v>28</v>
      </c>
      <c r="B34" s="18">
        <f>'[2]input data'!Z978</f>
        <v>988.39</v>
      </c>
      <c r="C34" s="18">
        <f>'[2]input data'!Z979</f>
        <v>989.13</v>
      </c>
      <c r="D34" s="18">
        <f>'[2]input data'!Z980</f>
        <v>989.57</v>
      </c>
      <c r="E34" s="18">
        <f>'[2]input data'!Z981</f>
        <v>989.24</v>
      </c>
      <c r="F34" s="18">
        <f>'[2]input data'!Z982</f>
        <v>988.3</v>
      </c>
      <c r="G34" s="18">
        <f>'[2]input data'!Z983</f>
        <v>987.9</v>
      </c>
      <c r="H34" s="18">
        <f>'[2]input data'!Z984</f>
        <v>987.16</v>
      </c>
      <c r="I34" s="18">
        <f>'[2]input data'!Z985</f>
        <v>986.4</v>
      </c>
      <c r="J34" s="18">
        <f>'[2]input data'!Z986</f>
        <v>986.3</v>
      </c>
      <c r="K34" s="18">
        <f>'[2]input data'!Z987</f>
        <v>986.2</v>
      </c>
      <c r="L34" s="18">
        <f>'[2]input data'!Z988</f>
        <v>986.6</v>
      </c>
      <c r="M34" s="18">
        <f>'[2]input data'!Z989</f>
        <v>987.2</v>
      </c>
      <c r="N34" s="18">
        <f>'[2]input data'!Z990</f>
        <v>987.5</v>
      </c>
      <c r="O34" s="19">
        <f t="shared" si="0"/>
        <v>989.57</v>
      </c>
      <c r="P34" s="20">
        <f t="shared" si="1"/>
        <v>986.2</v>
      </c>
      <c r="Q34" s="21">
        <f t="shared" si="2"/>
        <v>987.68384615384628</v>
      </c>
    </row>
    <row r="35" spans="1:17" ht="18.95" customHeight="1" x14ac:dyDescent="0.2">
      <c r="A35" s="2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20"/>
      <c r="Q35" s="21"/>
    </row>
    <row r="36" spans="1:17" ht="18.95" customHeight="1" x14ac:dyDescent="0.2">
      <c r="A36" s="2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20"/>
      <c r="Q36" s="21"/>
    </row>
    <row r="37" spans="1:17" ht="18.95" customHeight="1" thickBot="1" x14ac:dyDescent="0.25">
      <c r="A37" s="2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20"/>
      <c r="Q37" s="21"/>
    </row>
    <row r="38" spans="1:17" ht="18" customHeight="1" thickTop="1" x14ac:dyDescent="0.2">
      <c r="A38" s="24" t="s">
        <v>23</v>
      </c>
      <c r="B38" s="25">
        <f>MAX(B7:B37)</f>
        <v>991.8</v>
      </c>
      <c r="C38" s="25">
        <f t="shared" ref="C38:N38" si="3">MAX(C7:C37)</f>
        <v>997.83</v>
      </c>
      <c r="D38" s="25">
        <f t="shared" si="3"/>
        <v>993.1</v>
      </c>
      <c r="E38" s="25">
        <f t="shared" si="3"/>
        <v>991.8</v>
      </c>
      <c r="F38" s="25">
        <f t="shared" si="3"/>
        <v>991.41</v>
      </c>
      <c r="G38" s="25">
        <f t="shared" si="3"/>
        <v>990.3</v>
      </c>
      <c r="H38" s="25">
        <f t="shared" si="3"/>
        <v>989.87</v>
      </c>
      <c r="I38" s="25">
        <f t="shared" si="3"/>
        <v>988.9</v>
      </c>
      <c r="J38" s="25">
        <f t="shared" si="3"/>
        <v>1007.6</v>
      </c>
      <c r="K38" s="25">
        <f t="shared" si="3"/>
        <v>988.61</v>
      </c>
      <c r="L38" s="25">
        <f t="shared" si="3"/>
        <v>989.05</v>
      </c>
      <c r="M38" s="25">
        <f t="shared" si="3"/>
        <v>990.2</v>
      </c>
      <c r="N38" s="25">
        <f t="shared" si="3"/>
        <v>990.8</v>
      </c>
      <c r="O38" s="26">
        <f>MAX(O7:O37)</f>
        <v>1007.6</v>
      </c>
      <c r="P38" s="25">
        <f>MAX(P7:P37)</f>
        <v>988.6</v>
      </c>
      <c r="Q38" s="27">
        <f>MAX(Q7:Q37)</f>
        <v>990.50307692307695</v>
      </c>
    </row>
    <row r="39" spans="1:17" ht="18" customHeight="1" x14ac:dyDescent="0.2">
      <c r="A39" s="22" t="s">
        <v>24</v>
      </c>
      <c r="B39" s="28">
        <f>MIN(B7:B34)</f>
        <v>987.12</v>
      </c>
      <c r="C39" s="28">
        <f>MIN(C7:C34)</f>
        <v>987.55</v>
      </c>
      <c r="D39" s="28">
        <f>MIN(D7:D34)</f>
        <v>987.4</v>
      </c>
      <c r="E39" s="28">
        <f t="shared" ref="E39:Q39" si="4">MIN(E7:E34)</f>
        <v>987</v>
      </c>
      <c r="F39" s="28">
        <f t="shared" si="4"/>
        <v>986.4</v>
      </c>
      <c r="G39" s="28">
        <f t="shared" si="4"/>
        <v>985.6</v>
      </c>
      <c r="H39" s="28">
        <f t="shared" si="4"/>
        <v>984.7</v>
      </c>
      <c r="I39" s="28">
        <f t="shared" si="4"/>
        <v>983.61</v>
      </c>
      <c r="J39" s="28">
        <f t="shared" si="4"/>
        <v>983.62</v>
      </c>
      <c r="K39" s="28">
        <f t="shared" si="4"/>
        <v>983.41</v>
      </c>
      <c r="L39" s="28">
        <f t="shared" si="4"/>
        <v>984.4</v>
      </c>
      <c r="M39" s="28">
        <f t="shared" si="4"/>
        <v>985.8</v>
      </c>
      <c r="N39" s="28">
        <f t="shared" si="4"/>
        <v>986.55</v>
      </c>
      <c r="O39" s="28">
        <f t="shared" si="4"/>
        <v>987.8</v>
      </c>
      <c r="P39" s="28">
        <f t="shared" si="4"/>
        <v>983.41</v>
      </c>
      <c r="Q39" s="28">
        <f t="shared" si="4"/>
        <v>985.83307692307687</v>
      </c>
    </row>
    <row r="40" spans="1:17" ht="18" customHeight="1" thickBot="1" x14ac:dyDescent="0.25">
      <c r="A40" s="31" t="s">
        <v>25</v>
      </c>
      <c r="B40" s="32">
        <f>AVERAGE(B7:B34)</f>
        <v>989.25857142857149</v>
      </c>
      <c r="C40" s="32">
        <f t="shared" ref="C40:Q40" si="5">AVERAGE(C7:C34)</f>
        <v>989.91607142857163</v>
      </c>
      <c r="D40" s="32">
        <f t="shared" si="5"/>
        <v>989.7910714285714</v>
      </c>
      <c r="E40" s="32">
        <f t="shared" si="5"/>
        <v>989.42857142857122</v>
      </c>
      <c r="F40" s="32">
        <f t="shared" si="5"/>
        <v>988.87714285714276</v>
      </c>
      <c r="G40" s="32">
        <f t="shared" si="5"/>
        <v>988.07964285714286</v>
      </c>
      <c r="H40" s="32">
        <f t="shared" si="5"/>
        <v>987.34107142857135</v>
      </c>
      <c r="I40" s="32">
        <f t="shared" si="5"/>
        <v>986.75500000000011</v>
      </c>
      <c r="J40" s="32">
        <f t="shared" si="5"/>
        <v>987.13285714285723</v>
      </c>
      <c r="K40" s="32">
        <f t="shared" si="5"/>
        <v>986.54107142857151</v>
      </c>
      <c r="L40" s="32">
        <f t="shared" si="5"/>
        <v>987.10357142857151</v>
      </c>
      <c r="M40" s="32">
        <f t="shared" si="5"/>
        <v>987.82785714285706</v>
      </c>
      <c r="N40" s="32">
        <f t="shared" si="5"/>
        <v>988.54285714285709</v>
      </c>
      <c r="O40" s="32">
        <f t="shared" si="5"/>
        <v>990.71607142857124</v>
      </c>
      <c r="P40" s="32">
        <f t="shared" si="5"/>
        <v>986.31500000000017</v>
      </c>
      <c r="Q40" s="32">
        <f t="shared" si="5"/>
        <v>988.19964285714286</v>
      </c>
    </row>
    <row r="41" spans="1:17" ht="13.5" thickTop="1" x14ac:dyDescent="0.2"/>
    <row r="43" spans="1:17" x14ac:dyDescent="0.2">
      <c r="C43" s="8" t="str">
        <f>[2]FKLIM.71!M43</f>
        <v>Mengetahui,</v>
      </c>
    </row>
    <row r="44" spans="1:17" x14ac:dyDescent="0.2">
      <c r="C44" s="8" t="str">
        <f>[2]FKLIM.71!M44</f>
        <v>Kepala Stasiun Klimatologi Kelas IV</v>
      </c>
      <c r="O44" s="8" t="str">
        <f>[2]FKLIM.71!T44</f>
        <v>Pengolah</v>
      </c>
    </row>
    <row r="45" spans="1:17" x14ac:dyDescent="0.2">
      <c r="C45" s="8" t="str">
        <f>[2]FKLIM.71!M45</f>
        <v>Sleman Yogyakarta</v>
      </c>
      <c r="O45" s="8"/>
    </row>
    <row r="46" spans="1:17" x14ac:dyDescent="0.2">
      <c r="C46" s="8"/>
      <c r="O46" s="8"/>
    </row>
    <row r="47" spans="1:17" x14ac:dyDescent="0.2">
      <c r="C47" s="8"/>
      <c r="O47" s="8"/>
    </row>
    <row r="48" spans="1:17" x14ac:dyDescent="0.2">
      <c r="C48" s="8"/>
      <c r="O48" s="8"/>
    </row>
    <row r="49" spans="3:15" x14ac:dyDescent="0.2">
      <c r="C49" s="8"/>
      <c r="O49" s="8"/>
    </row>
    <row r="50" spans="3:15" x14ac:dyDescent="0.2">
      <c r="C50" s="35" t="str">
        <f>[2]FKLIM.71!M50</f>
        <v>RENI KRANINGTYAS, SP, M.Si</v>
      </c>
      <c r="O50" s="35" t="str">
        <f>[2]FKLIM.71!T50</f>
        <v xml:space="preserve">TIM PEMBUAT LAPORAN </v>
      </c>
    </row>
    <row r="51" spans="3:15" x14ac:dyDescent="0.2">
      <c r="C51" s="8" t="str">
        <f>[2]FKLIM.71!M51</f>
        <v>NIP.  19740203 199703 2 001</v>
      </c>
      <c r="O51" s="8" t="str">
        <f>[2]FKLIM.71!T51</f>
        <v xml:space="preserve">PETUGAS OPERASIONAL </v>
      </c>
    </row>
  </sheetData>
  <mergeCells count="2">
    <mergeCell ref="G1:K1"/>
    <mergeCell ref="G3:K3"/>
  </mergeCells>
  <pageMargins left="0.81" right="0.7" top="0.36" bottom="0.14000000000000001" header="0.3" footer="0.21"/>
  <pageSetup paperSize="9" scale="65" orientation="landscape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Z51"/>
  <sheetViews>
    <sheetView topLeftCell="A4" zoomScale="82" zoomScaleNormal="82" workbookViewId="0">
      <selection activeCell="T46" sqref="T46"/>
    </sheetView>
  </sheetViews>
  <sheetFormatPr defaultRowHeight="15" x14ac:dyDescent="0.2"/>
  <cols>
    <col min="1" max="1" width="13.140625" style="4" customWidth="1"/>
    <col min="2" max="16" width="11" style="3" customWidth="1"/>
    <col min="17" max="17" width="14.140625" style="3" customWidth="1"/>
    <col min="18" max="256" width="9.140625" style="3"/>
    <col min="257" max="257" width="7.140625" style="3" customWidth="1"/>
    <col min="258" max="273" width="11" style="3" customWidth="1"/>
    <col min="274" max="512" width="9.140625" style="3"/>
    <col min="513" max="513" width="7.140625" style="3" customWidth="1"/>
    <col min="514" max="529" width="11" style="3" customWidth="1"/>
    <col min="530" max="768" width="9.140625" style="3"/>
    <col min="769" max="769" width="7.140625" style="3" customWidth="1"/>
    <col min="770" max="785" width="11" style="3" customWidth="1"/>
    <col min="786" max="1024" width="9.140625" style="3"/>
    <col min="1025" max="1025" width="7.140625" style="3" customWidth="1"/>
    <col min="1026" max="1041" width="11" style="3" customWidth="1"/>
    <col min="1042" max="1280" width="9.140625" style="3"/>
    <col min="1281" max="1281" width="7.140625" style="3" customWidth="1"/>
    <col min="1282" max="1297" width="11" style="3" customWidth="1"/>
    <col min="1298" max="1536" width="9.140625" style="3"/>
    <col min="1537" max="1537" width="7.140625" style="3" customWidth="1"/>
    <col min="1538" max="1553" width="11" style="3" customWidth="1"/>
    <col min="1554" max="1792" width="9.140625" style="3"/>
    <col min="1793" max="1793" width="7.140625" style="3" customWidth="1"/>
    <col min="1794" max="1809" width="11" style="3" customWidth="1"/>
    <col min="1810" max="2048" width="9.140625" style="3"/>
    <col min="2049" max="2049" width="7.140625" style="3" customWidth="1"/>
    <col min="2050" max="2065" width="11" style="3" customWidth="1"/>
    <col min="2066" max="2304" width="9.140625" style="3"/>
    <col min="2305" max="2305" width="7.140625" style="3" customWidth="1"/>
    <col min="2306" max="2321" width="11" style="3" customWidth="1"/>
    <col min="2322" max="2560" width="9.140625" style="3"/>
    <col min="2561" max="2561" width="7.140625" style="3" customWidth="1"/>
    <col min="2562" max="2577" width="11" style="3" customWidth="1"/>
    <col min="2578" max="2816" width="9.140625" style="3"/>
    <col min="2817" max="2817" width="7.140625" style="3" customWidth="1"/>
    <col min="2818" max="2833" width="11" style="3" customWidth="1"/>
    <col min="2834" max="3072" width="9.140625" style="3"/>
    <col min="3073" max="3073" width="7.140625" style="3" customWidth="1"/>
    <col min="3074" max="3089" width="11" style="3" customWidth="1"/>
    <col min="3090" max="3328" width="9.140625" style="3"/>
    <col min="3329" max="3329" width="7.140625" style="3" customWidth="1"/>
    <col min="3330" max="3345" width="11" style="3" customWidth="1"/>
    <col min="3346" max="3584" width="9.140625" style="3"/>
    <col min="3585" max="3585" width="7.140625" style="3" customWidth="1"/>
    <col min="3586" max="3601" width="11" style="3" customWidth="1"/>
    <col min="3602" max="3840" width="9.140625" style="3"/>
    <col min="3841" max="3841" width="7.140625" style="3" customWidth="1"/>
    <col min="3842" max="3857" width="11" style="3" customWidth="1"/>
    <col min="3858" max="4096" width="9.140625" style="3"/>
    <col min="4097" max="4097" width="7.140625" style="3" customWidth="1"/>
    <col min="4098" max="4113" width="11" style="3" customWidth="1"/>
    <col min="4114" max="4352" width="9.140625" style="3"/>
    <col min="4353" max="4353" width="7.140625" style="3" customWidth="1"/>
    <col min="4354" max="4369" width="11" style="3" customWidth="1"/>
    <col min="4370" max="4608" width="9.140625" style="3"/>
    <col min="4609" max="4609" width="7.140625" style="3" customWidth="1"/>
    <col min="4610" max="4625" width="11" style="3" customWidth="1"/>
    <col min="4626" max="4864" width="9.140625" style="3"/>
    <col min="4865" max="4865" width="7.140625" style="3" customWidth="1"/>
    <col min="4866" max="4881" width="11" style="3" customWidth="1"/>
    <col min="4882" max="5120" width="9.140625" style="3"/>
    <col min="5121" max="5121" width="7.140625" style="3" customWidth="1"/>
    <col min="5122" max="5137" width="11" style="3" customWidth="1"/>
    <col min="5138" max="5376" width="9.140625" style="3"/>
    <col min="5377" max="5377" width="7.140625" style="3" customWidth="1"/>
    <col min="5378" max="5393" width="11" style="3" customWidth="1"/>
    <col min="5394" max="5632" width="9.140625" style="3"/>
    <col min="5633" max="5633" width="7.140625" style="3" customWidth="1"/>
    <col min="5634" max="5649" width="11" style="3" customWidth="1"/>
    <col min="5650" max="5888" width="9.140625" style="3"/>
    <col min="5889" max="5889" width="7.140625" style="3" customWidth="1"/>
    <col min="5890" max="5905" width="11" style="3" customWidth="1"/>
    <col min="5906" max="6144" width="9.140625" style="3"/>
    <col min="6145" max="6145" width="7.140625" style="3" customWidth="1"/>
    <col min="6146" max="6161" width="11" style="3" customWidth="1"/>
    <col min="6162" max="6400" width="9.140625" style="3"/>
    <col min="6401" max="6401" width="7.140625" style="3" customWidth="1"/>
    <col min="6402" max="6417" width="11" style="3" customWidth="1"/>
    <col min="6418" max="6656" width="9.140625" style="3"/>
    <col min="6657" max="6657" width="7.140625" style="3" customWidth="1"/>
    <col min="6658" max="6673" width="11" style="3" customWidth="1"/>
    <col min="6674" max="6912" width="9.140625" style="3"/>
    <col min="6913" max="6913" width="7.140625" style="3" customWidth="1"/>
    <col min="6914" max="6929" width="11" style="3" customWidth="1"/>
    <col min="6930" max="7168" width="9.140625" style="3"/>
    <col min="7169" max="7169" width="7.140625" style="3" customWidth="1"/>
    <col min="7170" max="7185" width="11" style="3" customWidth="1"/>
    <col min="7186" max="7424" width="9.140625" style="3"/>
    <col min="7425" max="7425" width="7.140625" style="3" customWidth="1"/>
    <col min="7426" max="7441" width="11" style="3" customWidth="1"/>
    <col min="7442" max="7680" width="9.140625" style="3"/>
    <col min="7681" max="7681" width="7.140625" style="3" customWidth="1"/>
    <col min="7682" max="7697" width="11" style="3" customWidth="1"/>
    <col min="7698" max="7936" width="9.140625" style="3"/>
    <col min="7937" max="7937" width="7.140625" style="3" customWidth="1"/>
    <col min="7938" max="7953" width="11" style="3" customWidth="1"/>
    <col min="7954" max="8192" width="9.140625" style="3"/>
    <col min="8193" max="8193" width="7.140625" style="3" customWidth="1"/>
    <col min="8194" max="8209" width="11" style="3" customWidth="1"/>
    <col min="8210" max="8448" width="9.140625" style="3"/>
    <col min="8449" max="8449" width="7.140625" style="3" customWidth="1"/>
    <col min="8450" max="8465" width="11" style="3" customWidth="1"/>
    <col min="8466" max="8704" width="9.140625" style="3"/>
    <col min="8705" max="8705" width="7.140625" style="3" customWidth="1"/>
    <col min="8706" max="8721" width="11" style="3" customWidth="1"/>
    <col min="8722" max="8960" width="9.140625" style="3"/>
    <col min="8961" max="8961" width="7.140625" style="3" customWidth="1"/>
    <col min="8962" max="8977" width="11" style="3" customWidth="1"/>
    <col min="8978" max="9216" width="9.140625" style="3"/>
    <col min="9217" max="9217" width="7.140625" style="3" customWidth="1"/>
    <col min="9218" max="9233" width="11" style="3" customWidth="1"/>
    <col min="9234" max="9472" width="9.140625" style="3"/>
    <col min="9473" max="9473" width="7.140625" style="3" customWidth="1"/>
    <col min="9474" max="9489" width="11" style="3" customWidth="1"/>
    <col min="9490" max="9728" width="9.140625" style="3"/>
    <col min="9729" max="9729" width="7.140625" style="3" customWidth="1"/>
    <col min="9730" max="9745" width="11" style="3" customWidth="1"/>
    <col min="9746" max="9984" width="9.140625" style="3"/>
    <col min="9985" max="9985" width="7.140625" style="3" customWidth="1"/>
    <col min="9986" max="10001" width="11" style="3" customWidth="1"/>
    <col min="10002" max="10240" width="9.140625" style="3"/>
    <col min="10241" max="10241" width="7.140625" style="3" customWidth="1"/>
    <col min="10242" max="10257" width="11" style="3" customWidth="1"/>
    <col min="10258" max="10496" width="9.140625" style="3"/>
    <col min="10497" max="10497" width="7.140625" style="3" customWidth="1"/>
    <col min="10498" max="10513" width="11" style="3" customWidth="1"/>
    <col min="10514" max="10752" width="9.140625" style="3"/>
    <col min="10753" max="10753" width="7.140625" style="3" customWidth="1"/>
    <col min="10754" max="10769" width="11" style="3" customWidth="1"/>
    <col min="10770" max="11008" width="9.140625" style="3"/>
    <col min="11009" max="11009" width="7.140625" style="3" customWidth="1"/>
    <col min="11010" max="11025" width="11" style="3" customWidth="1"/>
    <col min="11026" max="11264" width="9.140625" style="3"/>
    <col min="11265" max="11265" width="7.140625" style="3" customWidth="1"/>
    <col min="11266" max="11281" width="11" style="3" customWidth="1"/>
    <col min="11282" max="11520" width="9.140625" style="3"/>
    <col min="11521" max="11521" width="7.140625" style="3" customWidth="1"/>
    <col min="11522" max="11537" width="11" style="3" customWidth="1"/>
    <col min="11538" max="11776" width="9.140625" style="3"/>
    <col min="11777" max="11777" width="7.140625" style="3" customWidth="1"/>
    <col min="11778" max="11793" width="11" style="3" customWidth="1"/>
    <col min="11794" max="12032" width="9.140625" style="3"/>
    <col min="12033" max="12033" width="7.140625" style="3" customWidth="1"/>
    <col min="12034" max="12049" width="11" style="3" customWidth="1"/>
    <col min="12050" max="12288" width="9.140625" style="3"/>
    <col min="12289" max="12289" width="7.140625" style="3" customWidth="1"/>
    <col min="12290" max="12305" width="11" style="3" customWidth="1"/>
    <col min="12306" max="12544" width="9.140625" style="3"/>
    <col min="12545" max="12545" width="7.140625" style="3" customWidth="1"/>
    <col min="12546" max="12561" width="11" style="3" customWidth="1"/>
    <col min="12562" max="12800" width="9.140625" style="3"/>
    <col min="12801" max="12801" width="7.140625" style="3" customWidth="1"/>
    <col min="12802" max="12817" width="11" style="3" customWidth="1"/>
    <col min="12818" max="13056" width="9.140625" style="3"/>
    <col min="13057" max="13057" width="7.140625" style="3" customWidth="1"/>
    <col min="13058" max="13073" width="11" style="3" customWidth="1"/>
    <col min="13074" max="13312" width="9.140625" style="3"/>
    <col min="13313" max="13313" width="7.140625" style="3" customWidth="1"/>
    <col min="13314" max="13329" width="11" style="3" customWidth="1"/>
    <col min="13330" max="13568" width="9.140625" style="3"/>
    <col min="13569" max="13569" width="7.140625" style="3" customWidth="1"/>
    <col min="13570" max="13585" width="11" style="3" customWidth="1"/>
    <col min="13586" max="13824" width="9.140625" style="3"/>
    <col min="13825" max="13825" width="7.140625" style="3" customWidth="1"/>
    <col min="13826" max="13841" width="11" style="3" customWidth="1"/>
    <col min="13842" max="14080" width="9.140625" style="3"/>
    <col min="14081" max="14081" width="7.140625" style="3" customWidth="1"/>
    <col min="14082" max="14097" width="11" style="3" customWidth="1"/>
    <col min="14098" max="14336" width="9.140625" style="3"/>
    <col min="14337" max="14337" width="7.140625" style="3" customWidth="1"/>
    <col min="14338" max="14353" width="11" style="3" customWidth="1"/>
    <col min="14354" max="14592" width="9.140625" style="3"/>
    <col min="14593" max="14593" width="7.140625" style="3" customWidth="1"/>
    <col min="14594" max="14609" width="11" style="3" customWidth="1"/>
    <col min="14610" max="14848" width="9.140625" style="3"/>
    <col min="14849" max="14849" width="7.140625" style="3" customWidth="1"/>
    <col min="14850" max="14865" width="11" style="3" customWidth="1"/>
    <col min="14866" max="15104" width="9.140625" style="3"/>
    <col min="15105" max="15105" width="7.140625" style="3" customWidth="1"/>
    <col min="15106" max="15121" width="11" style="3" customWidth="1"/>
    <col min="15122" max="15360" width="9.140625" style="3"/>
    <col min="15361" max="15361" width="7.140625" style="3" customWidth="1"/>
    <col min="15362" max="15377" width="11" style="3" customWidth="1"/>
    <col min="15378" max="15616" width="9.140625" style="3"/>
    <col min="15617" max="15617" width="7.140625" style="3" customWidth="1"/>
    <col min="15618" max="15633" width="11" style="3" customWidth="1"/>
    <col min="15634" max="15872" width="9.140625" style="3"/>
    <col min="15873" max="15873" width="7.140625" style="3" customWidth="1"/>
    <col min="15874" max="15889" width="11" style="3" customWidth="1"/>
    <col min="15890" max="16128" width="9.140625" style="3"/>
    <col min="16129" max="16129" width="7.140625" style="3" customWidth="1"/>
    <col min="16130" max="16145" width="11" style="3" customWidth="1"/>
    <col min="16146" max="16384" width="9.140625" style="3"/>
  </cols>
  <sheetData>
    <row r="1" spans="1:26" ht="15.75" x14ac:dyDescent="0.25">
      <c r="A1" s="3"/>
      <c r="D1" s="2"/>
      <c r="G1" s="101" t="str">
        <f>[3]Suhu2!F1</f>
        <v>STASIUN KLIMATOLOGI KL. IV SLEMAN</v>
      </c>
      <c r="H1" s="100"/>
      <c r="I1" s="100"/>
      <c r="J1" s="100"/>
      <c r="K1" s="100"/>
      <c r="L1" s="4"/>
      <c r="M1" s="4"/>
      <c r="N1" s="4"/>
    </row>
    <row r="2" spans="1:26" ht="15.75" x14ac:dyDescent="0.25">
      <c r="A2" s="5" t="s">
        <v>0</v>
      </c>
      <c r="C2" s="3" t="s">
        <v>1</v>
      </c>
      <c r="D2" s="2"/>
      <c r="G2" s="37"/>
      <c r="H2" s="4"/>
      <c r="I2" s="4"/>
      <c r="J2" s="4"/>
      <c r="K2" s="4"/>
      <c r="L2" s="4"/>
      <c r="M2" s="4"/>
      <c r="N2" s="4"/>
    </row>
    <row r="3" spans="1:26" ht="15.75" x14ac:dyDescent="0.25">
      <c r="A3" s="5" t="s">
        <v>2</v>
      </c>
      <c r="C3" s="36" t="str">
        <f>'[3]REKAP Data'!Y11</f>
        <v>Maret 2022</v>
      </c>
      <c r="D3" s="2"/>
      <c r="E3" s="7"/>
      <c r="G3" s="101"/>
      <c r="H3" s="100"/>
      <c r="I3" s="100"/>
      <c r="J3" s="100"/>
      <c r="K3" s="100"/>
    </row>
    <row r="4" spans="1:26" x14ac:dyDescent="0.2">
      <c r="A4" s="5" t="s">
        <v>3</v>
      </c>
      <c r="C4" s="3" t="s">
        <v>4</v>
      </c>
      <c r="D4" s="2"/>
    </row>
    <row r="5" spans="1:26" ht="15.75" thickBot="1" x14ac:dyDescent="0.25">
      <c r="L5" s="9" t="s">
        <v>5</v>
      </c>
      <c r="M5" s="9"/>
      <c r="N5" s="10" t="str">
        <f>'[3]input data'!R1121</f>
        <v xml:space="preserve">TIM PEMBUAT LAPORAN </v>
      </c>
      <c r="O5" s="9"/>
      <c r="P5" s="9"/>
    </row>
    <row r="6" spans="1:26" ht="18" customHeight="1" thickTop="1" thickBot="1" x14ac:dyDescent="0.25">
      <c r="A6" s="11" t="s">
        <v>6</v>
      </c>
      <c r="B6" s="12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4" t="s">
        <v>20</v>
      </c>
      <c r="P6" s="13" t="s">
        <v>21</v>
      </c>
      <c r="Q6" s="15" t="s">
        <v>22</v>
      </c>
      <c r="R6" s="7"/>
      <c r="S6" s="7"/>
      <c r="T6" s="7"/>
      <c r="U6" s="7"/>
      <c r="V6" s="7"/>
      <c r="W6" s="7"/>
      <c r="X6" s="7"/>
      <c r="Y6" s="7"/>
      <c r="Z6" s="7"/>
    </row>
    <row r="7" spans="1:26" ht="18.95" customHeight="1" thickTop="1" x14ac:dyDescent="0.2">
      <c r="A7" s="17">
        <v>1</v>
      </c>
      <c r="B7" s="18">
        <f>'[3]input data'!Z6</f>
        <v>988.1</v>
      </c>
      <c r="C7" s="18">
        <f>'[3]input data'!Z7</f>
        <v>989.1</v>
      </c>
      <c r="D7" s="18">
        <f>'[3]input data'!Z8</f>
        <v>989.6</v>
      </c>
      <c r="E7" s="18">
        <f>'[3]input data'!Z9</f>
        <v>989</v>
      </c>
      <c r="F7" s="18">
        <f>'[3]input data'!Z10</f>
        <v>988.4</v>
      </c>
      <c r="G7" s="18">
        <f>'[3]input data'!Z11</f>
        <v>987.7</v>
      </c>
      <c r="H7" s="18">
        <f>'[3]input data'!Z12</f>
        <v>987.2</v>
      </c>
      <c r="I7" s="18">
        <f>'[3]input data'!Z13</f>
        <v>986.42</v>
      </c>
      <c r="J7" s="18">
        <f>'[3]input data'!Z14</f>
        <v>986.3</v>
      </c>
      <c r="K7" s="18">
        <f>'[3]input data'!Z15</f>
        <v>986.77</v>
      </c>
      <c r="L7" s="18">
        <f>'[3]input data'!Z16</f>
        <v>986.76</v>
      </c>
      <c r="M7" s="18">
        <f>'[3]input data'!Z17</f>
        <v>987.7</v>
      </c>
      <c r="N7" s="18">
        <f>'[3]input data'!Z18</f>
        <v>988.3</v>
      </c>
      <c r="O7" s="19">
        <f>MAX(B7:N7)</f>
        <v>989.6</v>
      </c>
      <c r="P7" s="20">
        <f>MIN(B7:N7)</f>
        <v>986.3</v>
      </c>
      <c r="Q7" s="21">
        <f>AVERAGE(B7:N7)</f>
        <v>987.79615384615386</v>
      </c>
    </row>
    <row r="8" spans="1:26" ht="18.95" customHeight="1" x14ac:dyDescent="0.2">
      <c r="A8" s="22">
        <v>2</v>
      </c>
      <c r="B8" s="18">
        <f>'[3]input data'!Z42</f>
        <v>988.23</v>
      </c>
      <c r="C8" s="18">
        <f>'[3]input data'!Z43</f>
        <v>988.64</v>
      </c>
      <c r="D8" s="18">
        <f>'[3]input data'!Z44</f>
        <v>988.93</v>
      </c>
      <c r="E8" s="18">
        <f>'[3]input data'!Z45</f>
        <v>988.82</v>
      </c>
      <c r="F8" s="18">
        <f>'[3]input data'!Z46</f>
        <v>988.34</v>
      </c>
      <c r="G8" s="18">
        <f>'[3]input data'!Z47</f>
        <v>987.71</v>
      </c>
      <c r="H8" s="18">
        <f>'[3]input data'!Z48</f>
        <v>987.34</v>
      </c>
      <c r="I8" s="18">
        <f>'[3]input data'!Z49</f>
        <v>986.86</v>
      </c>
      <c r="J8" s="18">
        <f>'[3]input data'!Z50</f>
        <v>986.78</v>
      </c>
      <c r="K8" s="18">
        <f>'[3]input data'!Z51</f>
        <v>986.24</v>
      </c>
      <c r="L8" s="18">
        <f>'[3]input data'!Z52</f>
        <v>986.07</v>
      </c>
      <c r="M8" s="18">
        <f>'[3]input data'!Z53</f>
        <v>987.72</v>
      </c>
      <c r="N8" s="18">
        <f>'[3]input data'!Z54</f>
        <v>988.77</v>
      </c>
      <c r="O8" s="19">
        <f t="shared" ref="O8:O37" si="0">MAX(B8:N8)</f>
        <v>988.93</v>
      </c>
      <c r="P8" s="20">
        <f t="shared" ref="P8:P37" si="1">MIN(B8:N8)</f>
        <v>986.07</v>
      </c>
      <c r="Q8" s="21">
        <f t="shared" ref="Q8:Q37" si="2">AVERAGE(B8:N8)</f>
        <v>987.72692307692296</v>
      </c>
    </row>
    <row r="9" spans="1:26" ht="18.95" customHeight="1" x14ac:dyDescent="0.2">
      <c r="A9" s="22">
        <v>3</v>
      </c>
      <c r="B9" s="18">
        <f>'[3]input data'!Z78</f>
        <v>988.57</v>
      </c>
      <c r="C9" s="18">
        <f>'[3]input data'!Z79</f>
        <v>989.45</v>
      </c>
      <c r="D9" s="18">
        <f>'[3]input data'!Z80</f>
        <v>989.79</v>
      </c>
      <c r="E9" s="18">
        <f>'[3]input data'!Z81</f>
        <v>989.18</v>
      </c>
      <c r="F9" s="18">
        <f>'[3]input data'!Z82</f>
        <v>989.06</v>
      </c>
      <c r="G9" s="18">
        <f>'[3]input data'!Z83</f>
        <v>988.27</v>
      </c>
      <c r="H9" s="18">
        <f>'[3]input data'!Z84</f>
        <v>987.08</v>
      </c>
      <c r="I9" s="18">
        <f>'[3]input data'!Z85</f>
        <v>986.4</v>
      </c>
      <c r="J9" s="18">
        <f>'[3]input data'!Z86</f>
        <v>986.4</v>
      </c>
      <c r="K9" s="18">
        <f>'[3]input data'!Z87</f>
        <v>986.7</v>
      </c>
      <c r="L9" s="18">
        <f>'[3]input data'!Z88</f>
        <v>987.4</v>
      </c>
      <c r="M9" s="18">
        <f>'[3]input data'!Z89</f>
        <v>987.9</v>
      </c>
      <c r="N9" s="18">
        <f>'[3]input data'!Z90</f>
        <v>988.9</v>
      </c>
      <c r="O9" s="19">
        <f t="shared" si="0"/>
        <v>989.79</v>
      </c>
      <c r="P9" s="20">
        <f t="shared" si="1"/>
        <v>986.4</v>
      </c>
      <c r="Q9" s="21">
        <f t="shared" si="2"/>
        <v>988.08461538461529</v>
      </c>
    </row>
    <row r="10" spans="1:26" ht="18.95" customHeight="1" x14ac:dyDescent="0.2">
      <c r="A10" s="22">
        <v>4</v>
      </c>
      <c r="B10" s="18">
        <f>'[3]input data'!Z114</f>
        <v>990.6</v>
      </c>
      <c r="C10" s="18">
        <f>'[3]input data'!Z115</f>
        <v>990.7</v>
      </c>
      <c r="D10" s="18">
        <f>'[3]input data'!Z116</f>
        <v>990.8</v>
      </c>
      <c r="E10" s="18">
        <f>'[3]input data'!Z117</f>
        <v>990.9</v>
      </c>
      <c r="F10" s="18">
        <f>'[3]input data'!Z118</f>
        <v>990.4</v>
      </c>
      <c r="G10" s="18">
        <f>'[3]input data'!Z119</f>
        <v>989.4</v>
      </c>
      <c r="H10" s="18">
        <f>'[3]input data'!Z120</f>
        <v>988.7</v>
      </c>
      <c r="I10" s="18">
        <f>'[3]input data'!Z121</f>
        <v>987.9</v>
      </c>
      <c r="J10" s="18">
        <f>'[3]input data'!Z122</f>
        <v>987.6</v>
      </c>
      <c r="K10" s="18">
        <f>'[3]input data'!Z123</f>
        <v>987.3</v>
      </c>
      <c r="L10" s="18">
        <f>'[3]input data'!Z124</f>
        <v>987.7</v>
      </c>
      <c r="M10" s="18">
        <f>'[3]input data'!Z125</f>
        <v>988</v>
      </c>
      <c r="N10" s="18">
        <f>'[3]input data'!Z126</f>
        <v>989</v>
      </c>
      <c r="O10" s="19">
        <f t="shared" si="0"/>
        <v>990.9</v>
      </c>
      <c r="P10" s="20">
        <f t="shared" si="1"/>
        <v>987.3</v>
      </c>
      <c r="Q10" s="21">
        <f t="shared" si="2"/>
        <v>989.15384615384619</v>
      </c>
    </row>
    <row r="11" spans="1:26" ht="18.95" customHeight="1" x14ac:dyDescent="0.2">
      <c r="A11" s="22">
        <v>5</v>
      </c>
      <c r="B11" s="18">
        <f>'[3]input data'!Z150</f>
        <v>989.8</v>
      </c>
      <c r="C11" s="18">
        <f>'[3]input data'!Z151</f>
        <v>990.3</v>
      </c>
      <c r="D11" s="18">
        <f>'[3]input data'!Z152</f>
        <v>990.6</v>
      </c>
      <c r="E11" s="18">
        <f>'[3]input data'!Z153</f>
        <v>990.5</v>
      </c>
      <c r="F11" s="18">
        <f>'[3]input data'!Z154</f>
        <v>990.4</v>
      </c>
      <c r="G11" s="18">
        <f>'[3]input data'!Z155</f>
        <v>989.6</v>
      </c>
      <c r="H11" s="18">
        <f>'[3]input data'!Z156</f>
        <v>988.7</v>
      </c>
      <c r="I11" s="18">
        <f>'[3]input data'!Z157</f>
        <v>988</v>
      </c>
      <c r="J11" s="18">
        <f>'[3]input data'!Z158</f>
        <v>987.6</v>
      </c>
      <c r="K11" s="18">
        <f>'[3]input data'!Z159</f>
        <v>987.2</v>
      </c>
      <c r="L11" s="18">
        <f>'[3]input data'!Z160</f>
        <v>988.1</v>
      </c>
      <c r="M11" s="18">
        <f>'[3]input data'!Z161</f>
        <v>988.8</v>
      </c>
      <c r="N11" s="18">
        <f>'[3]input data'!Z162</f>
        <v>989.2</v>
      </c>
      <c r="O11" s="19">
        <f t="shared" si="0"/>
        <v>990.6</v>
      </c>
      <c r="P11" s="20">
        <f t="shared" si="1"/>
        <v>987.2</v>
      </c>
      <c r="Q11" s="21">
        <f t="shared" si="2"/>
        <v>989.13846153846157</v>
      </c>
    </row>
    <row r="12" spans="1:26" ht="18.95" customHeight="1" x14ac:dyDescent="0.2">
      <c r="A12" s="22">
        <v>6</v>
      </c>
      <c r="B12" s="18">
        <f>'[3]input data'!Z186</f>
        <v>989.7</v>
      </c>
      <c r="C12" s="18">
        <f>'[3]input data'!Z187</f>
        <v>990.4</v>
      </c>
      <c r="D12" s="18">
        <f>'[3]input data'!Z188</f>
        <v>990.3</v>
      </c>
      <c r="E12" s="18">
        <f>'[3]input data'!Z189</f>
        <v>990.1</v>
      </c>
      <c r="F12" s="18">
        <f>'[3]input data'!Z190</f>
        <v>989.2</v>
      </c>
      <c r="G12" s="18">
        <f>'[3]input data'!Z191</f>
        <v>988.4</v>
      </c>
      <c r="H12" s="18">
        <f>'[3]input data'!Z192</f>
        <v>987.4</v>
      </c>
      <c r="I12" s="18">
        <f>'[3]input data'!Z193</f>
        <v>987</v>
      </c>
      <c r="J12" s="18">
        <f>'[3]input data'!Z194</f>
        <v>986.5</v>
      </c>
      <c r="K12" s="18">
        <f>'[3]input data'!Z195</f>
        <v>986.6</v>
      </c>
      <c r="L12" s="18">
        <f>'[3]input data'!Z196</f>
        <v>987.2</v>
      </c>
      <c r="M12" s="18">
        <f>'[3]input data'!Z197</f>
        <v>988.4</v>
      </c>
      <c r="N12" s="18">
        <f>'[3]input data'!Z198</f>
        <v>989.1</v>
      </c>
      <c r="O12" s="19">
        <f t="shared" si="0"/>
        <v>990.4</v>
      </c>
      <c r="P12" s="20">
        <f t="shared" si="1"/>
        <v>986.5</v>
      </c>
      <c r="Q12" s="21">
        <f t="shared" si="2"/>
        <v>988.48461538461549</v>
      </c>
    </row>
    <row r="13" spans="1:26" ht="18.95" customHeight="1" x14ac:dyDescent="0.2">
      <c r="A13" s="22">
        <v>7</v>
      </c>
      <c r="B13" s="18">
        <f>'[3]input data'!Z222</f>
        <v>989.9</v>
      </c>
      <c r="C13" s="18">
        <f>'[3]input data'!Z223</f>
        <v>990.6</v>
      </c>
      <c r="D13" s="18">
        <f>'[3]input data'!Z224</f>
        <v>990.4</v>
      </c>
      <c r="E13" s="18">
        <f>'[3]input data'!Z225</f>
        <v>989.9</v>
      </c>
      <c r="F13" s="18">
        <f>'[3]input data'!Z226</f>
        <v>989.4</v>
      </c>
      <c r="G13" s="18">
        <f>'[3]input data'!Z227</f>
        <v>988.6</v>
      </c>
      <c r="H13" s="18">
        <f>'[3]input data'!Z228</f>
        <v>987.3</v>
      </c>
      <c r="I13" s="18">
        <f>'[3]input data'!Z229</f>
        <v>987.06</v>
      </c>
      <c r="J13" s="18">
        <f>'[3]input data'!Z230</f>
        <v>986.63</v>
      </c>
      <c r="K13" s="18">
        <f>'[3]input data'!Z231</f>
        <v>987.34</v>
      </c>
      <c r="L13" s="18">
        <f>'[3]input data'!Z232</f>
        <v>988.19</v>
      </c>
      <c r="M13" s="18">
        <f>'[3]input data'!Z233</f>
        <v>988.72</v>
      </c>
      <c r="N13" s="18">
        <f>'[3]input data'!Z234</f>
        <v>988.82</v>
      </c>
      <c r="O13" s="19">
        <f>MAX(B13:N13)</f>
        <v>990.6</v>
      </c>
      <c r="P13" s="20">
        <f>MIN(B13:N13)</f>
        <v>986.63</v>
      </c>
      <c r="Q13" s="21">
        <f>AVERAGE(B13:N13)</f>
        <v>988.68153846153837</v>
      </c>
    </row>
    <row r="14" spans="1:26" ht="18.95" customHeight="1" x14ac:dyDescent="0.2">
      <c r="A14" s="22">
        <v>8</v>
      </c>
      <c r="B14" s="18">
        <f>'[3]input data'!Z258</f>
        <v>989.07</v>
      </c>
      <c r="C14" s="18">
        <f>'[3]input data'!Z259</f>
        <v>989.48</v>
      </c>
      <c r="D14" s="18">
        <f>'[3]input data'!Z260</f>
        <v>989.45</v>
      </c>
      <c r="E14" s="18">
        <f>'[3]input data'!Z261</f>
        <v>989.26</v>
      </c>
      <c r="F14" s="18">
        <f>'[3]input data'!Z262</f>
        <v>988.6</v>
      </c>
      <c r="G14" s="18">
        <f>'[3]input data'!Z263</f>
        <v>987.8</v>
      </c>
      <c r="H14" s="18">
        <f>'[3]input data'!Z264</f>
        <v>987.29</v>
      </c>
      <c r="I14" s="18">
        <f>'[3]input data'!Z265</f>
        <v>986.37</v>
      </c>
      <c r="J14" s="18">
        <f>'[3]input data'!Z266</f>
        <v>985.73</v>
      </c>
      <c r="K14" s="18">
        <f>'[3]input data'!Z267</f>
        <v>986.06</v>
      </c>
      <c r="L14" s="18">
        <f>'[3]input data'!Z268</f>
        <v>987.15</v>
      </c>
      <c r="M14" s="18">
        <f>'[3]input data'!Z269</f>
        <v>987.97</v>
      </c>
      <c r="N14" s="18">
        <f>'[3]input data'!Z270</f>
        <v>988.45</v>
      </c>
      <c r="O14" s="19">
        <f t="shared" si="0"/>
        <v>989.48</v>
      </c>
      <c r="P14" s="20">
        <f t="shared" si="1"/>
        <v>985.73</v>
      </c>
      <c r="Q14" s="21">
        <f t="shared" si="2"/>
        <v>987.89846153846156</v>
      </c>
    </row>
    <row r="15" spans="1:26" ht="18.95" customHeight="1" x14ac:dyDescent="0.2">
      <c r="A15" s="22">
        <v>9</v>
      </c>
      <c r="B15" s="18">
        <f>'[3]input data'!Z294</f>
        <v>988.53</v>
      </c>
      <c r="C15" s="18">
        <f>'[3]input data'!Z295</f>
        <v>989.52</v>
      </c>
      <c r="D15" s="18">
        <f>'[3]input data'!Z296</f>
        <v>989.46</v>
      </c>
      <c r="E15" s="18">
        <f>'[3]input data'!Z297</f>
        <v>989.03</v>
      </c>
      <c r="F15" s="18">
        <f>'[3]input data'!Z298</f>
        <v>988.65</v>
      </c>
      <c r="G15" s="18">
        <f>'[3]input data'!Z299</f>
        <v>987.68</v>
      </c>
      <c r="H15" s="18">
        <f>'[3]input data'!Z300</f>
        <v>986.51</v>
      </c>
      <c r="I15" s="18">
        <f>'[3]input data'!Z301</f>
        <v>985.5</v>
      </c>
      <c r="J15" s="18">
        <f>'[3]input data'!Z302</f>
        <v>985.5</v>
      </c>
      <c r="K15" s="18">
        <f>'[3]input data'!Z303</f>
        <v>986.1</v>
      </c>
      <c r="L15" s="18">
        <f>'[3]input data'!Z304</f>
        <v>986.2</v>
      </c>
      <c r="M15" s="18">
        <f>'[3]input data'!Z305</f>
        <v>987</v>
      </c>
      <c r="N15" s="18">
        <f>'[3]input data'!Z306</f>
        <v>987.9</v>
      </c>
      <c r="O15" s="19">
        <f t="shared" si="0"/>
        <v>989.52</v>
      </c>
      <c r="P15" s="20">
        <f t="shared" si="1"/>
        <v>985.5</v>
      </c>
      <c r="Q15" s="21">
        <f t="shared" si="2"/>
        <v>987.50615384615401</v>
      </c>
    </row>
    <row r="16" spans="1:26" ht="18.95" customHeight="1" x14ac:dyDescent="0.2">
      <c r="A16" s="22">
        <v>10</v>
      </c>
      <c r="B16" s="18">
        <f>'[3]input data'!Z330</f>
        <v>988.89</v>
      </c>
      <c r="C16" s="18">
        <f>'[3]input data'!Z331</f>
        <v>989.18</v>
      </c>
      <c r="D16" s="18">
        <f>'[3]input data'!Z332</f>
        <v>988.94</v>
      </c>
      <c r="E16" s="18">
        <f>'[3]input data'!Z333</f>
        <v>988.28</v>
      </c>
      <c r="F16" s="18">
        <f>'[3]input data'!Z334</f>
        <v>987.65</v>
      </c>
      <c r="G16" s="18">
        <f>'[3]input data'!Z335</f>
        <v>986.42</v>
      </c>
      <c r="H16" s="18">
        <f>'[3]input data'!Z336</f>
        <v>985.65</v>
      </c>
      <c r="I16" s="18">
        <f>'[3]input data'!Z337</f>
        <v>985</v>
      </c>
      <c r="J16" s="18">
        <f>'[3]input data'!Z338</f>
        <v>984.7</v>
      </c>
      <c r="K16" s="18">
        <f>'[3]input data'!Z339</f>
        <v>984.5</v>
      </c>
      <c r="L16" s="18">
        <f>'[3]input data'!Z340</f>
        <v>985.7</v>
      </c>
      <c r="M16" s="18">
        <f>'[3]input data'!Z341</f>
        <v>987</v>
      </c>
      <c r="N16" s="18">
        <f>'[3]input data'!Z342</f>
        <v>988.3</v>
      </c>
      <c r="O16" s="19">
        <f t="shared" si="0"/>
        <v>989.18</v>
      </c>
      <c r="P16" s="20">
        <f t="shared" si="1"/>
        <v>984.5</v>
      </c>
      <c r="Q16" s="21">
        <f t="shared" si="2"/>
        <v>986.93923076923068</v>
      </c>
    </row>
    <row r="17" spans="1:18" ht="18.95" customHeight="1" x14ac:dyDescent="0.2">
      <c r="A17" s="22">
        <v>11</v>
      </c>
      <c r="B17" s="18">
        <f>'[3]input data'!Z366</f>
        <v>986.8</v>
      </c>
      <c r="C17" s="18">
        <f>'[3]input data'!Z367</f>
        <v>987.4</v>
      </c>
      <c r="D17" s="18">
        <f>'[3]input data'!Z368</f>
        <v>987.6</v>
      </c>
      <c r="E17" s="18">
        <f>'[3]input data'!Z369</f>
        <v>987.4</v>
      </c>
      <c r="F17" s="18">
        <f>'[3]input data'!Z370</f>
        <v>986.9</v>
      </c>
      <c r="G17" s="18">
        <f>'[3]input data'!Z371</f>
        <v>985.7</v>
      </c>
      <c r="H17" s="18">
        <f>'[3]input data'!Z372</f>
        <v>984.7</v>
      </c>
      <c r="I17" s="18">
        <f>'[3]input data'!Z373</f>
        <v>983.9</v>
      </c>
      <c r="J17" s="18">
        <f>'[3]input data'!Z374</f>
        <v>984.1</v>
      </c>
      <c r="K17" s="18">
        <f>'[3]input data'!Z375</f>
        <v>984.3</v>
      </c>
      <c r="L17" s="18">
        <f>'[3]input data'!Z376</f>
        <v>985</v>
      </c>
      <c r="M17" s="18">
        <f>'[3]input data'!Z377</f>
        <v>985.7</v>
      </c>
      <c r="N17" s="18">
        <f>'[3]input data'!Z378</f>
        <v>986.1</v>
      </c>
      <c r="O17" s="19">
        <f t="shared" si="0"/>
        <v>987.6</v>
      </c>
      <c r="P17" s="20">
        <f t="shared" si="1"/>
        <v>983.9</v>
      </c>
      <c r="Q17" s="21">
        <f t="shared" si="2"/>
        <v>985.81538461538446</v>
      </c>
    </row>
    <row r="18" spans="1:18" ht="18.95" customHeight="1" x14ac:dyDescent="0.2">
      <c r="A18" s="22">
        <v>12</v>
      </c>
      <c r="B18" s="18">
        <f>'[3]input data'!Z402</f>
        <v>986.9</v>
      </c>
      <c r="C18" s="18">
        <f>'[3]input data'!Z403</f>
        <v>987.8</v>
      </c>
      <c r="D18" s="18">
        <f>'[3]input data'!Z404</f>
        <v>987.8</v>
      </c>
      <c r="E18" s="18">
        <f>'[3]input data'!Z405</f>
        <v>987.4</v>
      </c>
      <c r="F18" s="18">
        <f>'[3]input data'!Z406</f>
        <v>986.5</v>
      </c>
      <c r="G18" s="18">
        <f>'[3]input data'!Z407</f>
        <v>985.6</v>
      </c>
      <c r="H18" s="18">
        <f>'[3]input data'!Z408</f>
        <v>984.6</v>
      </c>
      <c r="I18" s="18">
        <f>'[3]input data'!Z409</f>
        <v>984.1</v>
      </c>
      <c r="J18" s="18">
        <f>'[3]input data'!Z410</f>
        <v>984.2</v>
      </c>
      <c r="K18" s="18">
        <f>'[3]input data'!Z411</f>
        <v>984.8</v>
      </c>
      <c r="L18" s="18">
        <f>'[3]input data'!Z412</f>
        <v>985.6</v>
      </c>
      <c r="M18" s="18">
        <f>'[3]input data'!Z413</f>
        <v>985.5</v>
      </c>
      <c r="N18" s="18">
        <f>'[3]input data'!Z414</f>
        <v>986.4</v>
      </c>
      <c r="O18" s="19">
        <f t="shared" si="0"/>
        <v>987.8</v>
      </c>
      <c r="P18" s="20">
        <f t="shared" si="1"/>
        <v>984.1</v>
      </c>
      <c r="Q18" s="21">
        <f t="shared" si="2"/>
        <v>985.93846153846164</v>
      </c>
    </row>
    <row r="19" spans="1:18" ht="18.95" customHeight="1" x14ac:dyDescent="0.2">
      <c r="A19" s="22">
        <v>13</v>
      </c>
      <c r="B19" s="18">
        <f>'[3]input data'!Z438</f>
        <v>987.8</v>
      </c>
      <c r="C19" s="18">
        <f>'[3]input data'!Z439</f>
        <v>988.6</v>
      </c>
      <c r="D19" s="18">
        <f>'[3]input data'!Z440</f>
        <v>988.5</v>
      </c>
      <c r="E19" s="18">
        <f>'[3]input data'!Z441</f>
        <v>988.1</v>
      </c>
      <c r="F19" s="18">
        <f>'[3]input data'!Z442</f>
        <v>987.5</v>
      </c>
      <c r="G19" s="18">
        <f>'[3]input data'!Z443</f>
        <v>986.6</v>
      </c>
      <c r="H19" s="18">
        <f>'[3]input data'!Z444</f>
        <v>985.5</v>
      </c>
      <c r="I19" s="18">
        <f>'[3]input data'!Z445</f>
        <v>984.57</v>
      </c>
      <c r="J19" s="18">
        <f>'[3]input data'!Z446</f>
        <v>984.59</v>
      </c>
      <c r="K19" s="18">
        <f>'[3]input data'!Z447</f>
        <v>985.57</v>
      </c>
      <c r="L19" s="18">
        <f>'[3]input data'!Z448</f>
        <v>986.03</v>
      </c>
      <c r="M19" s="18">
        <f>'[3]input data'!Z449</f>
        <v>987.24</v>
      </c>
      <c r="N19" s="18">
        <f>'[3]input data'!Z450</f>
        <v>987.47</v>
      </c>
      <c r="O19" s="19">
        <f t="shared" si="0"/>
        <v>988.6</v>
      </c>
      <c r="P19" s="20">
        <f t="shared" si="1"/>
        <v>984.57</v>
      </c>
      <c r="Q19" s="21">
        <f t="shared" si="2"/>
        <v>986.77461538461534</v>
      </c>
    </row>
    <row r="20" spans="1:18" ht="18.95" customHeight="1" x14ac:dyDescent="0.2">
      <c r="A20" s="22">
        <v>14</v>
      </c>
      <c r="B20" s="18">
        <f>'[3]input data'!Z474</f>
        <v>988.7</v>
      </c>
      <c r="C20" s="18">
        <f>'[3]input data'!Z475</f>
        <v>988.9</v>
      </c>
      <c r="D20" s="18">
        <f>'[3]input data'!Z476</f>
        <v>989.3</v>
      </c>
      <c r="E20" s="18">
        <f>'[3]input data'!Z477</f>
        <v>989.3</v>
      </c>
      <c r="F20" s="18">
        <f>'[3]input data'!Z478</f>
        <v>988.6</v>
      </c>
      <c r="G20" s="18">
        <f>'[3]input data'!Z479</f>
        <v>987.3</v>
      </c>
      <c r="H20" s="18">
        <f>'[3]input data'!Z480</f>
        <v>986.2</v>
      </c>
      <c r="I20" s="18">
        <f>'[3]input data'!Z481</f>
        <v>985.27</v>
      </c>
      <c r="J20" s="18">
        <f>'[3]input data'!Z482</f>
        <v>984.54</v>
      </c>
      <c r="K20" s="18">
        <f>'[3]input data'!Z483</f>
        <v>985.54</v>
      </c>
      <c r="L20" s="18">
        <f>'[3]input data'!Z484</f>
        <v>985.96</v>
      </c>
      <c r="M20" s="18">
        <f>'[3]input data'!Z485</f>
        <v>986.68</v>
      </c>
      <c r="N20" s="18">
        <f>'[3]input data'!Z486</f>
        <v>987.74</v>
      </c>
      <c r="O20" s="19">
        <f t="shared" si="0"/>
        <v>989.3</v>
      </c>
      <c r="P20" s="20">
        <f t="shared" si="1"/>
        <v>984.54</v>
      </c>
      <c r="Q20" s="21">
        <f t="shared" si="2"/>
        <v>987.23307692307696</v>
      </c>
      <c r="R20" s="38"/>
    </row>
    <row r="21" spans="1:18" ht="18.95" customHeight="1" x14ac:dyDescent="0.2">
      <c r="A21" s="22">
        <v>15</v>
      </c>
      <c r="B21" s="18">
        <f>'[3]input data'!Z510</f>
        <v>988.94</v>
      </c>
      <c r="C21" s="18">
        <f>'[3]input data'!Z511</f>
        <v>989.37</v>
      </c>
      <c r="D21" s="18">
        <f>'[3]input data'!Z512</f>
        <v>989.63</v>
      </c>
      <c r="E21" s="18">
        <f>'[3]input data'!Z513</f>
        <v>989.5</v>
      </c>
      <c r="F21" s="18">
        <f>'[3]input data'!Z514</f>
        <v>988.9</v>
      </c>
      <c r="G21" s="18">
        <f>'[3]input data'!Z515</f>
        <v>988.05</v>
      </c>
      <c r="H21" s="18">
        <f>'[3]input data'!Z516</f>
        <v>987.25</v>
      </c>
      <c r="I21" s="18">
        <f>'[3]input data'!Z517</f>
        <v>986.4</v>
      </c>
      <c r="J21" s="18">
        <f>'[3]input data'!Z518</f>
        <v>985.6</v>
      </c>
      <c r="K21" s="18">
        <f>'[3]input data'!Z519</f>
        <v>985.8</v>
      </c>
      <c r="L21" s="18">
        <f>'[3]input data'!Z520</f>
        <v>985.9</v>
      </c>
      <c r="M21" s="18">
        <f>'[3]input data'!Z521</f>
        <v>986.3</v>
      </c>
      <c r="N21" s="18">
        <f>'[3]input data'!Z522</f>
        <v>987.1</v>
      </c>
      <c r="O21" s="19">
        <f t="shared" si="0"/>
        <v>989.63</v>
      </c>
      <c r="P21" s="20">
        <f t="shared" si="1"/>
        <v>985.6</v>
      </c>
      <c r="Q21" s="21">
        <f t="shared" si="2"/>
        <v>987.59538461538443</v>
      </c>
    </row>
    <row r="22" spans="1:18" ht="18.95" customHeight="1" x14ac:dyDescent="0.2">
      <c r="A22" s="22">
        <v>16</v>
      </c>
      <c r="B22" s="18">
        <f>'[3]input data'!Z546</f>
        <v>988</v>
      </c>
      <c r="C22" s="18">
        <f>'[3]input data'!Z547</f>
        <v>988.6</v>
      </c>
      <c r="D22" s="18">
        <f>'[3]input data'!Z548</f>
        <v>989</v>
      </c>
      <c r="E22" s="18">
        <f>'[3]input data'!Z549</f>
        <v>988.9</v>
      </c>
      <c r="F22" s="18">
        <f>'[3]input data'!Z550</f>
        <v>987.9</v>
      </c>
      <c r="G22" s="18">
        <f>'[3]input data'!Z551</f>
        <v>986.7</v>
      </c>
      <c r="H22" s="18">
        <f>'[3]input data'!Z552</f>
        <v>986</v>
      </c>
      <c r="I22" s="18">
        <f>'[3]input data'!Z553</f>
        <v>984.8</v>
      </c>
      <c r="J22" s="18">
        <f>'[3]input data'!Z554</f>
        <v>984.5</v>
      </c>
      <c r="K22" s="18">
        <f>'[3]input data'!Z555</f>
        <v>985.8</v>
      </c>
      <c r="L22" s="18">
        <f>'[3]input data'!Z556</f>
        <v>987</v>
      </c>
      <c r="M22" s="18">
        <f>'[3]input data'!Z557</f>
        <v>987.5</v>
      </c>
      <c r="N22" s="18">
        <f>'[3]input data'!Z558</f>
        <v>987.4</v>
      </c>
      <c r="O22" s="19">
        <f t="shared" si="0"/>
        <v>989</v>
      </c>
      <c r="P22" s="20">
        <f t="shared" si="1"/>
        <v>984.5</v>
      </c>
      <c r="Q22" s="21">
        <f t="shared" si="2"/>
        <v>987.08461538461529</v>
      </c>
    </row>
    <row r="23" spans="1:18" ht="18.95" customHeight="1" x14ac:dyDescent="0.2">
      <c r="A23" s="22">
        <v>17</v>
      </c>
      <c r="B23" s="18">
        <f>'[3]input data'!Z582</f>
        <v>988.2</v>
      </c>
      <c r="C23" s="18">
        <f>'[3]input data'!Z583</f>
        <v>988.7</v>
      </c>
      <c r="D23" s="18">
        <f>'[3]input data'!Z584</f>
        <v>988.8</v>
      </c>
      <c r="E23" s="18">
        <f>'[3]input data'!Z585</f>
        <v>988.5</v>
      </c>
      <c r="F23" s="18">
        <f>'[3]input data'!Z586</f>
        <v>987.8</v>
      </c>
      <c r="G23" s="18">
        <f>'[3]input data'!Z587</f>
        <v>986.9</v>
      </c>
      <c r="H23" s="18">
        <f>'[3]input data'!Z588</f>
        <v>985.7</v>
      </c>
      <c r="I23" s="18">
        <f>'[3]input data'!Z589</f>
        <v>984.4</v>
      </c>
      <c r="J23" s="18">
        <f>'[3]input data'!Z590</f>
        <v>983.9</v>
      </c>
      <c r="K23" s="18">
        <f>'[3]input data'!Z591</f>
        <v>983.8</v>
      </c>
      <c r="L23" s="18">
        <f>'[3]input data'!Z592</f>
        <v>984.15</v>
      </c>
      <c r="M23" s="18">
        <f>'[3]input data'!Z593</f>
        <v>984.79</v>
      </c>
      <c r="N23" s="18">
        <f>'[3]input data'!Z594</f>
        <v>985.4</v>
      </c>
      <c r="O23" s="19">
        <f t="shared" si="0"/>
        <v>988.8</v>
      </c>
      <c r="P23" s="20">
        <f t="shared" si="1"/>
        <v>983.8</v>
      </c>
      <c r="Q23" s="21">
        <f t="shared" si="2"/>
        <v>986.23384615384612</v>
      </c>
    </row>
    <row r="24" spans="1:18" ht="18.95" customHeight="1" x14ac:dyDescent="0.2">
      <c r="A24" s="22">
        <v>18</v>
      </c>
      <c r="B24" s="18">
        <f>'[3]input data'!Z618</f>
        <v>988.3</v>
      </c>
      <c r="C24" s="18">
        <f>'[3]input data'!Z619</f>
        <v>988.7</v>
      </c>
      <c r="D24" s="18">
        <f>'[3]input data'!Z620</f>
        <v>988.6</v>
      </c>
      <c r="E24" s="18">
        <f>'[3]input data'!Z621</f>
        <v>987.8</v>
      </c>
      <c r="F24" s="18">
        <f>'[3]input data'!Z622</f>
        <v>986.9</v>
      </c>
      <c r="G24" s="18">
        <f>'[3]input data'!Z623</f>
        <v>986.7</v>
      </c>
      <c r="H24" s="18">
        <f>'[3]input data'!Z624</f>
        <v>985.7</v>
      </c>
      <c r="I24" s="18">
        <f>'[3]input data'!Z625</f>
        <v>984.6</v>
      </c>
      <c r="J24" s="18">
        <f>'[3]input data'!Z626</f>
        <v>984.5</v>
      </c>
      <c r="K24" s="18">
        <f>'[3]input data'!Z627</f>
        <v>984.5</v>
      </c>
      <c r="L24" s="18">
        <f>'[3]input data'!Z628</f>
        <v>985.1</v>
      </c>
      <c r="M24" s="18">
        <f>'[3]input data'!Z629</f>
        <v>985.6</v>
      </c>
      <c r="N24" s="18">
        <f>'[3]input data'!Z630</f>
        <v>986.6</v>
      </c>
      <c r="O24" s="19">
        <f t="shared" si="0"/>
        <v>988.7</v>
      </c>
      <c r="P24" s="20">
        <f t="shared" si="1"/>
        <v>984.5</v>
      </c>
      <c r="Q24" s="21">
        <f t="shared" si="2"/>
        <v>986.43076923076922</v>
      </c>
    </row>
    <row r="25" spans="1:18" ht="18.95" customHeight="1" x14ac:dyDescent="0.2">
      <c r="A25" s="22">
        <v>19</v>
      </c>
      <c r="B25" s="18">
        <f>'[3]input data'!Z654</f>
        <v>987.75</v>
      </c>
      <c r="C25" s="18">
        <f>'[3]input data'!Z655</f>
        <v>988.27</v>
      </c>
      <c r="D25" s="18">
        <f>'[3]input data'!Z656</f>
        <v>988.39</v>
      </c>
      <c r="E25" s="18">
        <f>'[3]input data'!Z657</f>
        <v>988.98</v>
      </c>
      <c r="F25" s="18">
        <f>'[3]input data'!Z658</f>
        <v>987.4</v>
      </c>
      <c r="G25" s="18">
        <f>'[3]input data'!Z659</f>
        <v>986.47</v>
      </c>
      <c r="H25" s="18">
        <f>'[3]input data'!Z660</f>
        <v>985.84</v>
      </c>
      <c r="I25" s="18">
        <f>'[3]input data'!Z661</f>
        <v>985.3</v>
      </c>
      <c r="J25" s="18">
        <f>'[3]input data'!Z662</f>
        <v>985.3</v>
      </c>
      <c r="K25" s="18">
        <f>'[3]input data'!Z663</f>
        <v>985.7</v>
      </c>
      <c r="L25" s="18">
        <f>'[3]input data'!Z664</f>
        <v>986.2</v>
      </c>
      <c r="M25" s="18">
        <f>'[3]input data'!Z665</f>
        <v>986.8</v>
      </c>
      <c r="N25" s="18">
        <f>'[3]input data'!Z666</f>
        <v>987.7</v>
      </c>
      <c r="O25" s="19">
        <f t="shared" si="0"/>
        <v>988.98</v>
      </c>
      <c r="P25" s="20">
        <f t="shared" si="1"/>
        <v>985.3</v>
      </c>
      <c r="Q25" s="21">
        <f t="shared" si="2"/>
        <v>986.93076923076944</v>
      </c>
    </row>
    <row r="26" spans="1:18" ht="18.95" customHeight="1" x14ac:dyDescent="0.2">
      <c r="A26" s="22">
        <v>20</v>
      </c>
      <c r="B26" s="18">
        <f>'[3]input data'!Z690</f>
        <v>988.02</v>
      </c>
      <c r="C26" s="18">
        <f>'[3]input data'!Z691</f>
        <v>988.41</v>
      </c>
      <c r="D26" s="18">
        <f>'[3]input data'!Z692</f>
        <v>989.01</v>
      </c>
      <c r="E26" s="18">
        <f>'[3]input data'!Z693</f>
        <v>989.28</v>
      </c>
      <c r="F26" s="18">
        <f>'[3]input data'!Z694</f>
        <v>988.52</v>
      </c>
      <c r="G26" s="18">
        <f>'[3]input data'!Z695</f>
        <v>987.9</v>
      </c>
      <c r="H26" s="18">
        <f>'[3]input data'!Z696</f>
        <v>986.92</v>
      </c>
      <c r="I26" s="18">
        <f>'[3]input data'!Z697</f>
        <v>986.9</v>
      </c>
      <c r="J26" s="18">
        <f>'[3]input data'!Z698</f>
        <v>986.8</v>
      </c>
      <c r="K26" s="18">
        <f>'[3]input data'!Z699</f>
        <v>986.8</v>
      </c>
      <c r="L26" s="18">
        <f>'[3]input data'!Z700</f>
        <v>987.7</v>
      </c>
      <c r="M26" s="18">
        <f>'[3]input data'!Z701</f>
        <v>988.1</v>
      </c>
      <c r="N26" s="18">
        <f>'[3]input data'!Z702</f>
        <v>988.3</v>
      </c>
      <c r="O26" s="19">
        <f t="shared" si="0"/>
        <v>989.28</v>
      </c>
      <c r="P26" s="20">
        <f t="shared" si="1"/>
        <v>986.8</v>
      </c>
      <c r="Q26" s="21">
        <f t="shared" si="2"/>
        <v>987.89692307692292</v>
      </c>
    </row>
    <row r="27" spans="1:18" ht="18.95" customHeight="1" x14ac:dyDescent="0.2">
      <c r="A27" s="22">
        <v>21</v>
      </c>
      <c r="B27" s="18">
        <f>'[3]input data'!Z726</f>
        <v>989.97</v>
      </c>
      <c r="C27" s="18">
        <f>'[3]input data'!Z727</f>
        <v>990.2</v>
      </c>
      <c r="D27" s="18">
        <f>'[3]input data'!Z728</f>
        <v>990</v>
      </c>
      <c r="E27" s="18">
        <f>'[3]input data'!Z729</f>
        <v>989.7</v>
      </c>
      <c r="F27" s="18">
        <f>'[3]input data'!Z730</f>
        <v>989.2</v>
      </c>
      <c r="G27" s="18">
        <f>'[3]input data'!Z731</f>
        <v>988.8</v>
      </c>
      <c r="H27" s="18">
        <f>'[3]input data'!Z732</f>
        <v>987.6</v>
      </c>
      <c r="I27" s="18">
        <f>'[3]input data'!Z733</f>
        <v>987.4</v>
      </c>
      <c r="J27" s="18">
        <f>'[3]input data'!Z734</f>
        <v>987.6</v>
      </c>
      <c r="K27" s="18">
        <f>'[3]input data'!Z735</f>
        <v>987.7</v>
      </c>
      <c r="L27" s="18">
        <f>'[3]input data'!Z736</f>
        <v>988.1</v>
      </c>
      <c r="M27" s="18">
        <f>'[3]input data'!Z737</f>
        <v>988.5</v>
      </c>
      <c r="N27" s="18">
        <f>'[3]input data'!Z738</f>
        <v>989.3</v>
      </c>
      <c r="O27" s="19">
        <f t="shared" si="0"/>
        <v>990.2</v>
      </c>
      <c r="P27" s="20">
        <f t="shared" si="1"/>
        <v>987.4</v>
      </c>
      <c r="Q27" s="21">
        <f t="shared" si="2"/>
        <v>988.77461538461534</v>
      </c>
    </row>
    <row r="28" spans="1:18" ht="18.95" customHeight="1" x14ac:dyDescent="0.2">
      <c r="A28" s="22">
        <v>22</v>
      </c>
      <c r="B28" s="18">
        <f>'[3]input data'!Z762</f>
        <v>989.9</v>
      </c>
      <c r="C28" s="18">
        <f>'[3]input data'!Z762</f>
        <v>989.9</v>
      </c>
      <c r="D28" s="18">
        <f>'[3]input data'!Z764</f>
        <v>990.6</v>
      </c>
      <c r="E28" s="18">
        <f>'[3]input data'!Z765</f>
        <v>989.7</v>
      </c>
      <c r="F28" s="18">
        <f>'[3]input data'!Z766</f>
        <v>988.9</v>
      </c>
      <c r="G28" s="18">
        <f>'[3]input data'!Z767</f>
        <v>987.9</v>
      </c>
      <c r="H28" s="18">
        <f>'[3]input data'!Z768</f>
        <v>987</v>
      </c>
      <c r="I28" s="18">
        <f>'[3]input data'!Z769</f>
        <v>986</v>
      </c>
      <c r="J28" s="18">
        <f>'[3]input data'!Z770</f>
        <v>986.1</v>
      </c>
      <c r="K28" s="18">
        <f>'[3]input data'!Z771</f>
        <v>987</v>
      </c>
      <c r="L28" s="18">
        <f>'[3]input data'!Z772</f>
        <v>988.4</v>
      </c>
      <c r="M28" s="18">
        <f>'[3]input data'!Z773</f>
        <v>989.7</v>
      </c>
      <c r="N28" s="18">
        <f>'[3]input data'!Z774</f>
        <v>989.8</v>
      </c>
      <c r="O28" s="19">
        <f t="shared" si="0"/>
        <v>990.6</v>
      </c>
      <c r="P28" s="20">
        <f t="shared" si="1"/>
        <v>986</v>
      </c>
      <c r="Q28" s="21">
        <f t="shared" si="2"/>
        <v>988.53076923076924</v>
      </c>
    </row>
    <row r="29" spans="1:18" ht="18.95" customHeight="1" x14ac:dyDescent="0.2">
      <c r="A29" s="22">
        <v>23</v>
      </c>
      <c r="B29" s="18">
        <f>'[3]input data'!Z798</f>
        <v>990.2</v>
      </c>
      <c r="C29" s="18">
        <f>'[3]input data'!Z799</f>
        <v>990.5</v>
      </c>
      <c r="D29" s="18">
        <f>'[3]input data'!Z800</f>
        <v>990.5</v>
      </c>
      <c r="E29" s="18">
        <f>'[3]input data'!Z801</f>
        <v>990.4</v>
      </c>
      <c r="F29" s="18">
        <f>'[3]input data'!Z802</f>
        <v>989.4</v>
      </c>
      <c r="G29" s="18">
        <f>'[3]input data'!Z803</f>
        <v>988.9</v>
      </c>
      <c r="H29" s="18">
        <f>'[3]input data'!Z804</f>
        <v>987.6</v>
      </c>
      <c r="I29" s="18">
        <f>'[3]input data'!Z805</f>
        <v>986.8</v>
      </c>
      <c r="J29" s="18">
        <f>'[3]input data'!Z806</f>
        <v>986.6</v>
      </c>
      <c r="K29" s="18">
        <f>'[3]input data'!Z807</f>
        <v>986.4</v>
      </c>
      <c r="L29" s="18">
        <f>'[3]input data'!Z808</f>
        <v>986.7</v>
      </c>
      <c r="M29" s="18">
        <f>'[3]input data'!Z809</f>
        <v>988.4</v>
      </c>
      <c r="N29" s="18">
        <f>'[3]input data'!Z810</f>
        <v>989</v>
      </c>
      <c r="O29" s="19">
        <f t="shared" si="0"/>
        <v>990.5</v>
      </c>
      <c r="P29" s="20">
        <f t="shared" si="1"/>
        <v>986.4</v>
      </c>
      <c r="Q29" s="21">
        <f t="shared" si="2"/>
        <v>988.56923076923078</v>
      </c>
    </row>
    <row r="30" spans="1:18" ht="18.95" customHeight="1" x14ac:dyDescent="0.2">
      <c r="A30" s="22">
        <v>24</v>
      </c>
      <c r="B30" s="18">
        <f>'[3]input data'!Z834</f>
        <v>989.4</v>
      </c>
      <c r="C30" s="18">
        <f>'[3]input data'!Z835</f>
        <v>989.6</v>
      </c>
      <c r="D30" s="18">
        <f>'[3]input data'!Z836</f>
        <v>989.7</v>
      </c>
      <c r="E30" s="18">
        <f>'[3]input data'!Z837</f>
        <v>989.1</v>
      </c>
      <c r="F30" s="18">
        <f>'[3]input data'!Z838</f>
        <v>988.4</v>
      </c>
      <c r="G30" s="18">
        <f>'[3]input data'!Z839</f>
        <v>987.6</v>
      </c>
      <c r="H30" s="18">
        <f>'[3]input data'!Z840</f>
        <v>987</v>
      </c>
      <c r="I30" s="18">
        <f>'[3]input data'!Z841</f>
        <v>986.6</v>
      </c>
      <c r="J30" s="18">
        <f>'[3]input data'!Z842</f>
        <v>987</v>
      </c>
      <c r="K30" s="18">
        <f>'[3]input data'!Z843</f>
        <v>987.8</v>
      </c>
      <c r="L30" s="18">
        <f>'[3]input data'!Z844</f>
        <v>987.7</v>
      </c>
      <c r="M30" s="18">
        <f>'[3]input data'!Z845</f>
        <v>988.3</v>
      </c>
      <c r="N30" s="18">
        <f>'[3]input data'!Z846</f>
        <v>989</v>
      </c>
      <c r="O30" s="19">
        <f t="shared" si="0"/>
        <v>989.7</v>
      </c>
      <c r="P30" s="20">
        <f t="shared" si="1"/>
        <v>986.6</v>
      </c>
      <c r="Q30" s="21">
        <f t="shared" si="2"/>
        <v>988.2461538461539</v>
      </c>
    </row>
    <row r="31" spans="1:18" ht="18.95" customHeight="1" x14ac:dyDescent="0.2">
      <c r="A31" s="22">
        <v>25</v>
      </c>
      <c r="B31" s="18">
        <f>'[3]input data'!Z870</f>
        <v>991.3</v>
      </c>
      <c r="C31" s="18">
        <f>'[3]input data'!Z871</f>
        <v>992.1</v>
      </c>
      <c r="D31" s="18">
        <f>'[3]input data'!Z872</f>
        <v>992.5</v>
      </c>
      <c r="E31" s="18">
        <f>'[3]input data'!Z873</f>
        <v>991.8</v>
      </c>
      <c r="F31" s="18">
        <f>'[3]input data'!Z874</f>
        <v>990.6</v>
      </c>
      <c r="G31" s="18">
        <f>'[3]input data'!Z875</f>
        <v>989.7</v>
      </c>
      <c r="H31" s="18">
        <f>'[3]input data'!Z876</f>
        <v>988.9</v>
      </c>
      <c r="I31" s="18">
        <f>'[3]input data'!Z877</f>
        <v>988.28</v>
      </c>
      <c r="J31" s="18">
        <f>'[3]input data'!Z878</f>
        <v>987.92</v>
      </c>
      <c r="K31" s="18">
        <f>'[3]input data'!Z879</f>
        <v>987.58</v>
      </c>
      <c r="L31" s="18">
        <f>'[3]input data'!Z880</f>
        <v>987.87</v>
      </c>
      <c r="M31" s="18">
        <f>'[3]input data'!Z881</f>
        <v>988.83</v>
      </c>
      <c r="N31" s="18">
        <f>'[3]input data'!Z882</f>
        <v>989.66</v>
      </c>
      <c r="O31" s="19">
        <f t="shared" si="0"/>
        <v>992.5</v>
      </c>
      <c r="P31" s="20">
        <f t="shared" si="1"/>
        <v>987.58</v>
      </c>
      <c r="Q31" s="21">
        <f t="shared" si="2"/>
        <v>989.77230769230766</v>
      </c>
    </row>
    <row r="32" spans="1:18" ht="18.95" customHeight="1" x14ac:dyDescent="0.2">
      <c r="A32" s="22">
        <v>26</v>
      </c>
      <c r="B32" s="18">
        <f>'[3]input data'!Z906</f>
        <v>991.14</v>
      </c>
      <c r="C32" s="18">
        <f>'[3]input data'!Z907</f>
        <v>992.18</v>
      </c>
      <c r="D32" s="18">
        <f>'[3]input data'!Z908</f>
        <v>992.24</v>
      </c>
      <c r="E32" s="18">
        <f>'[3]input data'!Z909</f>
        <v>991.91</v>
      </c>
      <c r="F32" s="18">
        <f>'[3]input data'!Z910</f>
        <v>991.08</v>
      </c>
      <c r="G32" s="18">
        <f>'[3]input data'!Z911</f>
        <v>989.81</v>
      </c>
      <c r="H32" s="18">
        <f>'[3]input data'!Z912</f>
        <v>988.71</v>
      </c>
      <c r="I32" s="18">
        <f>'[3]input data'!Z913</f>
        <v>987.97</v>
      </c>
      <c r="J32" s="18">
        <f>'[3]input data'!Z914</f>
        <v>988.07</v>
      </c>
      <c r="K32" s="18">
        <f>'[3]input data'!Z915</f>
        <v>988.94</v>
      </c>
      <c r="L32" s="18">
        <f>'[3]input data'!Z916</f>
        <v>989.3</v>
      </c>
      <c r="M32" s="18">
        <f>'[3]input data'!Z917</f>
        <v>990.28</v>
      </c>
      <c r="N32" s="18">
        <f>'[3]input data'!Z918</f>
        <v>990.9</v>
      </c>
      <c r="O32" s="19">
        <f t="shared" si="0"/>
        <v>992.24</v>
      </c>
      <c r="P32" s="20">
        <f t="shared" si="1"/>
        <v>987.97</v>
      </c>
      <c r="Q32" s="21">
        <f t="shared" si="2"/>
        <v>990.19461538461542</v>
      </c>
    </row>
    <row r="33" spans="1:17" ht="18.95" customHeight="1" x14ac:dyDescent="0.2">
      <c r="A33" s="22">
        <v>27</v>
      </c>
      <c r="B33" s="18">
        <f>'[3]input data'!Z942</f>
        <v>990.8</v>
      </c>
      <c r="C33" s="18">
        <f>'[3]input data'!Z943</f>
        <v>991.8</v>
      </c>
      <c r="D33" s="18">
        <f>'[3]input data'!Z944</f>
        <v>992</v>
      </c>
      <c r="E33" s="18">
        <f>'[3]input data'!Z945</f>
        <v>992</v>
      </c>
      <c r="F33" s="18">
        <f>'[3]input data'!Z946</f>
        <v>991</v>
      </c>
      <c r="G33" s="18">
        <f>'[3]input data'!Z947</f>
        <v>990.2</v>
      </c>
      <c r="H33" s="18">
        <f>'[3]input data'!Z948</f>
        <v>989.2</v>
      </c>
      <c r="I33" s="18">
        <f>'[3]input data'!Z949</f>
        <v>988.1</v>
      </c>
      <c r="J33" s="18">
        <f>'[3]input data'!Z950</f>
        <v>987.3</v>
      </c>
      <c r="K33" s="18">
        <f>'[3]input data'!Z951</f>
        <v>987.4</v>
      </c>
      <c r="L33" s="18">
        <f>'[3]input data'!Z952</f>
        <v>987.9</v>
      </c>
      <c r="M33" s="18">
        <f>'[3]input data'!Z953</f>
        <v>988.4</v>
      </c>
      <c r="N33" s="18">
        <f>'[3]input data'!Z954</f>
        <v>989.6</v>
      </c>
      <c r="O33" s="19">
        <f t="shared" si="0"/>
        <v>992</v>
      </c>
      <c r="P33" s="20">
        <f t="shared" si="1"/>
        <v>987.3</v>
      </c>
      <c r="Q33" s="21">
        <f t="shared" si="2"/>
        <v>989.66923076923069</v>
      </c>
    </row>
    <row r="34" spans="1:17" ht="18.95" customHeight="1" x14ac:dyDescent="0.2">
      <c r="A34" s="22">
        <v>28</v>
      </c>
      <c r="B34" s="18">
        <f>'[3]input data'!Z978</f>
        <v>989.7</v>
      </c>
      <c r="C34" s="18">
        <f>'[3]input data'!Z979</f>
        <v>989.8</v>
      </c>
      <c r="D34" s="18">
        <f>'[3]input data'!Z980</f>
        <v>989</v>
      </c>
      <c r="E34" s="18">
        <f>'[3]input data'!Z981</f>
        <v>988.6</v>
      </c>
      <c r="F34" s="18">
        <f>'[3]input data'!Z982</f>
        <v>987.9</v>
      </c>
      <c r="G34" s="18">
        <f>'[3]input data'!Z983</f>
        <v>987.4</v>
      </c>
      <c r="H34" s="18">
        <f>'[3]input data'!Z984</f>
        <v>986.7</v>
      </c>
      <c r="I34" s="18">
        <f>'[3]input data'!Z985</f>
        <v>986.1</v>
      </c>
      <c r="J34" s="18">
        <f>'[3]input data'!Z986</f>
        <v>987</v>
      </c>
      <c r="K34" s="18">
        <f>'[3]input data'!Z987</f>
        <v>988</v>
      </c>
      <c r="L34" s="18">
        <f>'[3]input data'!Z988</f>
        <v>988.2</v>
      </c>
      <c r="M34" s="18">
        <f>'[3]input data'!Z989</f>
        <v>988.4</v>
      </c>
      <c r="N34" s="18">
        <f>'[3]input data'!Z990</f>
        <v>989.5</v>
      </c>
      <c r="O34" s="19">
        <f t="shared" si="0"/>
        <v>989.8</v>
      </c>
      <c r="P34" s="20">
        <f t="shared" si="1"/>
        <v>986.1</v>
      </c>
      <c r="Q34" s="21">
        <f t="shared" si="2"/>
        <v>988.17692307692312</v>
      </c>
    </row>
    <row r="35" spans="1:17" ht="18.95" customHeight="1" x14ac:dyDescent="0.2">
      <c r="A35" s="22">
        <v>29</v>
      </c>
      <c r="B35" s="18">
        <f>'[3]input data'!Z1014</f>
        <v>989.8</v>
      </c>
      <c r="C35" s="18">
        <f>'[3]input data'!Z1015</f>
        <v>990.4</v>
      </c>
      <c r="D35" s="18">
        <f>'[3]input data'!Z1016</f>
        <v>990.7</v>
      </c>
      <c r="E35" s="18">
        <f>'[3]input data'!Z1017</f>
        <v>990.3</v>
      </c>
      <c r="F35" s="18">
        <f>'[3]input data'!Z1018</f>
        <v>989.7</v>
      </c>
      <c r="G35" s="18">
        <f>'[3]input data'!Z1019</f>
        <v>988.5</v>
      </c>
      <c r="H35" s="18">
        <f>'[3]input data'!Z1020</f>
        <v>987.8</v>
      </c>
      <c r="I35" s="18">
        <f>'[3]input data'!Z1021</f>
        <v>986.9</v>
      </c>
      <c r="J35" s="18">
        <f>'[3]input data'!Z1022</f>
        <v>987.22</v>
      </c>
      <c r="K35" s="18">
        <f>'[3]input data'!Z1023</f>
        <v>987.88</v>
      </c>
      <c r="L35" s="18">
        <f>'[3]input data'!Z1024</f>
        <v>987.93</v>
      </c>
      <c r="M35" s="18">
        <f>'[3]input data'!Z1025</f>
        <v>988.44</v>
      </c>
      <c r="N35" s="18">
        <f>'[3]input data'!Z1026</f>
        <v>988.49</v>
      </c>
      <c r="O35" s="19">
        <f t="shared" si="0"/>
        <v>990.7</v>
      </c>
      <c r="P35" s="20">
        <f t="shared" si="1"/>
        <v>986.9</v>
      </c>
      <c r="Q35" s="21">
        <f t="shared" si="2"/>
        <v>988.77384615384608</v>
      </c>
    </row>
    <row r="36" spans="1:17" ht="18.95" customHeight="1" x14ac:dyDescent="0.2">
      <c r="A36" s="22">
        <v>30</v>
      </c>
      <c r="B36" s="18">
        <f>'[3]input data'!Z1050</f>
        <v>990.4</v>
      </c>
      <c r="C36" s="18">
        <f>'[3]input data'!Z1051</f>
        <v>990.7</v>
      </c>
      <c r="D36" s="18">
        <f>'[3]input data'!Z1052</f>
        <v>990.7</v>
      </c>
      <c r="E36" s="18">
        <f>'[3]input data'!Z1053</f>
        <v>990.3</v>
      </c>
      <c r="F36" s="18">
        <f>'[3]input data'!Z1054</f>
        <v>989.1</v>
      </c>
      <c r="G36" s="18">
        <f>'[3]input data'!Z1055</f>
        <v>988.4</v>
      </c>
      <c r="H36" s="18">
        <f>'[3]input data'!Z1056</f>
        <v>987.5</v>
      </c>
      <c r="I36" s="18">
        <f>'[3]input data'!Z1057</f>
        <v>986.2</v>
      </c>
      <c r="J36" s="18">
        <f>'[3]input data'!Z1058</f>
        <v>986.8</v>
      </c>
      <c r="K36" s="18">
        <f>'[3]input data'!Z1059</f>
        <v>987.5</v>
      </c>
      <c r="L36" s="18">
        <f>'[3]input data'!Z1060</f>
        <v>987.6</v>
      </c>
      <c r="M36" s="18">
        <f>'[3]input data'!Z1061</f>
        <v>987.8</v>
      </c>
      <c r="N36" s="18">
        <f>'[3]input data'!Z1062</f>
        <v>988.9</v>
      </c>
      <c r="O36" s="19">
        <f t="shared" si="0"/>
        <v>990.7</v>
      </c>
      <c r="P36" s="20">
        <f t="shared" si="1"/>
        <v>986.2</v>
      </c>
      <c r="Q36" s="21">
        <f t="shared" si="2"/>
        <v>988.60769230769233</v>
      </c>
    </row>
    <row r="37" spans="1:17" ht="18.95" customHeight="1" thickBot="1" x14ac:dyDescent="0.25">
      <c r="A37" s="22">
        <v>31</v>
      </c>
      <c r="B37" s="18">
        <f>'[3]input data'!Z1086</f>
        <v>991.1</v>
      </c>
      <c r="C37" s="18">
        <f>'[3]input data'!Z1087</f>
        <v>991.3</v>
      </c>
      <c r="D37" s="18">
        <f>'[3]input data'!Z1088</f>
        <v>991.4</v>
      </c>
      <c r="E37" s="18">
        <f>'[3]input data'!Z1089</f>
        <v>990.89</v>
      </c>
      <c r="F37" s="18">
        <f>'[3]input data'!Z1090</f>
        <v>990.1</v>
      </c>
      <c r="G37" s="18">
        <f>'[3]input data'!Z1091</f>
        <v>989.15</v>
      </c>
      <c r="H37" s="18">
        <f>'[3]input data'!Z1092</f>
        <v>987.6</v>
      </c>
      <c r="I37" s="18">
        <f>'[3]input data'!Z1093</f>
        <v>986.9</v>
      </c>
      <c r="J37" s="18">
        <f>'[3]input data'!Z1094</f>
        <v>986.5</v>
      </c>
      <c r="K37" s="18">
        <f>'[3]input data'!Z1095</f>
        <v>986.5</v>
      </c>
      <c r="L37" s="18">
        <f>'[3]input data'!Z1096</f>
        <v>987.2</v>
      </c>
      <c r="M37" s="18">
        <f>'[3]input data'!Z1097</f>
        <v>988.2</v>
      </c>
      <c r="N37" s="18">
        <f>'[3]input data'!Z1098</f>
        <v>989.5</v>
      </c>
      <c r="O37" s="19">
        <f t="shared" si="0"/>
        <v>991.4</v>
      </c>
      <c r="P37" s="20">
        <f t="shared" si="1"/>
        <v>986.5</v>
      </c>
      <c r="Q37" s="21">
        <f t="shared" si="2"/>
        <v>988.94923076923078</v>
      </c>
    </row>
    <row r="38" spans="1:17" ht="18" customHeight="1" thickTop="1" x14ac:dyDescent="0.2">
      <c r="A38" s="24" t="s">
        <v>23</v>
      </c>
      <c r="B38" s="25">
        <f>MAX(B7:B37)</f>
        <v>991.3</v>
      </c>
      <c r="C38" s="25">
        <f t="shared" ref="C38:N38" si="3">MAX(C7:C37)</f>
        <v>992.18</v>
      </c>
      <c r="D38" s="25">
        <f t="shared" si="3"/>
        <v>992.5</v>
      </c>
      <c r="E38" s="25">
        <f t="shared" si="3"/>
        <v>992</v>
      </c>
      <c r="F38" s="25">
        <f t="shared" si="3"/>
        <v>991.08</v>
      </c>
      <c r="G38" s="25">
        <f t="shared" si="3"/>
        <v>990.2</v>
      </c>
      <c r="H38" s="25">
        <f t="shared" si="3"/>
        <v>989.2</v>
      </c>
      <c r="I38" s="25">
        <f t="shared" si="3"/>
        <v>988.28</v>
      </c>
      <c r="J38" s="25">
        <f t="shared" si="3"/>
        <v>988.07</v>
      </c>
      <c r="K38" s="25">
        <f t="shared" si="3"/>
        <v>988.94</v>
      </c>
      <c r="L38" s="25">
        <f t="shared" si="3"/>
        <v>989.3</v>
      </c>
      <c r="M38" s="25">
        <f t="shared" si="3"/>
        <v>990.28</v>
      </c>
      <c r="N38" s="25">
        <f t="shared" si="3"/>
        <v>990.9</v>
      </c>
      <c r="O38" s="26">
        <f>MAX(O7:O37)</f>
        <v>992.5</v>
      </c>
      <c r="P38" s="25">
        <f>MAX(P7:P37)</f>
        <v>987.97</v>
      </c>
      <c r="Q38" s="27">
        <f>MAX(Q7:Q37)</f>
        <v>990.19461538461542</v>
      </c>
    </row>
    <row r="39" spans="1:17" ht="18" customHeight="1" x14ac:dyDescent="0.2">
      <c r="A39" s="22" t="s">
        <v>24</v>
      </c>
      <c r="B39" s="28">
        <f>MIN(B7:B37)</f>
        <v>986.8</v>
      </c>
      <c r="C39" s="28">
        <f t="shared" ref="C39:N39" si="4">MIN(C7:C37)</f>
        <v>987.4</v>
      </c>
      <c r="D39" s="28">
        <f t="shared" si="4"/>
        <v>987.6</v>
      </c>
      <c r="E39" s="28">
        <f t="shared" si="4"/>
        <v>987.4</v>
      </c>
      <c r="F39" s="28">
        <f t="shared" si="4"/>
        <v>986.5</v>
      </c>
      <c r="G39" s="28">
        <f t="shared" si="4"/>
        <v>985.6</v>
      </c>
      <c r="H39" s="28">
        <f t="shared" si="4"/>
        <v>984.6</v>
      </c>
      <c r="I39" s="28">
        <f t="shared" si="4"/>
        <v>983.9</v>
      </c>
      <c r="J39" s="28">
        <f t="shared" si="4"/>
        <v>983.9</v>
      </c>
      <c r="K39" s="28">
        <f t="shared" si="4"/>
        <v>983.8</v>
      </c>
      <c r="L39" s="28">
        <f t="shared" si="4"/>
        <v>984.15</v>
      </c>
      <c r="M39" s="28">
        <f t="shared" si="4"/>
        <v>984.79</v>
      </c>
      <c r="N39" s="28">
        <f t="shared" si="4"/>
        <v>985.4</v>
      </c>
      <c r="O39" s="29">
        <f>MIN(O7:O37)</f>
        <v>987.6</v>
      </c>
      <c r="P39" s="28">
        <f>MIN(P7:P37)</f>
        <v>983.8</v>
      </c>
      <c r="Q39" s="30">
        <f>MIN(Q7:Q37)</f>
        <v>985.81538461538446</v>
      </c>
    </row>
    <row r="40" spans="1:17" ht="18" customHeight="1" thickBot="1" x14ac:dyDescent="0.25">
      <c r="A40" s="31" t="s">
        <v>25</v>
      </c>
      <c r="B40" s="32">
        <f>AVERAGE(B7:B37)</f>
        <v>989.17774193548394</v>
      </c>
      <c r="C40" s="32">
        <f t="shared" ref="C40:N40" si="5">AVERAGE(C7:C37)</f>
        <v>989.69677419354844</v>
      </c>
      <c r="D40" s="32">
        <f t="shared" si="5"/>
        <v>989.81419354838704</v>
      </c>
      <c r="E40" s="32">
        <f t="shared" si="5"/>
        <v>989.5106451612902</v>
      </c>
      <c r="F40" s="32">
        <f t="shared" si="5"/>
        <v>988.78709677419386</v>
      </c>
      <c r="G40" s="32">
        <f t="shared" si="5"/>
        <v>987.93096774193589</v>
      </c>
      <c r="H40" s="32">
        <f t="shared" si="5"/>
        <v>987.00612903225795</v>
      </c>
      <c r="I40" s="32">
        <f t="shared" si="5"/>
        <v>986.25806451612891</v>
      </c>
      <c r="J40" s="32">
        <f t="shared" si="5"/>
        <v>986.12516129032235</v>
      </c>
      <c r="K40" s="32">
        <f t="shared" si="5"/>
        <v>986.45548387096778</v>
      </c>
      <c r="L40" s="32">
        <f t="shared" si="5"/>
        <v>986.96806451612906</v>
      </c>
      <c r="M40" s="32">
        <f t="shared" si="5"/>
        <v>987.69903225806445</v>
      </c>
      <c r="N40" s="32">
        <f t="shared" si="5"/>
        <v>988.4064516129032</v>
      </c>
      <c r="O40" s="33">
        <f>AVERAGE(O7:O37)</f>
        <v>989.90419354838718</v>
      </c>
      <c r="P40" s="32">
        <f>AVERAGE(P7:P37)</f>
        <v>985.95774193548391</v>
      </c>
      <c r="Q40" s="34">
        <f>AVERAGE(Q7:Q37)</f>
        <v>987.98736972704717</v>
      </c>
    </row>
    <row r="41" spans="1:17" ht="15.75" thickTop="1" x14ac:dyDescent="0.2"/>
    <row r="43" spans="1:17" x14ac:dyDescent="0.2">
      <c r="C43" s="4" t="str">
        <f>[3]FKLIM.71!M43</f>
        <v>Mengetahui,</v>
      </c>
    </row>
    <row r="44" spans="1:17" x14ac:dyDescent="0.2">
      <c r="C44" s="4" t="str">
        <f>[3]FKLIM.71!M44</f>
        <v>Kepala Stasiun Klimatologi Kelas IV</v>
      </c>
      <c r="O44" s="4" t="str">
        <f>[3]FKLIM.71!T44</f>
        <v>Pengolah</v>
      </c>
    </row>
    <row r="45" spans="1:17" x14ac:dyDescent="0.2">
      <c r="C45" s="4" t="str">
        <f>[3]FKLIM.71!M45</f>
        <v>Sleman Yogyakarta</v>
      </c>
      <c r="O45" s="4"/>
    </row>
    <row r="46" spans="1:17" x14ac:dyDescent="0.2">
      <c r="C46" s="4"/>
      <c r="O46" s="4"/>
    </row>
    <row r="47" spans="1:17" x14ac:dyDescent="0.2">
      <c r="C47" s="4"/>
      <c r="O47" s="4"/>
    </row>
    <row r="48" spans="1:17" x14ac:dyDescent="0.2">
      <c r="C48" s="4"/>
      <c r="O48" s="4"/>
    </row>
    <row r="49" spans="3:15" x14ac:dyDescent="0.2">
      <c r="C49" s="4"/>
      <c r="O49" s="4"/>
    </row>
    <row r="50" spans="3:15" x14ac:dyDescent="0.2">
      <c r="C50" s="39" t="str">
        <f>[3]FKLIM.71!M50</f>
        <v>RENI KRANINGTYAS, SP, M.Si</v>
      </c>
      <c r="O50" s="39" t="str">
        <f>[3]FKLIM.71!T50</f>
        <v xml:space="preserve">TIM PEMBUAT LAPORAN </v>
      </c>
    </row>
    <row r="51" spans="3:15" x14ac:dyDescent="0.2">
      <c r="C51" s="4" t="str">
        <f>[3]FKLIM.71!M51</f>
        <v>NIP.  19740203 199703 2 001</v>
      </c>
      <c r="O51" s="4" t="str">
        <f>[3]FKLIM.71!T51</f>
        <v xml:space="preserve">PETUGAS OPERASIONAL </v>
      </c>
    </row>
  </sheetData>
  <mergeCells count="2">
    <mergeCell ref="G1:K1"/>
    <mergeCell ref="G3:K3"/>
  </mergeCells>
  <pageMargins left="0.85" right="0.7" top="0.37" bottom="0.13" header="0.23" footer="0.14000000000000001"/>
  <pageSetup paperSize="9" scale="62" orientation="landscape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Z50"/>
  <sheetViews>
    <sheetView topLeftCell="A10" workbookViewId="0">
      <selection activeCell="T46" sqref="T46"/>
    </sheetView>
  </sheetViews>
  <sheetFormatPr defaultRowHeight="12.75" x14ac:dyDescent="0.2"/>
  <cols>
    <col min="1" max="1" width="13.140625" style="8" customWidth="1"/>
    <col min="2" max="16" width="11" style="1" customWidth="1"/>
    <col min="17" max="17" width="14.140625" style="1" customWidth="1"/>
    <col min="18" max="256" width="9.140625" style="1"/>
    <col min="257" max="257" width="7.140625" style="1" customWidth="1"/>
    <col min="258" max="273" width="11" style="1" customWidth="1"/>
    <col min="274" max="512" width="9.140625" style="1"/>
    <col min="513" max="513" width="7.140625" style="1" customWidth="1"/>
    <col min="514" max="529" width="11" style="1" customWidth="1"/>
    <col min="530" max="768" width="9.140625" style="1"/>
    <col min="769" max="769" width="7.140625" style="1" customWidth="1"/>
    <col min="770" max="785" width="11" style="1" customWidth="1"/>
    <col min="786" max="1024" width="9.140625" style="1"/>
    <col min="1025" max="1025" width="7.140625" style="1" customWidth="1"/>
    <col min="1026" max="1041" width="11" style="1" customWidth="1"/>
    <col min="1042" max="1280" width="9.140625" style="1"/>
    <col min="1281" max="1281" width="7.140625" style="1" customWidth="1"/>
    <col min="1282" max="1297" width="11" style="1" customWidth="1"/>
    <col min="1298" max="1536" width="9.140625" style="1"/>
    <col min="1537" max="1537" width="7.140625" style="1" customWidth="1"/>
    <col min="1538" max="1553" width="11" style="1" customWidth="1"/>
    <col min="1554" max="1792" width="9.140625" style="1"/>
    <col min="1793" max="1793" width="7.140625" style="1" customWidth="1"/>
    <col min="1794" max="1809" width="11" style="1" customWidth="1"/>
    <col min="1810" max="2048" width="9.140625" style="1"/>
    <col min="2049" max="2049" width="7.140625" style="1" customWidth="1"/>
    <col min="2050" max="2065" width="11" style="1" customWidth="1"/>
    <col min="2066" max="2304" width="9.140625" style="1"/>
    <col min="2305" max="2305" width="7.140625" style="1" customWidth="1"/>
    <col min="2306" max="2321" width="11" style="1" customWidth="1"/>
    <col min="2322" max="2560" width="9.140625" style="1"/>
    <col min="2561" max="2561" width="7.140625" style="1" customWidth="1"/>
    <col min="2562" max="2577" width="11" style="1" customWidth="1"/>
    <col min="2578" max="2816" width="9.140625" style="1"/>
    <col min="2817" max="2817" width="7.140625" style="1" customWidth="1"/>
    <col min="2818" max="2833" width="11" style="1" customWidth="1"/>
    <col min="2834" max="3072" width="9.140625" style="1"/>
    <col min="3073" max="3073" width="7.140625" style="1" customWidth="1"/>
    <col min="3074" max="3089" width="11" style="1" customWidth="1"/>
    <col min="3090" max="3328" width="9.140625" style="1"/>
    <col min="3329" max="3329" width="7.140625" style="1" customWidth="1"/>
    <col min="3330" max="3345" width="11" style="1" customWidth="1"/>
    <col min="3346" max="3584" width="9.140625" style="1"/>
    <col min="3585" max="3585" width="7.140625" style="1" customWidth="1"/>
    <col min="3586" max="3601" width="11" style="1" customWidth="1"/>
    <col min="3602" max="3840" width="9.140625" style="1"/>
    <col min="3841" max="3841" width="7.140625" style="1" customWidth="1"/>
    <col min="3842" max="3857" width="11" style="1" customWidth="1"/>
    <col min="3858" max="4096" width="9.140625" style="1"/>
    <col min="4097" max="4097" width="7.140625" style="1" customWidth="1"/>
    <col min="4098" max="4113" width="11" style="1" customWidth="1"/>
    <col min="4114" max="4352" width="9.140625" style="1"/>
    <col min="4353" max="4353" width="7.140625" style="1" customWidth="1"/>
    <col min="4354" max="4369" width="11" style="1" customWidth="1"/>
    <col min="4370" max="4608" width="9.140625" style="1"/>
    <col min="4609" max="4609" width="7.140625" style="1" customWidth="1"/>
    <col min="4610" max="4625" width="11" style="1" customWidth="1"/>
    <col min="4626" max="4864" width="9.140625" style="1"/>
    <col min="4865" max="4865" width="7.140625" style="1" customWidth="1"/>
    <col min="4866" max="4881" width="11" style="1" customWidth="1"/>
    <col min="4882" max="5120" width="9.140625" style="1"/>
    <col min="5121" max="5121" width="7.140625" style="1" customWidth="1"/>
    <col min="5122" max="5137" width="11" style="1" customWidth="1"/>
    <col min="5138" max="5376" width="9.140625" style="1"/>
    <col min="5377" max="5377" width="7.140625" style="1" customWidth="1"/>
    <col min="5378" max="5393" width="11" style="1" customWidth="1"/>
    <col min="5394" max="5632" width="9.140625" style="1"/>
    <col min="5633" max="5633" width="7.140625" style="1" customWidth="1"/>
    <col min="5634" max="5649" width="11" style="1" customWidth="1"/>
    <col min="5650" max="5888" width="9.140625" style="1"/>
    <col min="5889" max="5889" width="7.140625" style="1" customWidth="1"/>
    <col min="5890" max="5905" width="11" style="1" customWidth="1"/>
    <col min="5906" max="6144" width="9.140625" style="1"/>
    <col min="6145" max="6145" width="7.140625" style="1" customWidth="1"/>
    <col min="6146" max="6161" width="11" style="1" customWidth="1"/>
    <col min="6162" max="6400" width="9.140625" style="1"/>
    <col min="6401" max="6401" width="7.140625" style="1" customWidth="1"/>
    <col min="6402" max="6417" width="11" style="1" customWidth="1"/>
    <col min="6418" max="6656" width="9.140625" style="1"/>
    <col min="6657" max="6657" width="7.140625" style="1" customWidth="1"/>
    <col min="6658" max="6673" width="11" style="1" customWidth="1"/>
    <col min="6674" max="6912" width="9.140625" style="1"/>
    <col min="6913" max="6913" width="7.140625" style="1" customWidth="1"/>
    <col min="6914" max="6929" width="11" style="1" customWidth="1"/>
    <col min="6930" max="7168" width="9.140625" style="1"/>
    <col min="7169" max="7169" width="7.140625" style="1" customWidth="1"/>
    <col min="7170" max="7185" width="11" style="1" customWidth="1"/>
    <col min="7186" max="7424" width="9.140625" style="1"/>
    <col min="7425" max="7425" width="7.140625" style="1" customWidth="1"/>
    <col min="7426" max="7441" width="11" style="1" customWidth="1"/>
    <col min="7442" max="7680" width="9.140625" style="1"/>
    <col min="7681" max="7681" width="7.140625" style="1" customWidth="1"/>
    <col min="7682" max="7697" width="11" style="1" customWidth="1"/>
    <col min="7698" max="7936" width="9.140625" style="1"/>
    <col min="7937" max="7937" width="7.140625" style="1" customWidth="1"/>
    <col min="7938" max="7953" width="11" style="1" customWidth="1"/>
    <col min="7954" max="8192" width="9.140625" style="1"/>
    <col min="8193" max="8193" width="7.140625" style="1" customWidth="1"/>
    <col min="8194" max="8209" width="11" style="1" customWidth="1"/>
    <col min="8210" max="8448" width="9.140625" style="1"/>
    <col min="8449" max="8449" width="7.140625" style="1" customWidth="1"/>
    <col min="8450" max="8465" width="11" style="1" customWidth="1"/>
    <col min="8466" max="8704" width="9.140625" style="1"/>
    <col min="8705" max="8705" width="7.140625" style="1" customWidth="1"/>
    <col min="8706" max="8721" width="11" style="1" customWidth="1"/>
    <col min="8722" max="8960" width="9.140625" style="1"/>
    <col min="8961" max="8961" width="7.140625" style="1" customWidth="1"/>
    <col min="8962" max="8977" width="11" style="1" customWidth="1"/>
    <col min="8978" max="9216" width="9.140625" style="1"/>
    <col min="9217" max="9217" width="7.140625" style="1" customWidth="1"/>
    <col min="9218" max="9233" width="11" style="1" customWidth="1"/>
    <col min="9234" max="9472" width="9.140625" style="1"/>
    <col min="9473" max="9473" width="7.140625" style="1" customWidth="1"/>
    <col min="9474" max="9489" width="11" style="1" customWidth="1"/>
    <col min="9490" max="9728" width="9.140625" style="1"/>
    <col min="9729" max="9729" width="7.140625" style="1" customWidth="1"/>
    <col min="9730" max="9745" width="11" style="1" customWidth="1"/>
    <col min="9746" max="9984" width="9.140625" style="1"/>
    <col min="9985" max="9985" width="7.140625" style="1" customWidth="1"/>
    <col min="9986" max="10001" width="11" style="1" customWidth="1"/>
    <col min="10002" max="10240" width="9.140625" style="1"/>
    <col min="10241" max="10241" width="7.140625" style="1" customWidth="1"/>
    <col min="10242" max="10257" width="11" style="1" customWidth="1"/>
    <col min="10258" max="10496" width="9.140625" style="1"/>
    <col min="10497" max="10497" width="7.140625" style="1" customWidth="1"/>
    <col min="10498" max="10513" width="11" style="1" customWidth="1"/>
    <col min="10514" max="10752" width="9.140625" style="1"/>
    <col min="10753" max="10753" width="7.140625" style="1" customWidth="1"/>
    <col min="10754" max="10769" width="11" style="1" customWidth="1"/>
    <col min="10770" max="11008" width="9.140625" style="1"/>
    <col min="11009" max="11009" width="7.140625" style="1" customWidth="1"/>
    <col min="11010" max="11025" width="11" style="1" customWidth="1"/>
    <col min="11026" max="11264" width="9.140625" style="1"/>
    <col min="11265" max="11265" width="7.140625" style="1" customWidth="1"/>
    <col min="11266" max="11281" width="11" style="1" customWidth="1"/>
    <col min="11282" max="11520" width="9.140625" style="1"/>
    <col min="11521" max="11521" width="7.140625" style="1" customWidth="1"/>
    <col min="11522" max="11537" width="11" style="1" customWidth="1"/>
    <col min="11538" max="11776" width="9.140625" style="1"/>
    <col min="11777" max="11777" width="7.140625" style="1" customWidth="1"/>
    <col min="11778" max="11793" width="11" style="1" customWidth="1"/>
    <col min="11794" max="12032" width="9.140625" style="1"/>
    <col min="12033" max="12033" width="7.140625" style="1" customWidth="1"/>
    <col min="12034" max="12049" width="11" style="1" customWidth="1"/>
    <col min="12050" max="12288" width="9.140625" style="1"/>
    <col min="12289" max="12289" width="7.140625" style="1" customWidth="1"/>
    <col min="12290" max="12305" width="11" style="1" customWidth="1"/>
    <col min="12306" max="12544" width="9.140625" style="1"/>
    <col min="12545" max="12545" width="7.140625" style="1" customWidth="1"/>
    <col min="12546" max="12561" width="11" style="1" customWidth="1"/>
    <col min="12562" max="12800" width="9.140625" style="1"/>
    <col min="12801" max="12801" width="7.140625" style="1" customWidth="1"/>
    <col min="12802" max="12817" width="11" style="1" customWidth="1"/>
    <col min="12818" max="13056" width="9.140625" style="1"/>
    <col min="13057" max="13057" width="7.140625" style="1" customWidth="1"/>
    <col min="13058" max="13073" width="11" style="1" customWidth="1"/>
    <col min="13074" max="13312" width="9.140625" style="1"/>
    <col min="13313" max="13313" width="7.140625" style="1" customWidth="1"/>
    <col min="13314" max="13329" width="11" style="1" customWidth="1"/>
    <col min="13330" max="13568" width="9.140625" style="1"/>
    <col min="13569" max="13569" width="7.140625" style="1" customWidth="1"/>
    <col min="13570" max="13585" width="11" style="1" customWidth="1"/>
    <col min="13586" max="13824" width="9.140625" style="1"/>
    <col min="13825" max="13825" width="7.140625" style="1" customWidth="1"/>
    <col min="13826" max="13841" width="11" style="1" customWidth="1"/>
    <col min="13842" max="14080" width="9.140625" style="1"/>
    <col min="14081" max="14081" width="7.140625" style="1" customWidth="1"/>
    <col min="14082" max="14097" width="11" style="1" customWidth="1"/>
    <col min="14098" max="14336" width="9.140625" style="1"/>
    <col min="14337" max="14337" width="7.140625" style="1" customWidth="1"/>
    <col min="14338" max="14353" width="11" style="1" customWidth="1"/>
    <col min="14354" max="14592" width="9.140625" style="1"/>
    <col min="14593" max="14593" width="7.140625" style="1" customWidth="1"/>
    <col min="14594" max="14609" width="11" style="1" customWidth="1"/>
    <col min="14610" max="14848" width="9.140625" style="1"/>
    <col min="14849" max="14849" width="7.140625" style="1" customWidth="1"/>
    <col min="14850" max="14865" width="11" style="1" customWidth="1"/>
    <col min="14866" max="15104" width="9.140625" style="1"/>
    <col min="15105" max="15105" width="7.140625" style="1" customWidth="1"/>
    <col min="15106" max="15121" width="11" style="1" customWidth="1"/>
    <col min="15122" max="15360" width="9.140625" style="1"/>
    <col min="15361" max="15361" width="7.140625" style="1" customWidth="1"/>
    <col min="15362" max="15377" width="11" style="1" customWidth="1"/>
    <col min="15378" max="15616" width="9.140625" style="1"/>
    <col min="15617" max="15617" width="7.140625" style="1" customWidth="1"/>
    <col min="15618" max="15633" width="11" style="1" customWidth="1"/>
    <col min="15634" max="15872" width="9.140625" style="1"/>
    <col min="15873" max="15873" width="7.140625" style="1" customWidth="1"/>
    <col min="15874" max="15889" width="11" style="1" customWidth="1"/>
    <col min="15890" max="16128" width="9.140625" style="1"/>
    <col min="16129" max="16129" width="7.140625" style="1" customWidth="1"/>
    <col min="16130" max="16145" width="11" style="1" customWidth="1"/>
    <col min="16146" max="16384" width="9.140625" style="1"/>
  </cols>
  <sheetData>
    <row r="1" spans="1:26" ht="18" x14ac:dyDescent="0.25">
      <c r="A1" s="1"/>
      <c r="D1" s="2"/>
      <c r="E1" s="3"/>
      <c r="F1" s="3"/>
      <c r="G1" s="99" t="str">
        <f>[4]Suhu2!F1</f>
        <v>STASIUN KLIMATOLOGI KL. IV SLEMAN</v>
      </c>
      <c r="H1" s="100"/>
      <c r="I1" s="100"/>
      <c r="J1" s="100"/>
      <c r="K1" s="100"/>
      <c r="L1" s="4"/>
      <c r="M1" s="4"/>
      <c r="N1" s="4"/>
      <c r="O1" s="3"/>
      <c r="P1" s="3"/>
      <c r="Q1" s="3"/>
    </row>
    <row r="2" spans="1:26" ht="18" x14ac:dyDescent="0.25">
      <c r="A2" s="5" t="s">
        <v>0</v>
      </c>
      <c r="B2" s="3"/>
      <c r="C2" s="3" t="s">
        <v>1</v>
      </c>
      <c r="D2" s="2"/>
      <c r="E2" s="3"/>
      <c r="F2" s="3"/>
      <c r="G2" s="6"/>
      <c r="H2" s="4"/>
      <c r="I2" s="4"/>
      <c r="J2" s="4"/>
      <c r="K2" s="4"/>
      <c r="L2" s="4"/>
      <c r="M2" s="4"/>
      <c r="N2" s="4"/>
      <c r="O2" s="3"/>
      <c r="P2" s="3"/>
      <c r="Q2" s="3"/>
    </row>
    <row r="3" spans="1:26" ht="18" x14ac:dyDescent="0.25">
      <c r="A3" s="5" t="s">
        <v>2</v>
      </c>
      <c r="B3" s="3"/>
      <c r="C3" s="36" t="str">
        <f>'[4]REKAP Data'!Y11</f>
        <v>April 2022</v>
      </c>
      <c r="D3" s="2"/>
      <c r="E3" s="7"/>
      <c r="F3" s="3"/>
      <c r="G3" s="99"/>
      <c r="H3" s="100"/>
      <c r="I3" s="100"/>
      <c r="J3" s="100"/>
      <c r="K3" s="100"/>
      <c r="L3" s="3"/>
      <c r="M3" s="3"/>
      <c r="N3" s="3"/>
      <c r="O3" s="3"/>
      <c r="P3" s="3"/>
      <c r="Q3" s="3"/>
    </row>
    <row r="4" spans="1:26" ht="15" x14ac:dyDescent="0.2">
      <c r="A4" s="5" t="s">
        <v>3</v>
      </c>
      <c r="B4" s="3"/>
      <c r="C4" s="3" t="s">
        <v>4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6" ht="15.75" thickBot="1" x14ac:dyDescent="0.25">
      <c r="K5" s="3"/>
      <c r="L5" s="9" t="s">
        <v>5</v>
      </c>
      <c r="M5" s="9"/>
      <c r="N5" s="10" t="str">
        <f>'[4]input data'!R1121</f>
        <v xml:space="preserve">TIM PEMBUAT LAPORAN </v>
      </c>
      <c r="O5" s="9"/>
      <c r="P5" s="9"/>
    </row>
    <row r="6" spans="1:26" ht="16.5" thickTop="1" thickBot="1" x14ac:dyDescent="0.25">
      <c r="A6" s="11" t="s">
        <v>6</v>
      </c>
      <c r="B6" s="12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4" t="s">
        <v>20</v>
      </c>
      <c r="P6" s="13" t="s">
        <v>21</v>
      </c>
      <c r="Q6" s="15" t="s">
        <v>22</v>
      </c>
      <c r="R6" s="16"/>
      <c r="S6" s="16"/>
      <c r="T6" s="16"/>
      <c r="U6" s="16"/>
      <c r="V6" s="16"/>
      <c r="W6" s="16"/>
      <c r="X6" s="16"/>
      <c r="Y6" s="16"/>
      <c r="Z6" s="16"/>
    </row>
    <row r="7" spans="1:26" ht="18.95" customHeight="1" thickTop="1" x14ac:dyDescent="0.2">
      <c r="A7" s="17">
        <v>1</v>
      </c>
      <c r="B7" s="18">
        <f>'[4]input data'!Z6</f>
        <v>990.6</v>
      </c>
      <c r="C7" s="18">
        <f>'[4]input data'!Z7</f>
        <v>991.59</v>
      </c>
      <c r="D7" s="18">
        <f>'[4]input data'!Z8</f>
        <v>991.64</v>
      </c>
      <c r="E7" s="18">
        <f>'[4]input data'!Z9</f>
        <v>991.31</v>
      </c>
      <c r="F7" s="18">
        <f>'[4]input data'!Z10</f>
        <v>990.31</v>
      </c>
      <c r="G7" s="18">
        <f>'[4]input data'!Z11</f>
        <v>988.92</v>
      </c>
      <c r="H7" s="18">
        <f>'[4]input data'!Z12</f>
        <v>988.59</v>
      </c>
      <c r="I7" s="18">
        <f>'[4]input data'!Z13</f>
        <v>987.6</v>
      </c>
      <c r="J7" s="18">
        <f>'[4]input data'!Z14</f>
        <v>987.27</v>
      </c>
      <c r="K7" s="18">
        <f>'[4]input data'!Z15</f>
        <v>988.25</v>
      </c>
      <c r="L7" s="18">
        <f>'[4]input data'!Z16</f>
        <v>989.82</v>
      </c>
      <c r="M7" s="18">
        <f>'[4]input data'!Z17</f>
        <v>989.7</v>
      </c>
      <c r="N7" s="18">
        <f>'[4]input data'!Z18</f>
        <v>990.2</v>
      </c>
      <c r="O7" s="19">
        <f>MAX(B7:N7)</f>
        <v>991.64</v>
      </c>
      <c r="P7" s="20">
        <f>MIN(B7:N7)</f>
        <v>987.27</v>
      </c>
      <c r="Q7" s="21">
        <f>AVERAGE(B7:N7)</f>
        <v>989.67692307692312</v>
      </c>
    </row>
    <row r="8" spans="1:26" ht="18.95" customHeight="1" x14ac:dyDescent="0.2">
      <c r="A8" s="22">
        <v>2</v>
      </c>
      <c r="B8" s="18">
        <f>'[4]input data'!Z42</f>
        <v>991.06</v>
      </c>
      <c r="C8" s="18">
        <f>'[4]input data'!Z43</f>
        <v>991.49</v>
      </c>
      <c r="D8" s="18">
        <f>'[4]input data'!Z44</f>
        <v>991.61</v>
      </c>
      <c r="E8" s="18">
        <f>'[4]input data'!Z45</f>
        <v>991.16</v>
      </c>
      <c r="F8" s="18">
        <f>'[4]input data'!Z46</f>
        <v>990.42</v>
      </c>
      <c r="G8" s="18">
        <f>'[4]input data'!Z47</f>
        <v>989.41</v>
      </c>
      <c r="H8" s="18">
        <f>'[4]input data'!Z48</f>
        <v>988.26</v>
      </c>
      <c r="I8" s="18">
        <f>'[4]input data'!Z49</f>
        <v>987.6</v>
      </c>
      <c r="J8" s="18">
        <f>'[4]input data'!Z50</f>
        <v>987.1</v>
      </c>
      <c r="K8" s="18">
        <f>'[4]input data'!Z51</f>
        <v>988.7</v>
      </c>
      <c r="L8" s="18">
        <f>'[4]input data'!Z52</f>
        <v>989.1</v>
      </c>
      <c r="M8" s="18">
        <f>'[4]input data'!Z53</f>
        <v>989.1</v>
      </c>
      <c r="N8" s="18">
        <f>'[4]input data'!Z54</f>
        <v>989.6</v>
      </c>
      <c r="O8" s="19">
        <f t="shared" ref="O8:O36" si="0">MAX(B8:N8)</f>
        <v>991.61</v>
      </c>
      <c r="P8" s="20">
        <f t="shared" ref="P8:P36" si="1">MIN(B8:N8)</f>
        <v>987.1</v>
      </c>
      <c r="Q8" s="21">
        <f t="shared" ref="Q8:Q36" si="2">AVERAGE(B8:N8)</f>
        <v>989.58538461538478</v>
      </c>
    </row>
    <row r="9" spans="1:26" ht="18.95" customHeight="1" x14ac:dyDescent="0.2">
      <c r="A9" s="22">
        <v>3</v>
      </c>
      <c r="B9" s="18">
        <f>'[4]input data'!Z78</f>
        <v>990.9</v>
      </c>
      <c r="C9" s="18">
        <f>'[4]input data'!Z79</f>
        <v>991.3</v>
      </c>
      <c r="D9" s="18">
        <f>'[4]input data'!Z80</f>
        <v>991.5</v>
      </c>
      <c r="E9" s="18">
        <f>'[4]input data'!Z81</f>
        <v>991.3</v>
      </c>
      <c r="F9" s="18">
        <f>'[4]input data'!Z82</f>
        <v>990.3</v>
      </c>
      <c r="G9" s="18">
        <f>'[4]input data'!Z83</f>
        <v>989.4</v>
      </c>
      <c r="H9" s="18">
        <f>'[4]input data'!Z84</f>
        <v>988.6</v>
      </c>
      <c r="I9" s="18">
        <f>'[4]input data'!Z85</f>
        <v>988.4</v>
      </c>
      <c r="J9" s="18">
        <f>'[4]input data'!Z86</f>
        <v>989</v>
      </c>
      <c r="K9" s="18">
        <f>'[4]input data'!Z87</f>
        <v>989.8</v>
      </c>
      <c r="L9" s="18">
        <f>'[4]input data'!Z88</f>
        <v>990</v>
      </c>
      <c r="M9" s="18">
        <f>'[4]input data'!Z89</f>
        <v>990.2</v>
      </c>
      <c r="N9" s="18">
        <f>'[4]input data'!Z90</f>
        <v>990.7</v>
      </c>
      <c r="O9" s="19">
        <f t="shared" si="0"/>
        <v>991.5</v>
      </c>
      <c r="P9" s="20">
        <f t="shared" si="1"/>
        <v>988.4</v>
      </c>
      <c r="Q9" s="21">
        <f t="shared" si="2"/>
        <v>990.10769230769245</v>
      </c>
    </row>
    <row r="10" spans="1:26" ht="18.95" customHeight="1" x14ac:dyDescent="0.2">
      <c r="A10" s="22">
        <v>4</v>
      </c>
      <c r="B10" s="18">
        <f>'[4]input data'!Z114</f>
        <v>991.5</v>
      </c>
      <c r="C10" s="18">
        <f>'[4]input data'!Z115</f>
        <v>991.9</v>
      </c>
      <c r="D10" s="18">
        <f>'[4]input data'!Z116</f>
        <v>992</v>
      </c>
      <c r="E10" s="18">
        <f>'[4]input data'!Z117</f>
        <v>991.6</v>
      </c>
      <c r="F10" s="18">
        <f>'[4]input data'!Z118</f>
        <v>990.9</v>
      </c>
      <c r="G10" s="18">
        <f>'[4]input data'!Z119</f>
        <v>989.8</v>
      </c>
      <c r="H10" s="18">
        <f>'[4]input data'!Z120</f>
        <v>989.1</v>
      </c>
      <c r="I10" s="18">
        <f>'[4]input data'!Z121</f>
        <v>988.7</v>
      </c>
      <c r="J10" s="18">
        <f>'[4]input data'!Z122</f>
        <v>988.5</v>
      </c>
      <c r="K10" s="18">
        <f>'[4]input data'!Z123</f>
        <v>988.9</v>
      </c>
      <c r="L10" s="18">
        <f>'[4]input data'!Z124</f>
        <v>990.7</v>
      </c>
      <c r="M10" s="18">
        <f>'[4]input data'!Z125</f>
        <v>990.4</v>
      </c>
      <c r="N10" s="18">
        <f>'[4]input data'!Z126</f>
        <v>991.3</v>
      </c>
      <c r="O10" s="19">
        <f t="shared" si="0"/>
        <v>992</v>
      </c>
      <c r="P10" s="20">
        <f t="shared" si="1"/>
        <v>988.5</v>
      </c>
      <c r="Q10" s="21">
        <f t="shared" si="2"/>
        <v>990.40769230769229</v>
      </c>
    </row>
    <row r="11" spans="1:26" ht="18.95" customHeight="1" x14ac:dyDescent="0.2">
      <c r="A11" s="22">
        <v>5</v>
      </c>
      <c r="B11" s="18">
        <f>'[4]input data'!Z150</f>
        <v>992.5</v>
      </c>
      <c r="C11" s="18">
        <f>'[4]input data'!Z151</f>
        <v>992.7</v>
      </c>
      <c r="D11" s="18">
        <f>'[4]input data'!Z152</f>
        <v>992.9</v>
      </c>
      <c r="E11" s="18">
        <f>'[4]input data'!Z153</f>
        <v>992.5</v>
      </c>
      <c r="F11" s="18">
        <f>'[4]input data'!Z154</f>
        <v>991.5</v>
      </c>
      <c r="G11" s="18">
        <f>'[4]input data'!Z155</f>
        <v>991</v>
      </c>
      <c r="H11" s="18">
        <f>'[4]input data'!Z156</f>
        <v>989.4</v>
      </c>
      <c r="I11" s="18">
        <f>'[4]input data'!Z157</f>
        <v>988.8</v>
      </c>
      <c r="J11" s="18">
        <f>'[4]input data'!Z158</f>
        <v>988.3</v>
      </c>
      <c r="K11" s="18">
        <f>'[4]input data'!Z159</f>
        <v>988.3</v>
      </c>
      <c r="L11" s="18">
        <f>'[4]input data'!Z160</f>
        <v>989.4</v>
      </c>
      <c r="M11" s="18">
        <f>'[4]input data'!Z161</f>
        <v>990.2</v>
      </c>
      <c r="N11" s="18">
        <f>'[4]input data'!Z162</f>
        <v>990.7</v>
      </c>
      <c r="O11" s="19">
        <f t="shared" si="0"/>
        <v>992.9</v>
      </c>
      <c r="P11" s="20">
        <f t="shared" si="1"/>
        <v>988.3</v>
      </c>
      <c r="Q11" s="21">
        <f t="shared" si="2"/>
        <v>990.63076923076926</v>
      </c>
    </row>
    <row r="12" spans="1:26" ht="18.95" customHeight="1" x14ac:dyDescent="0.2">
      <c r="A12" s="22">
        <v>6</v>
      </c>
      <c r="B12" s="18">
        <f>'[4]input data'!Z186</f>
        <v>992.5</v>
      </c>
      <c r="C12" s="18">
        <f>'[4]input data'!Z187</f>
        <v>992.5</v>
      </c>
      <c r="D12" s="18">
        <f>'[4]input data'!Z188</f>
        <v>993</v>
      </c>
      <c r="E12" s="18">
        <f>'[4]input data'!Z189</f>
        <v>992.5</v>
      </c>
      <c r="F12" s="18">
        <f>'[4]input data'!Z190</f>
        <v>991.7</v>
      </c>
      <c r="G12" s="18">
        <f>'[4]input data'!Z191</f>
        <v>990.7</v>
      </c>
      <c r="H12" s="18">
        <f>'[4]input data'!Z192</f>
        <v>989.5</v>
      </c>
      <c r="I12" s="18">
        <f>'[4]input data'!Z193</f>
        <v>989.4</v>
      </c>
      <c r="J12" s="18">
        <f>'[4]input data'!Z194</f>
        <v>989.1</v>
      </c>
      <c r="K12" s="18">
        <f>'[4]input data'!Z195</f>
        <v>989.02</v>
      </c>
      <c r="L12" s="18">
        <f>'[4]input data'!Z196</f>
        <v>989.5</v>
      </c>
      <c r="M12" s="18">
        <f>'[4]input data'!Z197</f>
        <v>989.9</v>
      </c>
      <c r="N12" s="18">
        <f>'[4]input data'!Z198</f>
        <v>990.8</v>
      </c>
      <c r="O12" s="19">
        <f t="shared" si="0"/>
        <v>993</v>
      </c>
      <c r="P12" s="20">
        <f t="shared" si="1"/>
        <v>989.02</v>
      </c>
      <c r="Q12" s="21">
        <f t="shared" si="2"/>
        <v>990.77846153846144</v>
      </c>
    </row>
    <row r="13" spans="1:26" ht="18.95" customHeight="1" x14ac:dyDescent="0.2">
      <c r="A13" s="22">
        <v>7</v>
      </c>
      <c r="B13" s="18">
        <f>'[4]input data'!Z222</f>
        <v>991.58</v>
      </c>
      <c r="C13" s="18">
        <f>'[4]input data'!Z223</f>
        <v>991.88</v>
      </c>
      <c r="D13" s="18">
        <f>'[4]input data'!Z224</f>
        <v>992.06</v>
      </c>
      <c r="E13" s="18">
        <f>'[4]input data'!Z225</f>
        <v>991.43</v>
      </c>
      <c r="F13" s="18">
        <f>'[4]input data'!Z226</f>
        <v>991.14</v>
      </c>
      <c r="G13" s="18">
        <f>'[4]input data'!Z227</f>
        <v>990.35</v>
      </c>
      <c r="H13" s="18">
        <f>'[4]input data'!Z228</f>
        <v>989.14</v>
      </c>
      <c r="I13" s="18">
        <f>'[4]input data'!Z229</f>
        <v>988.67</v>
      </c>
      <c r="J13" s="18">
        <f>'[4]input data'!Z230</f>
        <v>988.17</v>
      </c>
      <c r="K13" s="18">
        <f>'[4]input data'!Z231</f>
        <v>988.5</v>
      </c>
      <c r="L13" s="18">
        <f>'[4]input data'!Z232</f>
        <v>989.1</v>
      </c>
      <c r="M13" s="18">
        <f>'[4]input data'!Z233</f>
        <v>989.5</v>
      </c>
      <c r="N13" s="18">
        <f>'[4]input data'!Z234</f>
        <v>990.1</v>
      </c>
      <c r="O13" s="19">
        <f>MAX(B13:N13)</f>
        <v>992.06</v>
      </c>
      <c r="P13" s="20">
        <f>MIN(B13:N13)</f>
        <v>988.17</v>
      </c>
      <c r="Q13" s="21">
        <f>AVERAGE(B13:N13)</f>
        <v>990.12461538461548</v>
      </c>
    </row>
    <row r="14" spans="1:26" ht="18.95" customHeight="1" x14ac:dyDescent="0.2">
      <c r="A14" s="22">
        <v>8</v>
      </c>
      <c r="B14" s="18">
        <f>'[4]input data'!Z258</f>
        <v>991.49</v>
      </c>
      <c r="C14" s="18">
        <f>'[4]input data'!Z259</f>
        <v>991.98</v>
      </c>
      <c r="D14" s="18">
        <f>'[4]input data'!Z260</f>
        <v>992.22</v>
      </c>
      <c r="E14" s="18">
        <f>'[4]input data'!Z261</f>
        <v>992.03</v>
      </c>
      <c r="F14" s="18">
        <f>'[4]input data'!Z262</f>
        <v>990.97</v>
      </c>
      <c r="G14" s="18">
        <f>'[4]input data'!Z263</f>
        <v>990.12</v>
      </c>
      <c r="H14" s="18">
        <f>'[4]input data'!Z264</f>
        <v>989.41</v>
      </c>
      <c r="I14" s="18">
        <f>'[4]input data'!Z265</f>
        <v>988.56</v>
      </c>
      <c r="J14" s="18">
        <f>'[4]input data'!Z266</f>
        <v>988.17</v>
      </c>
      <c r="K14" s="18">
        <f>'[4]input data'!Z267</f>
        <v>987.8</v>
      </c>
      <c r="L14" s="18">
        <f>'[4]input data'!Z268</f>
        <v>988.5</v>
      </c>
      <c r="M14" s="18">
        <f>'[4]input data'!Z269</f>
        <v>989.2</v>
      </c>
      <c r="N14" s="18">
        <f>'[4]input data'!Z270</f>
        <v>989.7</v>
      </c>
      <c r="O14" s="19">
        <f t="shared" si="0"/>
        <v>992.22</v>
      </c>
      <c r="P14" s="20">
        <f t="shared" si="1"/>
        <v>987.8</v>
      </c>
      <c r="Q14" s="21">
        <f t="shared" si="2"/>
        <v>990.01153846153852</v>
      </c>
    </row>
    <row r="15" spans="1:26" ht="18.95" customHeight="1" x14ac:dyDescent="0.2">
      <c r="A15" s="22">
        <v>9</v>
      </c>
      <c r="B15" s="18">
        <f>'[4]input data'!Z294</f>
        <v>991</v>
      </c>
      <c r="C15" s="18">
        <f>'[4]input data'!Z295</f>
        <v>991.4</v>
      </c>
      <c r="D15" s="18">
        <f>'[4]input data'!Z296</f>
        <v>991.7</v>
      </c>
      <c r="E15" s="18">
        <f>'[4]input data'!Z297</f>
        <v>991.4</v>
      </c>
      <c r="F15" s="18">
        <f>'[4]input data'!Z298</f>
        <v>990.4</v>
      </c>
      <c r="G15" s="18">
        <f>'[4]input data'!Z299</f>
        <v>988.9</v>
      </c>
      <c r="H15" s="18">
        <f>'[4]input data'!Z300</f>
        <v>988</v>
      </c>
      <c r="I15" s="18">
        <f>'[4]input data'!Z301</f>
        <v>987.5</v>
      </c>
      <c r="J15" s="18">
        <f>'[4]input data'!Z302</f>
        <v>987.2</v>
      </c>
      <c r="K15" s="18">
        <f>'[4]input data'!Z303</f>
        <v>987.5</v>
      </c>
      <c r="L15" s="18">
        <f>'[4]input data'!Z304</f>
        <v>987.8</v>
      </c>
      <c r="M15" s="18">
        <f>'[4]input data'!Z305</f>
        <v>988.6</v>
      </c>
      <c r="N15" s="18">
        <f>'[4]input data'!Z306</f>
        <v>989.2</v>
      </c>
      <c r="O15" s="19">
        <f t="shared" si="0"/>
        <v>991.7</v>
      </c>
      <c r="P15" s="20">
        <f t="shared" si="1"/>
        <v>987.2</v>
      </c>
      <c r="Q15" s="21">
        <f t="shared" si="2"/>
        <v>989.27692307692314</v>
      </c>
    </row>
    <row r="16" spans="1:26" ht="18.95" customHeight="1" x14ac:dyDescent="0.2">
      <c r="A16" s="22">
        <v>10</v>
      </c>
      <c r="B16" s="18">
        <f>'[4]input data'!Z330</f>
        <v>991</v>
      </c>
      <c r="C16" s="18">
        <f>'[4]input data'!Z331</f>
        <v>991.2</v>
      </c>
      <c r="D16" s="18">
        <f>'[4]input data'!Z332</f>
        <v>991.2</v>
      </c>
      <c r="E16" s="18">
        <f>'[4]input data'!Z333</f>
        <v>990.7</v>
      </c>
      <c r="F16" s="18">
        <f>'[4]input data'!Z334</f>
        <v>989.8</v>
      </c>
      <c r="G16" s="18">
        <f>'[4]input data'!Z335</f>
        <v>988.8</v>
      </c>
      <c r="H16" s="18">
        <f>'[4]input data'!Z336</f>
        <v>987.7</v>
      </c>
      <c r="I16" s="18">
        <f>'[4]input data'!Z337</f>
        <v>988</v>
      </c>
      <c r="J16" s="18">
        <f>'[4]input data'!Z338</f>
        <v>988.4</v>
      </c>
      <c r="K16" s="18">
        <f>'[4]input data'!Z339</f>
        <v>988.8</v>
      </c>
      <c r="L16" s="18">
        <f>'[4]input data'!Z340</f>
        <v>989.2</v>
      </c>
      <c r="M16" s="18">
        <f>'[4]input data'!Z341</f>
        <v>989.7</v>
      </c>
      <c r="N16" s="18">
        <f>'[4]input data'!Z342</f>
        <v>990.3</v>
      </c>
      <c r="O16" s="19">
        <f t="shared" si="0"/>
        <v>991.2</v>
      </c>
      <c r="P16" s="20">
        <f t="shared" si="1"/>
        <v>987.7</v>
      </c>
      <c r="Q16" s="21">
        <f t="shared" si="2"/>
        <v>989.60000000000014</v>
      </c>
    </row>
    <row r="17" spans="1:18" ht="18.95" customHeight="1" x14ac:dyDescent="0.2">
      <c r="A17" s="22">
        <v>11</v>
      </c>
      <c r="B17" s="18">
        <f>'[4]input data'!Z366</f>
        <v>990.9</v>
      </c>
      <c r="C17" s="18">
        <f>'[4]input data'!Z367</f>
        <v>991.1</v>
      </c>
      <c r="D17" s="18">
        <f>'[4]input data'!Z368</f>
        <v>991.07</v>
      </c>
      <c r="E17" s="18">
        <f>'[4]input data'!Z369</f>
        <v>990.69</v>
      </c>
      <c r="F17" s="18">
        <f>'[4]input data'!Z370</f>
        <v>989.74</v>
      </c>
      <c r="G17" s="18">
        <f>'[4]input data'!Z371</f>
        <v>988.56</v>
      </c>
      <c r="H17" s="18">
        <f>'[4]input data'!Z372</f>
        <v>987.67</v>
      </c>
      <c r="I17" s="18">
        <f>'[4]input data'!Z373</f>
        <v>986.9</v>
      </c>
      <c r="J17" s="18">
        <f>'[4]input data'!Z374</f>
        <v>986.1</v>
      </c>
      <c r="K17" s="18">
        <f>'[4]input data'!Z375</f>
        <v>986.6</v>
      </c>
      <c r="L17" s="18">
        <f>'[4]input data'!Z376</f>
        <v>987.6</v>
      </c>
      <c r="M17" s="18">
        <f>'[4]input data'!Z377</f>
        <v>988.2</v>
      </c>
      <c r="N17" s="18">
        <f>'[4]input data'!Z378</f>
        <v>988.9</v>
      </c>
      <c r="O17" s="19">
        <f t="shared" si="0"/>
        <v>991.1</v>
      </c>
      <c r="P17" s="20">
        <f t="shared" si="1"/>
        <v>986.1</v>
      </c>
      <c r="Q17" s="21">
        <f t="shared" si="2"/>
        <v>988.77153846153851</v>
      </c>
    </row>
    <row r="18" spans="1:18" ht="18.95" customHeight="1" x14ac:dyDescent="0.2">
      <c r="A18" s="22">
        <v>12</v>
      </c>
      <c r="B18" s="18">
        <f>'[4]input data'!Z402</f>
        <v>989.6</v>
      </c>
      <c r="C18" s="18">
        <f>'[4]input data'!Z403</f>
        <v>990</v>
      </c>
      <c r="D18" s="18">
        <f>'[4]input data'!Z404</f>
        <v>990.3</v>
      </c>
      <c r="E18" s="18">
        <f>'[4]input data'!Z405</f>
        <v>990.11</v>
      </c>
      <c r="F18" s="18">
        <f>'[4]input data'!Z406</f>
        <v>989.1</v>
      </c>
      <c r="G18" s="18">
        <f>'[4]input data'!Z407</f>
        <v>988.24</v>
      </c>
      <c r="H18" s="18">
        <f>'[4]input data'!Z408</f>
        <v>986.9</v>
      </c>
      <c r="I18" s="18">
        <f>'[4]input data'!Z409</f>
        <v>986.15</v>
      </c>
      <c r="J18" s="18">
        <f>'[4]input data'!Z410</f>
        <v>985.56</v>
      </c>
      <c r="K18" s="18">
        <f>'[4]input data'!Z411</f>
        <v>985.77</v>
      </c>
      <c r="L18" s="18">
        <f>'[4]input data'!Z412</f>
        <v>986.25</v>
      </c>
      <c r="M18" s="18">
        <f>'[4]input data'!Z413</f>
        <v>987.05</v>
      </c>
      <c r="N18" s="18">
        <f>'[4]input data'!Z414</f>
        <v>987.69</v>
      </c>
      <c r="O18" s="19">
        <f t="shared" si="0"/>
        <v>990.3</v>
      </c>
      <c r="P18" s="20">
        <f t="shared" si="1"/>
        <v>985.56</v>
      </c>
      <c r="Q18" s="21">
        <f t="shared" si="2"/>
        <v>987.90153846153839</v>
      </c>
    </row>
    <row r="19" spans="1:18" ht="18.95" customHeight="1" x14ac:dyDescent="0.2">
      <c r="A19" s="22">
        <v>13</v>
      </c>
      <c r="B19" s="18">
        <f>'[4]input data'!Z438</f>
        <v>989.7</v>
      </c>
      <c r="C19" s="18">
        <f>'[4]input data'!Z439</f>
        <v>990</v>
      </c>
      <c r="D19" s="18">
        <f>'[4]input data'!Z440</f>
        <v>990.4</v>
      </c>
      <c r="E19" s="18">
        <f>'[4]input data'!Z441</f>
        <v>990.1</v>
      </c>
      <c r="F19" s="18">
        <f>'[4]input data'!Z442</f>
        <v>988.9</v>
      </c>
      <c r="G19" s="18">
        <f>'[4]input data'!Z443</f>
        <v>987.9</v>
      </c>
      <c r="H19" s="18">
        <f>'[4]input data'!Z444</f>
        <v>987.1</v>
      </c>
      <c r="I19" s="18">
        <f>'[4]input data'!Z445</f>
        <v>986.14</v>
      </c>
      <c r="J19" s="18">
        <f>'[4]input data'!Z446</f>
        <v>985.99</v>
      </c>
      <c r="K19" s="18">
        <f>'[4]input data'!Z447</f>
        <v>986.2</v>
      </c>
      <c r="L19" s="18">
        <f>'[4]input data'!Z448</f>
        <v>986.8</v>
      </c>
      <c r="M19" s="18">
        <f>'[4]input data'!Z449</f>
        <v>987.5</v>
      </c>
      <c r="N19" s="18">
        <f>'[4]input data'!Z450</f>
        <v>987.9</v>
      </c>
      <c r="O19" s="19">
        <f t="shared" si="0"/>
        <v>990.4</v>
      </c>
      <c r="P19" s="20">
        <f t="shared" si="1"/>
        <v>985.99</v>
      </c>
      <c r="Q19" s="21">
        <f t="shared" si="2"/>
        <v>988.04846153846142</v>
      </c>
    </row>
    <row r="20" spans="1:18" ht="18.95" customHeight="1" x14ac:dyDescent="0.2">
      <c r="A20" s="22">
        <v>14</v>
      </c>
      <c r="B20" s="18">
        <f>'[4]input data'!Z474</f>
        <v>989.36</v>
      </c>
      <c r="C20" s="18">
        <f>'[4]input data'!Z475</f>
        <v>989.55</v>
      </c>
      <c r="D20" s="18">
        <f>'[4]input data'!Z476</f>
        <v>989.69</v>
      </c>
      <c r="E20" s="18">
        <f>'[4]input data'!Z477</f>
        <v>989.22</v>
      </c>
      <c r="F20" s="18">
        <f>'[4]input data'!Z478</f>
        <v>988.6</v>
      </c>
      <c r="G20" s="18">
        <f>'[4]input data'!Z479</f>
        <v>987.7</v>
      </c>
      <c r="H20" s="18">
        <f>'[4]input data'!Z480</f>
        <v>986.51</v>
      </c>
      <c r="I20" s="18">
        <f>'[4]input data'!Z481</f>
        <v>985.46</v>
      </c>
      <c r="J20" s="18">
        <f>'[4]input data'!Z482</f>
        <v>985.2</v>
      </c>
      <c r="K20" s="18">
        <f>'[4]input data'!Z483</f>
        <v>985.9</v>
      </c>
      <c r="L20" s="18">
        <f>'[4]input data'!Z484</f>
        <v>986.5</v>
      </c>
      <c r="M20" s="18">
        <f>'[4]input data'!Z485</f>
        <v>987.1</v>
      </c>
      <c r="N20" s="18">
        <f>'[4]input data'!Z486</f>
        <v>988</v>
      </c>
      <c r="O20" s="19">
        <f t="shared" si="0"/>
        <v>989.69</v>
      </c>
      <c r="P20" s="20">
        <f t="shared" si="1"/>
        <v>985.2</v>
      </c>
      <c r="Q20" s="21">
        <f t="shared" si="2"/>
        <v>987.59923076923087</v>
      </c>
      <c r="R20" s="23"/>
    </row>
    <row r="21" spans="1:18" ht="18.95" customHeight="1" x14ac:dyDescent="0.2">
      <c r="A21" s="22">
        <v>15</v>
      </c>
      <c r="B21" s="18">
        <f>'[4]input data'!Z510</f>
        <v>989.8</v>
      </c>
      <c r="C21" s="18">
        <f>'[4]input data'!Z511</f>
        <v>990.3</v>
      </c>
      <c r="D21" s="18">
        <f>'[4]input data'!Z512</f>
        <v>990.6</v>
      </c>
      <c r="E21" s="18">
        <f>'[4]input data'!Z513</f>
        <v>990.3</v>
      </c>
      <c r="F21" s="18">
        <f>'[4]input data'!Z514</f>
        <v>989.2</v>
      </c>
      <c r="G21" s="18">
        <f>'[4]input data'!Z515</f>
        <v>988.7</v>
      </c>
      <c r="H21" s="18">
        <f>'[4]input data'!Z516</f>
        <v>987.5</v>
      </c>
      <c r="I21" s="18">
        <f>'[4]input data'!Z517</f>
        <v>986.75</v>
      </c>
      <c r="J21" s="18">
        <f>'[4]input data'!Z518</f>
        <v>986.3</v>
      </c>
      <c r="K21" s="18">
        <f>'[4]input data'!Z519</f>
        <v>986.22</v>
      </c>
      <c r="L21" s="18">
        <f>'[4]input data'!Z520</f>
        <v>986.84</v>
      </c>
      <c r="M21" s="18">
        <f>'[4]input data'!Z521</f>
        <v>987.66</v>
      </c>
      <c r="N21" s="18">
        <f>'[4]input data'!Z522</f>
        <v>988.34</v>
      </c>
      <c r="O21" s="19">
        <f t="shared" si="0"/>
        <v>990.6</v>
      </c>
      <c r="P21" s="20">
        <f t="shared" si="1"/>
        <v>986.22</v>
      </c>
      <c r="Q21" s="21">
        <f t="shared" si="2"/>
        <v>988.34692307692296</v>
      </c>
    </row>
    <row r="22" spans="1:18" ht="18.95" customHeight="1" x14ac:dyDescent="0.2">
      <c r="A22" s="22">
        <v>16</v>
      </c>
      <c r="B22" s="18">
        <f>'[4]input data'!Z546</f>
        <v>989.4</v>
      </c>
      <c r="C22" s="18">
        <f>'[4]input data'!Z547</f>
        <v>989.8</v>
      </c>
      <c r="D22" s="18">
        <f>'[4]input data'!Z548</f>
        <v>989.9</v>
      </c>
      <c r="E22" s="18">
        <f>'[4]input data'!Z549</f>
        <v>989.5</v>
      </c>
      <c r="F22" s="18">
        <f>'[4]input data'!Z550</f>
        <v>989.6</v>
      </c>
      <c r="G22" s="18">
        <f>'[4]input data'!Z551</f>
        <v>987.9</v>
      </c>
      <c r="H22" s="18">
        <f>'[4]input data'!Z552</f>
        <v>986.8</v>
      </c>
      <c r="I22" s="18">
        <f>'[4]input data'!Z553</f>
        <v>986.8</v>
      </c>
      <c r="J22" s="18">
        <f>'[4]input data'!Z554</f>
        <v>987</v>
      </c>
      <c r="K22" s="18">
        <f>'[4]input data'!Z555</f>
        <v>987.2</v>
      </c>
      <c r="L22" s="18">
        <f>'[4]input data'!Z556</f>
        <v>987.5</v>
      </c>
      <c r="M22" s="18">
        <f>'[4]input data'!Z557</f>
        <v>987.7</v>
      </c>
      <c r="N22" s="18">
        <f>'[4]input data'!Z558</f>
        <v>988.4</v>
      </c>
      <c r="O22" s="19">
        <f t="shared" si="0"/>
        <v>989.9</v>
      </c>
      <c r="P22" s="20">
        <f t="shared" si="1"/>
        <v>986.8</v>
      </c>
      <c r="Q22" s="21">
        <f t="shared" si="2"/>
        <v>988.26923076923094</v>
      </c>
    </row>
    <row r="23" spans="1:18" ht="18.95" customHeight="1" x14ac:dyDescent="0.2">
      <c r="A23" s="22">
        <v>17</v>
      </c>
      <c r="B23" s="18">
        <f>'[4]input data'!Z582</f>
        <v>988.65</v>
      </c>
      <c r="C23" s="18">
        <f>'[4]input data'!Z583</f>
        <v>989.09</v>
      </c>
      <c r="D23" s="18">
        <f>'[4]input data'!Z584</f>
        <v>989.39</v>
      </c>
      <c r="E23" s="18">
        <f>'[4]input data'!Z585</f>
        <v>989.06</v>
      </c>
      <c r="F23" s="18">
        <f>'[4]input data'!Z586</f>
        <v>988.03</v>
      </c>
      <c r="G23" s="18">
        <f>'[4]input data'!Z587</f>
        <v>987.27</v>
      </c>
      <c r="H23" s="18">
        <f>'[4]input data'!Z588</f>
        <v>986.41</v>
      </c>
      <c r="I23" s="18">
        <f>'[4]input data'!Z589</f>
        <v>985.6</v>
      </c>
      <c r="J23" s="18">
        <f>'[4]input data'!Z590</f>
        <v>985.1</v>
      </c>
      <c r="K23" s="18">
        <f>'[4]input data'!Z591</f>
        <v>985.1</v>
      </c>
      <c r="L23" s="18">
        <f>'[4]input data'!Z592</f>
        <v>986</v>
      </c>
      <c r="M23" s="18">
        <f>'[4]input data'!Z593</f>
        <v>986.9</v>
      </c>
      <c r="N23" s="18">
        <f>'[4]input data'!Z594</f>
        <v>987.5</v>
      </c>
      <c r="O23" s="19">
        <f t="shared" si="0"/>
        <v>989.39</v>
      </c>
      <c r="P23" s="20">
        <f t="shared" si="1"/>
        <v>985.1</v>
      </c>
      <c r="Q23" s="21">
        <f t="shared" si="2"/>
        <v>987.23846153846159</v>
      </c>
    </row>
    <row r="24" spans="1:18" ht="18.95" customHeight="1" x14ac:dyDescent="0.2">
      <c r="A24" s="22">
        <v>18</v>
      </c>
      <c r="B24" s="18">
        <f>'[4]input data'!Z618</f>
        <v>989.1</v>
      </c>
      <c r="C24" s="18">
        <f>'[4]input data'!Z619</f>
        <v>989.28</v>
      </c>
      <c r="D24" s="18">
        <f>'[4]input data'!Z620</f>
        <v>959.5</v>
      </c>
      <c r="E24" s="18">
        <f>'[4]input data'!Z621</f>
        <v>989.37</v>
      </c>
      <c r="F24" s="18">
        <f>'[4]input data'!Z622</f>
        <v>988.56</v>
      </c>
      <c r="G24" s="18">
        <f>'[4]input data'!Z623</f>
        <v>987.31</v>
      </c>
      <c r="H24" s="18">
        <f>'[4]input data'!Z624</f>
        <v>986.43</v>
      </c>
      <c r="I24" s="18">
        <f>'[4]input data'!Z625</f>
        <v>985.91</v>
      </c>
      <c r="J24" s="18">
        <f>'[4]input data'!Z626</f>
        <v>985.72</v>
      </c>
      <c r="K24" s="18">
        <f>'[4]input data'!Z627</f>
        <v>986.28</v>
      </c>
      <c r="L24" s="18">
        <f>'[4]input data'!Z628</f>
        <v>987.75</v>
      </c>
      <c r="M24" s="18">
        <f>'[4]input data'!Z629</f>
        <v>988.12</v>
      </c>
      <c r="N24" s="18">
        <f>'[4]input data'!Z630</f>
        <v>990.14</v>
      </c>
      <c r="O24" s="19">
        <f t="shared" si="0"/>
        <v>990.14</v>
      </c>
      <c r="P24" s="20">
        <f t="shared" si="1"/>
        <v>959.5</v>
      </c>
      <c r="Q24" s="21">
        <f t="shared" si="2"/>
        <v>985.65153846153839</v>
      </c>
    </row>
    <row r="25" spans="1:18" ht="18.95" customHeight="1" x14ac:dyDescent="0.2">
      <c r="A25" s="22">
        <v>19</v>
      </c>
      <c r="B25" s="18">
        <f>'[4]input data'!Z654</f>
        <v>989.24</v>
      </c>
      <c r="C25" s="18">
        <f>'[4]input data'!Z655</f>
        <v>989.44</v>
      </c>
      <c r="D25" s="18">
        <f>'[4]input data'!Z656</f>
        <v>989.58</v>
      </c>
      <c r="E25" s="18">
        <f>'[4]input data'!Z657</f>
        <v>989.61</v>
      </c>
      <c r="F25" s="18">
        <f>'[4]input data'!Z658</f>
        <v>989.03</v>
      </c>
      <c r="G25" s="18">
        <f>'[4]input data'!Z659</f>
        <v>987.84</v>
      </c>
      <c r="H25" s="18">
        <f>'[4]input data'!Z660</f>
        <v>987.16</v>
      </c>
      <c r="I25" s="18">
        <f>'[4]input data'!Z661</f>
        <v>986.99</v>
      </c>
      <c r="J25" s="18">
        <f>'[4]input data'!Z662</f>
        <v>987.86</v>
      </c>
      <c r="K25" s="18">
        <f>'[4]input data'!Z663</f>
        <v>988.48</v>
      </c>
      <c r="L25" s="18">
        <f>'[4]input data'!Z664</f>
        <v>988.17</v>
      </c>
      <c r="M25" s="18">
        <f>'[4]input data'!Z665</f>
        <v>988.48</v>
      </c>
      <c r="N25" s="18">
        <f>'[4]input data'!Z666</f>
        <v>989.31</v>
      </c>
      <c r="O25" s="19">
        <f t="shared" si="0"/>
        <v>989.61</v>
      </c>
      <c r="P25" s="20">
        <f t="shared" si="1"/>
        <v>986.99</v>
      </c>
      <c r="Q25" s="21">
        <f t="shared" si="2"/>
        <v>988.55307692307679</v>
      </c>
    </row>
    <row r="26" spans="1:18" ht="18.95" customHeight="1" x14ac:dyDescent="0.2">
      <c r="A26" s="22">
        <v>20</v>
      </c>
      <c r="B26" s="18">
        <f>'[4]input data'!Z690</f>
        <v>988.6</v>
      </c>
      <c r="C26" s="18">
        <f>'[4]input data'!Z691</f>
        <v>989.2</v>
      </c>
      <c r="D26" s="18">
        <f>'[4]input data'!Z692</f>
        <v>989.7</v>
      </c>
      <c r="E26" s="18">
        <f>'[4]input data'!Z693</f>
        <v>989.5</v>
      </c>
      <c r="F26" s="18">
        <f>'[4]input data'!Z694</f>
        <v>988.7</v>
      </c>
      <c r="G26" s="18">
        <f>'[4]input data'!Z695</f>
        <v>987.8</v>
      </c>
      <c r="H26" s="18">
        <f>'[4]input data'!Z696</f>
        <v>987.4</v>
      </c>
      <c r="I26" s="18">
        <f>'[4]input data'!Z697</f>
        <v>986.39</v>
      </c>
      <c r="J26" s="18">
        <f>'[4]input data'!Z698</f>
        <v>986.98</v>
      </c>
      <c r="K26" s="18">
        <f>'[4]input data'!Z699</f>
        <v>988.12</v>
      </c>
      <c r="L26" s="18">
        <f>'[4]input data'!Z700</f>
        <v>988.17</v>
      </c>
      <c r="M26" s="18">
        <f>'[4]input data'!Z701</f>
        <v>988.11</v>
      </c>
      <c r="N26" s="18">
        <f>'[4]input data'!Z702</f>
        <v>989.2</v>
      </c>
      <c r="O26" s="19">
        <f t="shared" si="0"/>
        <v>989.7</v>
      </c>
      <c r="P26" s="20">
        <f t="shared" si="1"/>
        <v>986.39</v>
      </c>
      <c r="Q26" s="21">
        <f t="shared" si="2"/>
        <v>988.2976923076925</v>
      </c>
    </row>
    <row r="27" spans="1:18" ht="18.95" customHeight="1" x14ac:dyDescent="0.2">
      <c r="A27" s="22">
        <v>21</v>
      </c>
      <c r="B27" s="18">
        <f>'[4]input data'!Z726</f>
        <v>989.47</v>
      </c>
      <c r="C27" s="18">
        <f>'[4]input data'!Z727</f>
        <v>990.15</v>
      </c>
      <c r="D27" s="18">
        <f>'[4]input data'!Z728</f>
        <v>990.35</v>
      </c>
      <c r="E27" s="18">
        <f>'[4]input data'!Z729</f>
        <v>990.12</v>
      </c>
      <c r="F27" s="18">
        <f>'[4]input data'!Z730</f>
        <v>989.08</v>
      </c>
      <c r="G27" s="18">
        <f>'[4]input data'!Z731</f>
        <v>987.93</v>
      </c>
      <c r="H27" s="18">
        <f>'[4]input data'!Z732</f>
        <v>987.54</v>
      </c>
      <c r="I27" s="18">
        <f>'[4]input data'!Z733</f>
        <v>987.4</v>
      </c>
      <c r="J27" s="18">
        <f>'[4]input data'!Z734</f>
        <v>987.2</v>
      </c>
      <c r="K27" s="18">
        <f>'[4]input data'!Z735</f>
        <v>987.4</v>
      </c>
      <c r="L27" s="18">
        <f>'[4]input data'!Z736</f>
        <v>988</v>
      </c>
      <c r="M27" s="18">
        <f>'[4]input data'!Z737</f>
        <v>988.8</v>
      </c>
      <c r="N27" s="18">
        <f>'[4]input data'!Z738</f>
        <v>989.2</v>
      </c>
      <c r="O27" s="19">
        <f t="shared" si="0"/>
        <v>990.35</v>
      </c>
      <c r="P27" s="20">
        <f t="shared" si="1"/>
        <v>987.2</v>
      </c>
      <c r="Q27" s="21">
        <f t="shared" si="2"/>
        <v>988.66461538461533</v>
      </c>
    </row>
    <row r="28" spans="1:18" ht="18.95" customHeight="1" x14ac:dyDescent="0.2">
      <c r="A28" s="22">
        <v>22</v>
      </c>
      <c r="B28" s="40">
        <f>'[4]input data'!Z762</f>
        <v>990.11</v>
      </c>
      <c r="C28" s="18">
        <f>'[4]input data'!Z762</f>
        <v>990.11</v>
      </c>
      <c r="D28" s="18">
        <f>'[4]input data'!Z764</f>
        <v>990.14</v>
      </c>
      <c r="E28" s="18">
        <f>'[4]input data'!Z765</f>
        <v>989.71</v>
      </c>
      <c r="F28" s="18">
        <f>'[4]input data'!Z766</f>
        <v>988.51</v>
      </c>
      <c r="G28" s="18">
        <f>'[4]input data'!Z767</f>
        <v>987.48</v>
      </c>
      <c r="H28" s="18">
        <f>'[4]input data'!Z768</f>
        <v>986.55</v>
      </c>
      <c r="I28" s="18">
        <f>'[4]input data'!Z769</f>
        <v>985.9</v>
      </c>
      <c r="J28" s="18">
        <f>'[4]input data'!Z770</f>
        <v>985.7</v>
      </c>
      <c r="K28" s="18">
        <f>'[4]input data'!Z771</f>
        <v>986.4</v>
      </c>
      <c r="L28" s="18">
        <f>'[4]input data'!Z772</f>
        <v>987.5</v>
      </c>
      <c r="M28" s="18">
        <f>'[4]input data'!Z773</f>
        <v>988.5</v>
      </c>
      <c r="N28" s="18">
        <f>'[4]input data'!Z774</f>
        <v>989.1</v>
      </c>
      <c r="O28" s="19">
        <f t="shared" si="0"/>
        <v>990.14</v>
      </c>
      <c r="P28" s="20">
        <f t="shared" si="1"/>
        <v>985.7</v>
      </c>
      <c r="Q28" s="21">
        <f t="shared" si="2"/>
        <v>988.13153846153841</v>
      </c>
    </row>
    <row r="29" spans="1:18" ht="18.95" customHeight="1" x14ac:dyDescent="0.2">
      <c r="A29" s="22">
        <v>23</v>
      </c>
      <c r="B29" s="18">
        <f>'[4]input data'!Z798</f>
        <v>989.6</v>
      </c>
      <c r="C29" s="18">
        <f>'[4]input data'!Z799</f>
        <v>989.8</v>
      </c>
      <c r="D29" s="18">
        <f>'[4]input data'!Z800</f>
        <v>989.8</v>
      </c>
      <c r="E29" s="18">
        <f>'[4]input data'!Z801</f>
        <v>989.1</v>
      </c>
      <c r="F29" s="18">
        <f>'[4]input data'!Z802</f>
        <v>988.1</v>
      </c>
      <c r="G29" s="18">
        <f>'[4]input data'!Z803</f>
        <v>987.1</v>
      </c>
      <c r="H29" s="18">
        <f>'[4]input data'!Z804</f>
        <v>986.5</v>
      </c>
      <c r="I29" s="18">
        <f>'[4]input data'!Z805</f>
        <v>986.2</v>
      </c>
      <c r="J29" s="18">
        <f>'[4]input data'!Z806</f>
        <v>986</v>
      </c>
      <c r="K29" s="18">
        <f>'[4]input data'!Z807</f>
        <v>986.4</v>
      </c>
      <c r="L29" s="18">
        <f>'[4]input data'!Z808</f>
        <v>987.4</v>
      </c>
      <c r="M29" s="18">
        <f>'[4]input data'!Z809</f>
        <v>988.3</v>
      </c>
      <c r="N29" s="18">
        <f>'[4]input data'!Z810</f>
        <v>988.5</v>
      </c>
      <c r="O29" s="19">
        <f t="shared" si="0"/>
        <v>989.8</v>
      </c>
      <c r="P29" s="20">
        <f t="shared" si="1"/>
        <v>986</v>
      </c>
      <c r="Q29" s="21">
        <f t="shared" si="2"/>
        <v>987.90769230769229</v>
      </c>
    </row>
    <row r="30" spans="1:18" ht="18.95" customHeight="1" x14ac:dyDescent="0.2">
      <c r="A30" s="22">
        <v>24</v>
      </c>
      <c r="B30" s="18">
        <f>'[4]input data'!Z834</f>
        <v>988.9</v>
      </c>
      <c r="C30" s="18">
        <f>'[4]input data'!Z835</f>
        <v>989.4</v>
      </c>
      <c r="D30" s="18">
        <f>'[4]input data'!Z836</f>
        <v>989.5</v>
      </c>
      <c r="E30" s="18">
        <f>'[4]input data'!Z837</f>
        <v>988.8</v>
      </c>
      <c r="F30" s="18">
        <f>'[4]input data'!Z838</f>
        <v>987.5</v>
      </c>
      <c r="G30" s="18">
        <f>'[4]input data'!Z839</f>
        <v>986.9</v>
      </c>
      <c r="H30" s="18">
        <f>'[4]input data'!Z840</f>
        <v>986.2</v>
      </c>
      <c r="I30" s="18">
        <f>'[4]input data'!Z841</f>
        <v>985.99</v>
      </c>
      <c r="J30" s="18">
        <f>'[4]input data'!Z842</f>
        <v>986.59</v>
      </c>
      <c r="K30" s="18">
        <f>'[4]input data'!Z843</f>
        <v>987.08</v>
      </c>
      <c r="L30" s="18">
        <f>'[4]input data'!Z844</f>
        <v>987.87</v>
      </c>
      <c r="M30" s="18">
        <f>'[4]input data'!Z845</f>
        <v>988.2</v>
      </c>
      <c r="N30" s="18">
        <f>'[4]input data'!Z846</f>
        <v>988.8</v>
      </c>
      <c r="O30" s="19">
        <f t="shared" si="0"/>
        <v>989.5</v>
      </c>
      <c r="P30" s="20">
        <f t="shared" si="1"/>
        <v>985.99</v>
      </c>
      <c r="Q30" s="21">
        <f t="shared" si="2"/>
        <v>987.82538461538456</v>
      </c>
    </row>
    <row r="31" spans="1:18" ht="18.95" customHeight="1" x14ac:dyDescent="0.2">
      <c r="A31" s="22">
        <v>25</v>
      </c>
      <c r="B31" s="18">
        <f>'[4]input data'!Z870</f>
        <v>988.9</v>
      </c>
      <c r="C31" s="18">
        <f>'[4]input data'!Z871</f>
        <v>988.83</v>
      </c>
      <c r="D31" s="18">
        <f>'[4]input data'!Z872</f>
        <v>988.93</v>
      </c>
      <c r="E31" s="18">
        <f>'[4]input data'!Z873</f>
        <v>988.81</v>
      </c>
      <c r="F31" s="18">
        <f>'[4]input data'!Z874</f>
        <v>988.09</v>
      </c>
      <c r="G31" s="18">
        <f>'[4]input data'!Z875</f>
        <v>987.47</v>
      </c>
      <c r="H31" s="18">
        <f>'[4]input data'!Z876</f>
        <v>986.6</v>
      </c>
      <c r="I31" s="18">
        <f>'[4]input data'!Z877</f>
        <v>985.88</v>
      </c>
      <c r="J31" s="18">
        <f>'[4]input data'!Z878</f>
        <v>985.25</v>
      </c>
      <c r="K31" s="18">
        <f>'[4]input data'!Z879</f>
        <v>985.78</v>
      </c>
      <c r="L31" s="18">
        <f>'[4]input data'!Z880</f>
        <v>985.87</v>
      </c>
      <c r="M31" s="18">
        <f>'[4]input data'!Z881</f>
        <v>986.64</v>
      </c>
      <c r="N31" s="18">
        <f>'[4]input data'!Z882</f>
        <v>987.54</v>
      </c>
      <c r="O31" s="19">
        <f t="shared" si="0"/>
        <v>988.93</v>
      </c>
      <c r="P31" s="20">
        <f t="shared" si="1"/>
        <v>985.25</v>
      </c>
      <c r="Q31" s="21">
        <f t="shared" si="2"/>
        <v>987.27615384615387</v>
      </c>
    </row>
    <row r="32" spans="1:18" ht="18.95" customHeight="1" x14ac:dyDescent="0.2">
      <c r="A32" s="22">
        <v>26</v>
      </c>
      <c r="B32" s="18">
        <f>'[4]input data'!Z906</f>
        <v>987.94</v>
      </c>
      <c r="C32" s="18">
        <f>'[4]input data'!Z907</f>
        <v>988.18</v>
      </c>
      <c r="D32" s="18">
        <f>'[4]input data'!Z908</f>
        <v>988.54</v>
      </c>
      <c r="E32" s="18">
        <f>'[4]input data'!Z909</f>
        <v>988.53</v>
      </c>
      <c r="F32" s="18">
        <f>'[4]input data'!Z910</f>
        <v>987.47</v>
      </c>
      <c r="G32" s="18">
        <f>'[4]input data'!Z911</f>
        <v>986.3</v>
      </c>
      <c r="H32" s="18">
        <f>'[4]input data'!Z912</f>
        <v>985.76</v>
      </c>
      <c r="I32" s="18">
        <f>'[4]input data'!Z913</f>
        <v>985.9</v>
      </c>
      <c r="J32" s="18">
        <f>'[4]input data'!Z914</f>
        <v>985</v>
      </c>
      <c r="K32" s="18">
        <f>'[4]input data'!Z915</f>
        <v>985.3</v>
      </c>
      <c r="L32" s="18">
        <f>'[4]input data'!Z916</f>
        <v>985.9</v>
      </c>
      <c r="M32" s="18">
        <f>'[4]input data'!Z917</f>
        <v>986.2</v>
      </c>
      <c r="N32" s="18">
        <f>'[4]input data'!Z918</f>
        <v>986.8</v>
      </c>
      <c r="O32" s="19">
        <f t="shared" si="0"/>
        <v>988.54</v>
      </c>
      <c r="P32" s="20">
        <f t="shared" si="1"/>
        <v>985</v>
      </c>
      <c r="Q32" s="21">
        <f t="shared" si="2"/>
        <v>986.7553846153844</v>
      </c>
    </row>
    <row r="33" spans="1:17" ht="18.95" customHeight="1" x14ac:dyDescent="0.2">
      <c r="A33" s="22">
        <v>27</v>
      </c>
      <c r="B33" s="18">
        <f>'[4]input data'!Z942</f>
        <v>987.8</v>
      </c>
      <c r="C33" s="18">
        <f>'[4]input data'!Z943</f>
        <v>988.7</v>
      </c>
      <c r="D33" s="18">
        <f>'[4]input data'!Z944</f>
        <v>988.3</v>
      </c>
      <c r="E33" s="18">
        <f>'[4]input data'!Z945</f>
        <v>987.3</v>
      </c>
      <c r="F33" s="18">
        <f>'[4]input data'!Z946</f>
        <v>986.4</v>
      </c>
      <c r="G33" s="18">
        <f>'[4]input data'!Z947</f>
        <v>986</v>
      </c>
      <c r="H33" s="18">
        <f>'[4]input data'!Z948</f>
        <v>984.9</v>
      </c>
      <c r="I33" s="18">
        <f>'[4]input data'!Z949</f>
        <v>983.75</v>
      </c>
      <c r="J33" s="18">
        <f>'[4]input data'!Z950</f>
        <v>985.18</v>
      </c>
      <c r="K33" s="18">
        <f>'[4]input data'!Z951</f>
        <v>985.45</v>
      </c>
      <c r="L33" s="18">
        <f>'[4]input data'!Z952</f>
        <v>985.83</v>
      </c>
      <c r="M33" s="18">
        <f>'[4]input data'!Z953</f>
        <v>985.67</v>
      </c>
      <c r="N33" s="18">
        <f>'[4]input data'!Z954</f>
        <v>986.47</v>
      </c>
      <c r="O33" s="19">
        <f t="shared" si="0"/>
        <v>988.7</v>
      </c>
      <c r="P33" s="20">
        <f t="shared" si="1"/>
        <v>983.75</v>
      </c>
      <c r="Q33" s="21">
        <f t="shared" si="2"/>
        <v>986.28846153846155</v>
      </c>
    </row>
    <row r="34" spans="1:17" ht="18.95" customHeight="1" x14ac:dyDescent="0.2">
      <c r="A34" s="22">
        <v>28</v>
      </c>
      <c r="B34" s="18">
        <f>'[4]input data'!Z978</f>
        <v>988.54</v>
      </c>
      <c r="C34" s="18">
        <f>'[4]input data'!Z979</f>
        <v>988.52</v>
      </c>
      <c r="D34" s="18">
        <f>'[4]input data'!Z980</f>
        <v>989.12</v>
      </c>
      <c r="E34" s="18">
        <f>'[4]input data'!Z981</f>
        <v>988.82</v>
      </c>
      <c r="F34" s="18">
        <f>'[4]input data'!Z982</f>
        <v>987.97</v>
      </c>
      <c r="G34" s="18">
        <f>'[4]input data'!Z983</f>
        <v>987.02</v>
      </c>
      <c r="H34" s="18">
        <f>'[4]input data'!Z984</f>
        <v>986.28</v>
      </c>
      <c r="I34" s="18">
        <f>'[4]input data'!Z985</f>
        <v>986</v>
      </c>
      <c r="J34" s="18">
        <f>'[4]input data'!Z986</f>
        <v>985.9</v>
      </c>
      <c r="K34" s="18">
        <f>'[4]input data'!Z987</f>
        <v>986.1</v>
      </c>
      <c r="L34" s="18">
        <f>'[4]input data'!Z988</f>
        <v>986.6</v>
      </c>
      <c r="M34" s="18">
        <f>'[4]input data'!Z989</f>
        <v>987.6</v>
      </c>
      <c r="N34" s="18">
        <f>'[4]input data'!Z990</f>
        <v>988</v>
      </c>
      <c r="O34" s="19">
        <f t="shared" si="0"/>
        <v>989.12</v>
      </c>
      <c r="P34" s="20">
        <f t="shared" si="1"/>
        <v>985.9</v>
      </c>
      <c r="Q34" s="21">
        <f t="shared" si="2"/>
        <v>987.42076923076934</v>
      </c>
    </row>
    <row r="35" spans="1:17" ht="18.95" customHeight="1" x14ac:dyDescent="0.2">
      <c r="A35" s="22">
        <v>29</v>
      </c>
      <c r="B35" s="18">
        <f>'[4]input data'!Z1014</f>
        <v>988.85</v>
      </c>
      <c r="C35" s="18">
        <f>'[4]input data'!Z1015</f>
        <v>989.33</v>
      </c>
      <c r="D35" s="18">
        <f>'[4]input data'!Z1016</f>
        <v>989.77</v>
      </c>
      <c r="E35" s="18">
        <f>'[4]input data'!Z1017</f>
        <v>989.95</v>
      </c>
      <c r="F35" s="18">
        <f>'[4]input data'!Z1018</f>
        <v>989.14</v>
      </c>
      <c r="G35" s="18">
        <f>'[4]input data'!Z1019</f>
        <v>988.22</v>
      </c>
      <c r="H35" s="18">
        <f>'[4]input data'!Z1020</f>
        <v>987.96</v>
      </c>
      <c r="I35" s="18">
        <f>'[4]input data'!Z1021</f>
        <v>986.6</v>
      </c>
      <c r="J35" s="18">
        <f>'[4]input data'!Z1022</f>
        <v>986.6</v>
      </c>
      <c r="K35" s="18">
        <f>'[4]input data'!Z1023</f>
        <v>986.5</v>
      </c>
      <c r="L35" s="18">
        <f>'[4]input data'!Z1024</f>
        <v>987.1</v>
      </c>
      <c r="M35" s="18">
        <f>'[4]input data'!Z1025</f>
        <v>987.5</v>
      </c>
      <c r="N35" s="18">
        <f>'[4]input data'!Z1026</f>
        <v>987.9</v>
      </c>
      <c r="O35" s="19">
        <f t="shared" si="0"/>
        <v>989.95</v>
      </c>
      <c r="P35" s="20">
        <f t="shared" si="1"/>
        <v>986.5</v>
      </c>
      <c r="Q35" s="21">
        <f t="shared" si="2"/>
        <v>988.10923076923075</v>
      </c>
    </row>
    <row r="36" spans="1:17" ht="18.95" customHeight="1" thickBot="1" x14ac:dyDescent="0.25">
      <c r="A36" s="22">
        <v>30</v>
      </c>
      <c r="B36" s="18">
        <f>'[4]input data'!Z1050</f>
        <v>989.7</v>
      </c>
      <c r="C36" s="18">
        <f>'[4]input data'!Z1051</f>
        <v>989.2</v>
      </c>
      <c r="D36" s="18">
        <f>'[4]input data'!Z1052</f>
        <v>989.3</v>
      </c>
      <c r="E36" s="18">
        <f>'[4]input data'!Z1053</f>
        <v>989</v>
      </c>
      <c r="F36" s="18">
        <f>'[4]input data'!Z1054</f>
        <v>988</v>
      </c>
      <c r="G36" s="18">
        <f>'[4]input data'!Z1055</f>
        <v>987.2</v>
      </c>
      <c r="H36" s="18">
        <f>'[4]input data'!Z1056</f>
        <v>986.2</v>
      </c>
      <c r="I36" s="18">
        <f>'[4]input data'!Z1057</f>
        <v>985.5</v>
      </c>
      <c r="J36" s="18">
        <f>'[4]input data'!Z1058</f>
        <v>985.2</v>
      </c>
      <c r="K36" s="18">
        <f>'[4]input data'!Z1059</f>
        <v>986.3</v>
      </c>
      <c r="L36" s="18">
        <f>'[4]input data'!Z1060</f>
        <v>986.2</v>
      </c>
      <c r="M36" s="18">
        <f>'[4]input data'!Z1061</f>
        <v>986.8</v>
      </c>
      <c r="N36" s="18">
        <f>'[4]input data'!Z1062</f>
        <v>988.2</v>
      </c>
      <c r="O36" s="19">
        <f t="shared" si="0"/>
        <v>989.7</v>
      </c>
      <c r="P36" s="20">
        <f t="shared" si="1"/>
        <v>985.2</v>
      </c>
      <c r="Q36" s="21">
        <f t="shared" si="2"/>
        <v>987.44615384615383</v>
      </c>
    </row>
    <row r="37" spans="1:17" ht="18" customHeight="1" thickTop="1" x14ac:dyDescent="0.2">
      <c r="A37" s="24" t="s">
        <v>23</v>
      </c>
      <c r="B37" s="25">
        <f t="shared" ref="B37:Q37" si="3">MAX(B7:B36)</f>
        <v>992.5</v>
      </c>
      <c r="C37" s="25">
        <f t="shared" si="3"/>
        <v>992.7</v>
      </c>
      <c r="D37" s="25">
        <f t="shared" si="3"/>
        <v>993</v>
      </c>
      <c r="E37" s="25">
        <f t="shared" si="3"/>
        <v>992.5</v>
      </c>
      <c r="F37" s="25">
        <f t="shared" si="3"/>
        <v>991.7</v>
      </c>
      <c r="G37" s="25">
        <f t="shared" si="3"/>
        <v>991</v>
      </c>
      <c r="H37" s="25">
        <f t="shared" si="3"/>
        <v>989.5</v>
      </c>
      <c r="I37" s="25">
        <f t="shared" si="3"/>
        <v>989.4</v>
      </c>
      <c r="J37" s="25">
        <f t="shared" si="3"/>
        <v>989.1</v>
      </c>
      <c r="K37" s="25">
        <f t="shared" si="3"/>
        <v>989.8</v>
      </c>
      <c r="L37" s="25">
        <f t="shared" si="3"/>
        <v>990.7</v>
      </c>
      <c r="M37" s="25">
        <f t="shared" si="3"/>
        <v>990.4</v>
      </c>
      <c r="N37" s="25">
        <f t="shared" si="3"/>
        <v>991.3</v>
      </c>
      <c r="O37" s="26">
        <f t="shared" si="3"/>
        <v>993</v>
      </c>
      <c r="P37" s="25">
        <f t="shared" si="3"/>
        <v>989.02</v>
      </c>
      <c r="Q37" s="27">
        <f t="shared" si="3"/>
        <v>990.77846153846144</v>
      </c>
    </row>
    <row r="38" spans="1:17" ht="18" customHeight="1" x14ac:dyDescent="0.2">
      <c r="A38" s="22" t="s">
        <v>24</v>
      </c>
      <c r="B38" s="28">
        <f t="shared" ref="B38:Q38" si="4">MIN(B7:B36)</f>
        <v>987.8</v>
      </c>
      <c r="C38" s="28">
        <f t="shared" si="4"/>
        <v>988.18</v>
      </c>
      <c r="D38" s="28">
        <f t="shared" si="4"/>
        <v>959.5</v>
      </c>
      <c r="E38" s="28">
        <f t="shared" si="4"/>
        <v>987.3</v>
      </c>
      <c r="F38" s="28">
        <f t="shared" si="4"/>
        <v>986.4</v>
      </c>
      <c r="G38" s="28">
        <f t="shared" si="4"/>
        <v>986</v>
      </c>
      <c r="H38" s="28">
        <f t="shared" si="4"/>
        <v>984.9</v>
      </c>
      <c r="I38" s="28">
        <f t="shared" si="4"/>
        <v>983.75</v>
      </c>
      <c r="J38" s="28">
        <f t="shared" si="4"/>
        <v>985</v>
      </c>
      <c r="K38" s="28">
        <f t="shared" si="4"/>
        <v>985.1</v>
      </c>
      <c r="L38" s="28">
        <f t="shared" si="4"/>
        <v>985.83</v>
      </c>
      <c r="M38" s="28">
        <f t="shared" si="4"/>
        <v>985.67</v>
      </c>
      <c r="N38" s="28">
        <f t="shared" si="4"/>
        <v>986.47</v>
      </c>
      <c r="O38" s="29">
        <f t="shared" si="4"/>
        <v>988.54</v>
      </c>
      <c r="P38" s="28">
        <f t="shared" si="4"/>
        <v>959.5</v>
      </c>
      <c r="Q38" s="30">
        <f t="shared" si="4"/>
        <v>985.65153846153839</v>
      </c>
    </row>
    <row r="39" spans="1:17" ht="15.75" thickBot="1" x14ac:dyDescent="0.25">
      <c r="A39" s="31" t="s">
        <v>25</v>
      </c>
      <c r="B39" s="32">
        <f t="shared" ref="B39:Q39" si="5">AVERAGE(B7:B36)</f>
        <v>989.94299999999998</v>
      </c>
      <c r="C39" s="32">
        <f t="shared" si="5"/>
        <v>990.26400000000024</v>
      </c>
      <c r="D39" s="32">
        <f t="shared" si="5"/>
        <v>989.45699999999999</v>
      </c>
      <c r="E39" s="32">
        <f t="shared" si="5"/>
        <v>990.11766666666654</v>
      </c>
      <c r="F39" s="32">
        <f t="shared" si="5"/>
        <v>989.23866666666675</v>
      </c>
      <c r="G39" s="32">
        <f t="shared" si="5"/>
        <v>988.27466666666669</v>
      </c>
      <c r="H39" s="32">
        <f t="shared" si="5"/>
        <v>987.40233333333333</v>
      </c>
      <c r="I39" s="32">
        <f t="shared" si="5"/>
        <v>986.84800000000007</v>
      </c>
      <c r="J39" s="32">
        <f t="shared" si="5"/>
        <v>986.7213333333334</v>
      </c>
      <c r="K39" s="32">
        <f t="shared" si="5"/>
        <v>987.13833333333343</v>
      </c>
      <c r="L39" s="32">
        <f t="shared" si="5"/>
        <v>987.76566666666656</v>
      </c>
      <c r="M39" s="32">
        <f t="shared" si="5"/>
        <v>988.25099999999986</v>
      </c>
      <c r="N39" s="32">
        <f t="shared" si="5"/>
        <v>988.94966666666687</v>
      </c>
      <c r="O39" s="33">
        <f t="shared" si="5"/>
        <v>990.51300000000003</v>
      </c>
      <c r="P39" s="32">
        <f t="shared" si="5"/>
        <v>985.6600000000002</v>
      </c>
      <c r="Q39" s="34">
        <f t="shared" si="5"/>
        <v>988.49010256410247</v>
      </c>
    </row>
    <row r="40" spans="1:17" ht="13.5" thickTop="1" x14ac:dyDescent="0.2"/>
    <row r="42" spans="1:17" x14ac:dyDescent="0.2">
      <c r="C42" s="8" t="str">
        <f>[4]FKLIM.71!M43</f>
        <v>Mengetahui,</v>
      </c>
    </row>
    <row r="43" spans="1:17" x14ac:dyDescent="0.2">
      <c r="C43" s="8" t="str">
        <f>[4]FKLIM.71!M44</f>
        <v>Kepala Stasiun Klimatologi Kelas IV</v>
      </c>
      <c r="O43" s="8" t="str">
        <f>[4]FKLIM.71!T44</f>
        <v>Pengolah</v>
      </c>
    </row>
    <row r="44" spans="1:17" x14ac:dyDescent="0.2">
      <c r="C44" s="8" t="str">
        <f>[4]FKLIM.71!M45</f>
        <v>Sleman Yogyakarta</v>
      </c>
      <c r="O44" s="8"/>
    </row>
    <row r="45" spans="1:17" x14ac:dyDescent="0.2">
      <c r="C45" s="8"/>
      <c r="O45" s="8"/>
    </row>
    <row r="46" spans="1:17" x14ac:dyDescent="0.2">
      <c r="C46" s="8"/>
      <c r="O46" s="8"/>
    </row>
    <row r="47" spans="1:17" x14ac:dyDescent="0.2">
      <c r="C47" s="8"/>
      <c r="O47" s="8"/>
    </row>
    <row r="48" spans="1:17" x14ac:dyDescent="0.2">
      <c r="C48" s="8"/>
      <c r="O48" s="8"/>
    </row>
    <row r="49" spans="3:15" x14ac:dyDescent="0.2">
      <c r="C49" s="35" t="str">
        <f>[4]FKLIM.71!M50</f>
        <v>RENI KRANINGTYAS, SP, M.Si</v>
      </c>
      <c r="O49" s="35" t="str">
        <f>[4]FKLIM.71!T50</f>
        <v xml:space="preserve">TIM PEMBUAT LAPORAN </v>
      </c>
    </row>
    <row r="50" spans="3:15" x14ac:dyDescent="0.2">
      <c r="C50" s="8" t="str">
        <f>[4]FKLIM.71!M51</f>
        <v>NIP.  19740203 199703 2 001</v>
      </c>
      <c r="O50" s="8" t="str">
        <f>[4]FKLIM.71!T51</f>
        <v xml:space="preserve">PETUGAS OPERASIONAL </v>
      </c>
    </row>
  </sheetData>
  <mergeCells count="2">
    <mergeCell ref="G1:K1"/>
    <mergeCell ref="G3:K3"/>
  </mergeCells>
  <pageMargins left="0.9055118110236221" right="0.70866141732283472" top="0.74803149606299213" bottom="0.35433070866141736" header="0.31496062992125984" footer="0.31496062992125984"/>
  <pageSetup paperSize="9" scale="60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Q50"/>
  <sheetViews>
    <sheetView topLeftCell="A16" workbookViewId="0">
      <selection activeCell="T46" sqref="T46"/>
    </sheetView>
  </sheetViews>
  <sheetFormatPr defaultRowHeight="15" x14ac:dyDescent="0.25"/>
  <cols>
    <col min="17" max="17" width="13" customWidth="1"/>
  </cols>
  <sheetData>
    <row r="1" spans="1:17" ht="18" x14ac:dyDescent="0.25">
      <c r="A1" s="1"/>
      <c r="B1" s="1"/>
      <c r="C1" s="1"/>
      <c r="D1" s="2"/>
      <c r="E1" s="3"/>
      <c r="F1" s="3"/>
      <c r="G1" s="41" t="s">
        <v>27</v>
      </c>
      <c r="H1" s="3"/>
      <c r="I1" s="3"/>
      <c r="J1" s="3"/>
      <c r="K1" s="3"/>
      <c r="L1" s="4"/>
      <c r="M1" s="4"/>
      <c r="N1" s="4"/>
      <c r="O1" s="3"/>
      <c r="P1" s="3"/>
      <c r="Q1" s="3"/>
    </row>
    <row r="2" spans="1:17" ht="18" x14ac:dyDescent="0.25">
      <c r="A2" s="5" t="s">
        <v>0</v>
      </c>
      <c r="B2" s="3"/>
      <c r="C2" s="3" t="s">
        <v>1</v>
      </c>
      <c r="D2" s="2"/>
      <c r="E2" s="3"/>
      <c r="F2" s="3"/>
      <c r="G2" s="6"/>
      <c r="H2" s="4"/>
      <c r="I2" s="4"/>
      <c r="J2" s="4"/>
      <c r="K2" s="4"/>
      <c r="L2" s="4"/>
      <c r="M2" s="4"/>
      <c r="N2" s="4"/>
      <c r="O2" s="3"/>
      <c r="P2" s="3"/>
      <c r="Q2" s="3"/>
    </row>
    <row r="3" spans="1:17" ht="18" x14ac:dyDescent="0.25">
      <c r="A3" s="5" t="s">
        <v>2</v>
      </c>
      <c r="B3" s="3"/>
      <c r="C3" s="36" t="s">
        <v>28</v>
      </c>
      <c r="D3" s="2"/>
      <c r="E3" s="7"/>
      <c r="F3" s="3"/>
      <c r="G3" s="99"/>
      <c r="H3" s="100"/>
      <c r="I3" s="100"/>
      <c r="J3" s="100"/>
      <c r="K3" s="100"/>
      <c r="L3" s="3"/>
      <c r="M3" s="3"/>
      <c r="N3" s="3"/>
      <c r="O3" s="3"/>
      <c r="P3" s="3"/>
      <c r="Q3" s="3"/>
    </row>
    <row r="4" spans="1:17" ht="15.75" x14ac:dyDescent="0.25">
      <c r="A4" s="5" t="s">
        <v>3</v>
      </c>
      <c r="B4" s="3"/>
      <c r="C4" s="3" t="s">
        <v>4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6.5" thickBot="1" x14ac:dyDescent="0.3">
      <c r="A5" s="8"/>
      <c r="B5" s="1"/>
      <c r="C5" s="1"/>
      <c r="D5" s="1"/>
      <c r="E5" s="1"/>
      <c r="F5" s="1"/>
      <c r="G5" s="1"/>
      <c r="H5" s="1"/>
      <c r="I5" s="1"/>
      <c r="J5" s="1"/>
      <c r="K5" s="3"/>
      <c r="L5" s="9" t="s">
        <v>5</v>
      </c>
      <c r="M5" s="9"/>
      <c r="N5" s="10" t="str">
        <f>'[4]input data'!R1121</f>
        <v xml:space="preserve">TIM PEMBUAT LAPORAN </v>
      </c>
      <c r="O5" s="9"/>
      <c r="P5" s="9"/>
      <c r="Q5" s="1"/>
    </row>
    <row r="6" spans="1:17" ht="16.5" thickTop="1" thickBot="1" x14ac:dyDescent="0.3">
      <c r="A6" s="11" t="s">
        <v>6</v>
      </c>
      <c r="B6" s="12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4" t="s">
        <v>20</v>
      </c>
      <c r="P6" s="13" t="s">
        <v>21</v>
      </c>
      <c r="Q6" s="15" t="s">
        <v>22</v>
      </c>
    </row>
    <row r="7" spans="1:17" ht="15.75" thickTop="1" x14ac:dyDescent="0.25">
      <c r="A7" s="17">
        <v>1</v>
      </c>
      <c r="B7" s="18">
        <f>'[5]input data'!Z6</f>
        <v>988.8</v>
      </c>
      <c r="C7" s="18">
        <f>'[5]input data'!Z7</f>
        <v>989.3</v>
      </c>
      <c r="D7" s="18">
        <f>'[5]input data'!Z8</f>
        <v>989.1</v>
      </c>
      <c r="E7" s="18">
        <f>'[5]input data'!Z9</f>
        <v>989.1</v>
      </c>
      <c r="F7" s="18">
        <f>'[5]input data'!Z10</f>
        <v>987.9</v>
      </c>
      <c r="G7" s="18">
        <f>'[5]input data'!Z11</f>
        <v>987.1</v>
      </c>
      <c r="H7" s="18">
        <f>'[5]input data'!Z12</f>
        <v>986.1</v>
      </c>
      <c r="I7" s="18">
        <f>'[5]input data'!Z13</f>
        <v>985.4</v>
      </c>
      <c r="J7" s="18">
        <f>'[5]input data'!Z14</f>
        <v>985.69</v>
      </c>
      <c r="K7" s="18">
        <f>'[5]input data'!Z15</f>
        <v>986.79</v>
      </c>
      <c r="L7" s="18">
        <f>'[5]input data'!Z16</f>
        <v>987.93</v>
      </c>
      <c r="M7" s="18">
        <f>'[5]input data'!Z17</f>
        <v>988.04</v>
      </c>
      <c r="N7" s="18">
        <f>'[5]input data'!Z18</f>
        <v>988.49</v>
      </c>
      <c r="O7" s="19">
        <f>MAX(B7:N7)</f>
        <v>989.3</v>
      </c>
      <c r="P7" s="20">
        <f>MIN(B7:N7)</f>
        <v>985.4</v>
      </c>
      <c r="Q7" s="21">
        <f>AVERAGE(B7:N7)</f>
        <v>987.67230769230764</v>
      </c>
    </row>
    <row r="8" spans="1:17" x14ac:dyDescent="0.25">
      <c r="A8" s="22">
        <v>2</v>
      </c>
      <c r="B8" s="18">
        <f>'[5]input data'!Z42</f>
        <v>989.39</v>
      </c>
      <c r="C8" s="18">
        <f>'[5]input data'!Z43</f>
        <v>989.67</v>
      </c>
      <c r="D8" s="18">
        <f>'[5]input data'!Z44</f>
        <v>989.48</v>
      </c>
      <c r="E8" s="18">
        <f>'[5]input data'!Z45</f>
        <v>989.28</v>
      </c>
      <c r="F8" s="18">
        <f>'[5]input data'!Z46</f>
        <v>988.59</v>
      </c>
      <c r="G8" s="18">
        <f>'[5]input data'!Z47</f>
        <v>987.44</v>
      </c>
      <c r="H8" s="18">
        <f>'[5]input data'!Z48</f>
        <v>986.67</v>
      </c>
      <c r="I8" s="18">
        <f>'[5]input data'!Z49</f>
        <v>985.73</v>
      </c>
      <c r="J8" s="18">
        <f>'[5]input data'!Z50</f>
        <v>985.28</v>
      </c>
      <c r="K8" s="18">
        <f>'[5]input data'!Z51</f>
        <v>985.85</v>
      </c>
      <c r="L8" s="18">
        <f>'[5]input data'!Z52</f>
        <v>986.59</v>
      </c>
      <c r="M8" s="18">
        <f>'[5]input data'!Z53</f>
        <v>987.09</v>
      </c>
      <c r="N8" s="18">
        <f>'[5]input data'!Z54</f>
        <v>987.74</v>
      </c>
      <c r="O8" s="19">
        <f t="shared" ref="O8:O37" si="0">MAX(B8:N8)</f>
        <v>989.67</v>
      </c>
      <c r="P8" s="20">
        <f t="shared" ref="P8:P37" si="1">MIN(B8:N8)</f>
        <v>985.28</v>
      </c>
      <c r="Q8" s="21">
        <f t="shared" ref="Q8:Q37" si="2">AVERAGE(B8:N8)</f>
        <v>987.60000000000014</v>
      </c>
    </row>
    <row r="9" spans="1:17" x14ac:dyDescent="0.25">
      <c r="A9" s="22">
        <v>3</v>
      </c>
      <c r="B9" s="18">
        <f>'[5]input data'!Z78</f>
        <v>989.6</v>
      </c>
      <c r="C9" s="18">
        <f>'[5]input data'!Z79</f>
        <v>989.9</v>
      </c>
      <c r="D9" s="18">
        <f>'[5]input data'!Z80</f>
        <v>989.7</v>
      </c>
      <c r="E9" s="18">
        <f>'[5]input data'!Z81</f>
        <v>989.5</v>
      </c>
      <c r="F9" s="18">
        <f>'[5]input data'!Z82</f>
        <v>988.7</v>
      </c>
      <c r="G9" s="18">
        <f>'[5]input data'!Z83</f>
        <v>987.9</v>
      </c>
      <c r="H9" s="18">
        <f>'[5]input data'!Z84</f>
        <v>986.8</v>
      </c>
      <c r="I9" s="18">
        <f>'[5]input data'!Z85</f>
        <v>986.4</v>
      </c>
      <c r="J9" s="18">
        <f>'[5]input data'!Z86</f>
        <v>986.4</v>
      </c>
      <c r="K9" s="18">
        <f>'[5]input data'!Z87</f>
        <v>987.1</v>
      </c>
      <c r="L9" s="18">
        <f>'[5]input data'!Z88</f>
        <v>988.1</v>
      </c>
      <c r="M9" s="18">
        <f>'[5]input data'!Z89</f>
        <v>988.6</v>
      </c>
      <c r="N9" s="18">
        <f>'[5]input data'!Z90</f>
        <v>989.2</v>
      </c>
      <c r="O9" s="19">
        <f t="shared" si="0"/>
        <v>989.9</v>
      </c>
      <c r="P9" s="20">
        <f t="shared" si="1"/>
        <v>986.4</v>
      </c>
      <c r="Q9" s="21">
        <f t="shared" si="2"/>
        <v>988.30000000000007</v>
      </c>
    </row>
    <row r="10" spans="1:17" x14ac:dyDescent="0.25">
      <c r="A10" s="22">
        <v>4</v>
      </c>
      <c r="B10" s="18">
        <f>'[5]input data'!Z114</f>
        <v>989.5</v>
      </c>
      <c r="C10" s="18">
        <f>'[5]input data'!Z115</f>
        <v>989.78</v>
      </c>
      <c r="D10" s="18">
        <f>'[5]input data'!Z116</f>
        <v>989.86</v>
      </c>
      <c r="E10" s="18">
        <f>'[5]input data'!Z117</f>
        <v>989.92</v>
      </c>
      <c r="F10" s="18">
        <f>'[5]input data'!Z118</f>
        <v>989.2</v>
      </c>
      <c r="G10" s="18">
        <f>'[5]input data'!Z119</f>
        <v>988.23</v>
      </c>
      <c r="H10" s="18">
        <f>'[5]input data'!Z120</f>
        <v>988.07</v>
      </c>
      <c r="I10" s="18">
        <f>'[5]input data'!Z121</f>
        <v>986.9</v>
      </c>
      <c r="J10" s="18">
        <f>'[5]input data'!Z122</f>
        <v>986.8</v>
      </c>
      <c r="K10" s="18">
        <f>'[5]input data'!Z123</f>
        <v>986.9</v>
      </c>
      <c r="L10" s="18">
        <f>'[5]input data'!Z124</f>
        <v>987.3</v>
      </c>
      <c r="M10" s="18">
        <f>'[5]input data'!Z125</f>
        <v>988.3</v>
      </c>
      <c r="N10" s="18">
        <f>'[5]input data'!Z126</f>
        <v>989.1</v>
      </c>
      <c r="O10" s="19">
        <f t="shared" si="0"/>
        <v>989.92</v>
      </c>
      <c r="P10" s="20">
        <f t="shared" si="1"/>
        <v>986.8</v>
      </c>
      <c r="Q10" s="21">
        <f t="shared" si="2"/>
        <v>988.45076923076897</v>
      </c>
    </row>
    <row r="11" spans="1:17" x14ac:dyDescent="0.25">
      <c r="A11" s="22">
        <v>5</v>
      </c>
      <c r="B11" s="18">
        <f>'[5]input data'!Z150</f>
        <v>989.9</v>
      </c>
      <c r="C11" s="18">
        <f>'[5]input data'!Z151</f>
        <v>990.1</v>
      </c>
      <c r="D11" s="18">
        <f>'[5]input data'!Z152</f>
        <v>989.6</v>
      </c>
      <c r="E11" s="18">
        <f>'[5]input data'!Z153</f>
        <v>989.3</v>
      </c>
      <c r="F11" s="18">
        <f>'[5]input data'!Z154</f>
        <v>988.3</v>
      </c>
      <c r="G11" s="18">
        <f>'[5]input data'!Z155</f>
        <v>987.4</v>
      </c>
      <c r="H11" s="18">
        <f>'[5]input data'!Z156</f>
        <v>986.7</v>
      </c>
      <c r="I11" s="18">
        <f>'[5]input data'!Z157</f>
        <v>986.1</v>
      </c>
      <c r="J11" s="18">
        <f>'[5]input data'!Z158</f>
        <v>986.2</v>
      </c>
      <c r="K11" s="18">
        <f>'[5]input data'!Z159</f>
        <v>986.4</v>
      </c>
      <c r="L11" s="18">
        <f>'[5]input data'!Z160</f>
        <v>986.4</v>
      </c>
      <c r="M11" s="18">
        <f>'[5]input data'!Z161</f>
        <v>986.7</v>
      </c>
      <c r="N11" s="18">
        <f>'[5]input data'!Z162</f>
        <v>987.1</v>
      </c>
      <c r="O11" s="19">
        <f t="shared" si="0"/>
        <v>990.1</v>
      </c>
      <c r="P11" s="20">
        <f t="shared" si="1"/>
        <v>986.1</v>
      </c>
      <c r="Q11" s="21">
        <f t="shared" si="2"/>
        <v>987.70769230769235</v>
      </c>
    </row>
    <row r="12" spans="1:17" x14ac:dyDescent="0.25">
      <c r="A12" s="22">
        <v>6</v>
      </c>
      <c r="B12" s="18">
        <f>'[5]input data'!Z186</f>
        <v>988.5</v>
      </c>
      <c r="C12" s="18">
        <f>'[5]input data'!Z187</f>
        <v>988.4</v>
      </c>
      <c r="D12" s="18">
        <f>'[5]input data'!Z188</f>
        <v>988.6</v>
      </c>
      <c r="E12" s="18">
        <f>'[5]input data'!Z189</f>
        <v>988.2</v>
      </c>
      <c r="F12" s="18">
        <f>'[5]input data'!Z190</f>
        <v>997.2</v>
      </c>
      <c r="G12" s="18">
        <f>'[5]input data'!Z191</f>
        <v>986.7</v>
      </c>
      <c r="H12" s="18">
        <f>'[5]input data'!Z192</f>
        <v>985.8</v>
      </c>
      <c r="I12" s="18">
        <f>'[5]input data'!Z193</f>
        <v>985.67</v>
      </c>
      <c r="J12" s="18">
        <f>'[5]input data'!Z194</f>
        <v>985.33</v>
      </c>
      <c r="K12" s="18">
        <f>'[5]input data'!Z195</f>
        <v>985.69</v>
      </c>
      <c r="L12" s="18">
        <f>'[5]input data'!Z196</f>
        <v>987.18</v>
      </c>
      <c r="M12" s="18">
        <f>'[5]input data'!Z197</f>
        <v>987.14</v>
      </c>
      <c r="N12" s="18">
        <f>'[5]input data'!Z198</f>
        <v>987.5</v>
      </c>
      <c r="O12" s="19">
        <f t="shared" si="0"/>
        <v>997.2</v>
      </c>
      <c r="P12" s="20">
        <f t="shared" si="1"/>
        <v>985.33</v>
      </c>
      <c r="Q12" s="21">
        <f t="shared" si="2"/>
        <v>987.83923076923077</v>
      </c>
    </row>
    <row r="13" spans="1:17" x14ac:dyDescent="0.25">
      <c r="A13" s="22">
        <v>7</v>
      </c>
      <c r="B13" s="18">
        <f>'[5]input data'!Z222</f>
        <v>988.34</v>
      </c>
      <c r="C13" s="18">
        <f>'[5]input data'!Z223</f>
        <v>988.5</v>
      </c>
      <c r="D13" s="18">
        <f>'[5]input data'!Z224</f>
        <v>988.91</v>
      </c>
      <c r="E13" s="18">
        <f>'[5]input data'!Z225</f>
        <v>988.6</v>
      </c>
      <c r="F13" s="18">
        <f>'[5]input data'!Z226</f>
        <v>987.62</v>
      </c>
      <c r="G13" s="18">
        <f>'[5]input data'!Z227</f>
        <v>986.9</v>
      </c>
      <c r="H13" s="18">
        <f>'[5]input data'!Z228</f>
        <v>986.14</v>
      </c>
      <c r="I13" s="18">
        <f>'[5]input data'!Z229</f>
        <v>984.8</v>
      </c>
      <c r="J13" s="18">
        <f>'[5]input data'!Z230</f>
        <v>984.4</v>
      </c>
      <c r="K13" s="18">
        <f>'[5]input data'!Z231</f>
        <v>985.4</v>
      </c>
      <c r="L13" s="18">
        <f>'[5]input data'!Z232</f>
        <v>986.4</v>
      </c>
      <c r="M13" s="18">
        <f>'[5]input data'!Z233</f>
        <v>987.7</v>
      </c>
      <c r="N13" s="18">
        <f>'[5]input data'!Z234</f>
        <v>987.5</v>
      </c>
      <c r="O13" s="19">
        <f>MAX(B13:N13)</f>
        <v>988.91</v>
      </c>
      <c r="P13" s="20">
        <f>MIN(B13:N13)</f>
        <v>984.4</v>
      </c>
      <c r="Q13" s="21">
        <f>AVERAGE(B13:N13)</f>
        <v>987.01615384615388</v>
      </c>
    </row>
    <row r="14" spans="1:17" x14ac:dyDescent="0.25">
      <c r="A14" s="22">
        <v>8</v>
      </c>
      <c r="B14" s="18">
        <f>'[5]input data'!Z258</f>
        <v>988.32</v>
      </c>
      <c r="C14" s="18">
        <f>'[5]input data'!Z259</f>
        <v>989.05</v>
      </c>
      <c r="D14" s="18">
        <f>'[5]input data'!Z260</f>
        <v>989.55</v>
      </c>
      <c r="E14" s="18">
        <f>'[5]input data'!Z261</f>
        <v>989.43</v>
      </c>
      <c r="F14" s="18">
        <f>'[5]input data'!Z262</f>
        <v>988.43</v>
      </c>
      <c r="G14" s="18">
        <f>'[5]input data'!Z263</f>
        <v>987.24</v>
      </c>
      <c r="H14" s="18">
        <f>'[5]input data'!Z264</f>
        <v>986.64</v>
      </c>
      <c r="I14" s="18">
        <f>'[5]input data'!Z265</f>
        <v>986</v>
      </c>
      <c r="J14" s="18">
        <f>'[5]input data'!Z266</f>
        <v>985.8</v>
      </c>
      <c r="K14" s="18">
        <f>'[5]input data'!Z267</f>
        <v>986.4</v>
      </c>
      <c r="L14" s="18">
        <f>'[5]input data'!Z268</f>
        <v>987.5</v>
      </c>
      <c r="M14" s="18">
        <f>'[5]input data'!Z269</f>
        <v>988</v>
      </c>
      <c r="N14" s="18">
        <f>'[5]input data'!Z270</f>
        <v>988.9</v>
      </c>
      <c r="O14" s="19">
        <f t="shared" si="0"/>
        <v>989.55</v>
      </c>
      <c r="P14" s="20">
        <f t="shared" si="1"/>
        <v>985.8</v>
      </c>
      <c r="Q14" s="21">
        <f t="shared" si="2"/>
        <v>987.7892307692307</v>
      </c>
    </row>
    <row r="15" spans="1:17" x14ac:dyDescent="0.25">
      <c r="A15" s="22">
        <v>9</v>
      </c>
      <c r="B15" s="18">
        <f>'[5]input data'!Z294</f>
        <v>988.7</v>
      </c>
      <c r="C15" s="18">
        <f>'[5]input data'!Z295</f>
        <v>988.9</v>
      </c>
      <c r="D15" s="18">
        <f>'[5]input data'!Z296</f>
        <v>989.1</v>
      </c>
      <c r="E15" s="18">
        <f>'[5]input data'!Z297</f>
        <v>988.6</v>
      </c>
      <c r="F15" s="18">
        <f>'[5]input data'!Z298</f>
        <v>987.9</v>
      </c>
      <c r="G15" s="18">
        <f>'[5]input data'!Z299</f>
        <v>986.8</v>
      </c>
      <c r="H15" s="18">
        <f>'[5]input data'!Z300</f>
        <v>986.1</v>
      </c>
      <c r="I15" s="18">
        <f>'[5]input data'!Z301</f>
        <v>986.13</v>
      </c>
      <c r="J15" s="18">
        <f>'[5]input data'!Z302</f>
        <v>985.7</v>
      </c>
      <c r="K15" s="18">
        <f>'[5]input data'!Z303</f>
        <v>986.4</v>
      </c>
      <c r="L15" s="18">
        <f>'[5]input data'!Z304</f>
        <v>986.8</v>
      </c>
      <c r="M15" s="18">
        <f>'[5]input data'!Z305</f>
        <v>987.1</v>
      </c>
      <c r="N15" s="18">
        <f>'[5]input data'!Z306</f>
        <v>988.1</v>
      </c>
      <c r="O15" s="19">
        <f t="shared" si="0"/>
        <v>989.1</v>
      </c>
      <c r="P15" s="20">
        <f t="shared" si="1"/>
        <v>985.7</v>
      </c>
      <c r="Q15" s="21">
        <f t="shared" si="2"/>
        <v>987.41</v>
      </c>
    </row>
    <row r="16" spans="1:17" x14ac:dyDescent="0.25">
      <c r="A16" s="22">
        <v>10</v>
      </c>
      <c r="B16" s="18">
        <f>'[5]input data'!Z330</f>
        <v>989.1</v>
      </c>
      <c r="C16" s="18">
        <f>'[5]input data'!Z331</f>
        <v>989.5</v>
      </c>
      <c r="D16" s="18">
        <f>'[5]input data'!Z332</f>
        <v>989.7</v>
      </c>
      <c r="E16" s="18">
        <f>'[5]input data'!Z333</f>
        <v>989.4</v>
      </c>
      <c r="F16" s="18">
        <f>'[5]input data'!Z334</f>
        <v>988.7</v>
      </c>
      <c r="G16" s="18">
        <f>'[5]input data'!Z335</f>
        <v>987.4</v>
      </c>
      <c r="H16" s="18">
        <f>'[5]input data'!Z336</f>
        <v>986.2</v>
      </c>
      <c r="I16" s="18">
        <f>'[5]input data'!Z337</f>
        <v>985.86</v>
      </c>
      <c r="J16" s="18">
        <f>'[5]input data'!Z338</f>
        <v>985.64</v>
      </c>
      <c r="K16" s="18">
        <f>'[5]input data'!Z339</f>
        <v>986.45</v>
      </c>
      <c r="L16" s="18">
        <f>'[5]input data'!Z340</f>
        <v>986.8</v>
      </c>
      <c r="M16" s="18">
        <f>'[5]input data'!Z341</f>
        <v>987.3</v>
      </c>
      <c r="N16" s="18">
        <f>'[5]input data'!Z342</f>
        <v>987.9</v>
      </c>
      <c r="O16" s="19">
        <f t="shared" si="0"/>
        <v>989.7</v>
      </c>
      <c r="P16" s="20">
        <f t="shared" si="1"/>
        <v>985.64</v>
      </c>
      <c r="Q16" s="21">
        <f t="shared" si="2"/>
        <v>987.68846153846141</v>
      </c>
    </row>
    <row r="17" spans="1:17" x14ac:dyDescent="0.25">
      <c r="A17" s="22">
        <v>11</v>
      </c>
      <c r="B17" s="18">
        <f>'[5]input data'!Z366</f>
        <v>989.2</v>
      </c>
      <c r="C17" s="18">
        <f>'[5]input data'!Z367</f>
        <v>989.5</v>
      </c>
      <c r="D17" s="18">
        <f>'[5]input data'!Z368</f>
        <v>989.5</v>
      </c>
      <c r="E17" s="18">
        <f>'[5]input data'!Z369</f>
        <v>989.1</v>
      </c>
      <c r="F17" s="18">
        <f>'[5]input data'!Z370</f>
        <v>987.9</v>
      </c>
      <c r="G17" s="18">
        <f>'[5]input data'!Z371</f>
        <v>986.5</v>
      </c>
      <c r="H17" s="18">
        <f>'[5]input data'!Z372</f>
        <v>985.9</v>
      </c>
      <c r="I17" s="18">
        <f>'[5]input data'!Z373</f>
        <v>984.99</v>
      </c>
      <c r="J17" s="18">
        <f>'[5]input data'!Z374</f>
        <v>984.56</v>
      </c>
      <c r="K17" s="18">
        <f>'[5]input data'!Z375</f>
        <v>984.88</v>
      </c>
      <c r="L17" s="18">
        <f>'[5]input data'!Z376</f>
        <v>985.31</v>
      </c>
      <c r="M17" s="18">
        <f>'[5]input data'!Z377</f>
        <v>985.95</v>
      </c>
      <c r="N17" s="18">
        <f>'[5]input data'!Z378</f>
        <v>986.87</v>
      </c>
      <c r="O17" s="19">
        <f t="shared" si="0"/>
        <v>989.5</v>
      </c>
      <c r="P17" s="20">
        <f t="shared" si="1"/>
        <v>984.56</v>
      </c>
      <c r="Q17" s="21">
        <f t="shared" si="2"/>
        <v>986.93538461538458</v>
      </c>
    </row>
    <row r="18" spans="1:17" x14ac:dyDescent="0.25">
      <c r="A18" s="22">
        <v>12</v>
      </c>
      <c r="B18" s="18">
        <f>'[5]input data'!Z402</f>
        <v>990.1</v>
      </c>
      <c r="C18" s="18">
        <f>'[5]input data'!Z403</f>
        <v>990.2</v>
      </c>
      <c r="D18" s="18">
        <f>'[5]input data'!Z404</f>
        <v>990</v>
      </c>
      <c r="E18" s="18">
        <f>'[5]input data'!Z405</f>
        <v>989.5</v>
      </c>
      <c r="F18" s="18">
        <f>'[5]input data'!Z406</f>
        <v>988.8</v>
      </c>
      <c r="G18" s="18">
        <f>'[5]input data'!Z407</f>
        <v>988.11</v>
      </c>
      <c r="H18" s="18">
        <f>'[5]input data'!Z408</f>
        <v>986.9</v>
      </c>
      <c r="I18" s="18">
        <f>'[5]input data'!Z409</f>
        <v>985.91</v>
      </c>
      <c r="J18" s="18">
        <f>'[5]input data'!Z410</f>
        <v>985.79</v>
      </c>
      <c r="K18" s="18">
        <f>'[5]input data'!Z411</f>
        <v>985.76</v>
      </c>
      <c r="L18" s="18">
        <f>'[5]input data'!Z412</f>
        <v>986.5</v>
      </c>
      <c r="M18" s="18">
        <f>'[5]input data'!Z413</f>
        <v>987.83</v>
      </c>
      <c r="N18" s="18">
        <f>'[5]input data'!Z414</f>
        <v>988.58</v>
      </c>
      <c r="O18" s="19">
        <f t="shared" si="0"/>
        <v>990.2</v>
      </c>
      <c r="P18" s="20">
        <f t="shared" si="1"/>
        <v>985.76</v>
      </c>
      <c r="Q18" s="21">
        <f t="shared" si="2"/>
        <v>987.99846153846147</v>
      </c>
    </row>
    <row r="19" spans="1:17" x14ac:dyDescent="0.25">
      <c r="A19" s="22">
        <v>13</v>
      </c>
      <c r="B19" s="18">
        <f>'[5]input data'!Z438</f>
        <v>990.14</v>
      </c>
      <c r="C19" s="18">
        <f>'[5]input data'!Z439</f>
        <v>990.57</v>
      </c>
      <c r="D19" s="18">
        <f>'[5]input data'!Z440</f>
        <v>990.69</v>
      </c>
      <c r="E19" s="18">
        <f>'[5]input data'!Z441</f>
        <v>990.45</v>
      </c>
      <c r="F19" s="18">
        <f>'[5]input data'!Z442</f>
        <v>989.11</v>
      </c>
      <c r="G19" s="18">
        <f>'[5]input data'!Z443</f>
        <v>988.2</v>
      </c>
      <c r="H19" s="18">
        <f>'[5]input data'!Z444</f>
        <v>987.56</v>
      </c>
      <c r="I19" s="18">
        <f>'[5]input data'!Z445</f>
        <v>986.6</v>
      </c>
      <c r="J19" s="18">
        <f>'[5]input data'!Z446</f>
        <v>986.1</v>
      </c>
      <c r="K19" s="18">
        <f>'[5]input data'!Z447</f>
        <v>986.9</v>
      </c>
      <c r="L19" s="18">
        <f>'[5]input data'!Z448</f>
        <v>988.1</v>
      </c>
      <c r="M19" s="18">
        <f>'[5]input data'!Z449</f>
        <v>989.1</v>
      </c>
      <c r="N19" s="18">
        <f>'[5]input data'!Z450</f>
        <v>989.5</v>
      </c>
      <c r="O19" s="19">
        <f t="shared" si="0"/>
        <v>990.69</v>
      </c>
      <c r="P19" s="20">
        <f t="shared" si="1"/>
        <v>986.1</v>
      </c>
      <c r="Q19" s="21">
        <f t="shared" si="2"/>
        <v>988.69384615384615</v>
      </c>
    </row>
    <row r="20" spans="1:17" x14ac:dyDescent="0.25">
      <c r="A20" s="22">
        <v>14</v>
      </c>
      <c r="B20" s="18">
        <f>'[5]input data'!Z474</f>
        <v>990.95</v>
      </c>
      <c r="C20" s="18">
        <f>'[5]input data'!Z475</f>
        <v>991.54</v>
      </c>
      <c r="D20" s="18">
        <f>'[5]input data'!Z476</f>
        <v>991.41</v>
      </c>
      <c r="E20" s="18">
        <f>'[5]input data'!Z477</f>
        <v>991.35</v>
      </c>
      <c r="F20" s="18">
        <f>'[5]input data'!Z478</f>
        <v>990.66</v>
      </c>
      <c r="G20" s="18">
        <f>'[5]input data'!Z479</f>
        <v>990.04</v>
      </c>
      <c r="H20" s="18">
        <f>'[5]input data'!Z480</f>
        <v>990.04</v>
      </c>
      <c r="I20" s="18">
        <f>'[5]input data'!Z481</f>
        <v>988.6</v>
      </c>
      <c r="J20" s="18">
        <f>'[5]input data'!Z482</f>
        <v>988.1</v>
      </c>
      <c r="K20" s="18">
        <f>'[5]input data'!Z483</f>
        <v>988.7</v>
      </c>
      <c r="L20" s="18">
        <f>'[5]input data'!Z484</f>
        <v>989.4</v>
      </c>
      <c r="M20" s="18">
        <f>'[5]input data'!Z485</f>
        <v>989.8</v>
      </c>
      <c r="N20" s="18">
        <f>'[5]input data'!Z486</f>
        <v>991.7</v>
      </c>
      <c r="O20" s="19">
        <f t="shared" si="0"/>
        <v>991.7</v>
      </c>
      <c r="P20" s="20">
        <f t="shared" si="1"/>
        <v>988.1</v>
      </c>
      <c r="Q20" s="21">
        <f t="shared" si="2"/>
        <v>990.17615384615397</v>
      </c>
    </row>
    <row r="21" spans="1:17" x14ac:dyDescent="0.25">
      <c r="A21" s="22">
        <v>15</v>
      </c>
      <c r="B21" s="18">
        <f>'[5]input data'!Z510</f>
        <v>991.65</v>
      </c>
      <c r="C21" s="18">
        <f>'[5]input data'!Z511</f>
        <v>992.24</v>
      </c>
      <c r="D21" s="18">
        <f>'[5]input data'!Z512</f>
        <v>992.39</v>
      </c>
      <c r="E21" s="18">
        <f>'[5]input data'!Z513</f>
        <v>992.14</v>
      </c>
      <c r="F21" s="18">
        <f>'[5]input data'!Z514</f>
        <v>991.49</v>
      </c>
      <c r="G21" s="18">
        <f>'[5]input data'!Z515</f>
        <v>990.34</v>
      </c>
      <c r="H21" s="18">
        <f>'[5]input data'!Z516</f>
        <v>989.33</v>
      </c>
      <c r="I21" s="18">
        <f>'[5]input data'!Z517</f>
        <v>988.3</v>
      </c>
      <c r="J21" s="18">
        <f>'[5]input data'!Z518</f>
        <v>988.1</v>
      </c>
      <c r="K21" s="18">
        <f>'[5]input data'!Z519</f>
        <v>988.1</v>
      </c>
      <c r="L21" s="18">
        <f>'[5]input data'!Z520</f>
        <v>988.2</v>
      </c>
      <c r="M21" s="18">
        <f>'[5]input data'!Z521</f>
        <v>989.2</v>
      </c>
      <c r="N21" s="18">
        <f>'[5]input data'!Z522</f>
        <v>990.3</v>
      </c>
      <c r="O21" s="19">
        <f t="shared" si="0"/>
        <v>992.39</v>
      </c>
      <c r="P21" s="20">
        <f t="shared" si="1"/>
        <v>988.1</v>
      </c>
      <c r="Q21" s="21">
        <f t="shared" si="2"/>
        <v>990.13692307692315</v>
      </c>
    </row>
    <row r="22" spans="1:17" x14ac:dyDescent="0.25">
      <c r="A22" s="22">
        <v>16</v>
      </c>
      <c r="B22" s="18">
        <f>'[5]input data'!Z546</f>
        <v>991.4</v>
      </c>
      <c r="C22" s="18">
        <f>'[5]input data'!Z547</f>
        <v>992.2</v>
      </c>
      <c r="D22" s="18">
        <f>'[5]input data'!Z548</f>
        <v>992</v>
      </c>
      <c r="E22" s="18">
        <f>'[5]input data'!Z549</f>
        <v>991.5</v>
      </c>
      <c r="F22" s="18">
        <f>'[5]input data'!Z550</f>
        <v>990.6</v>
      </c>
      <c r="G22" s="18">
        <f>'[5]input data'!Z551</f>
        <v>989.6</v>
      </c>
      <c r="H22" s="18">
        <f>'[5]input data'!Z552</f>
        <v>988.9</v>
      </c>
      <c r="I22" s="18">
        <f>'[5]input data'!Z553</f>
        <v>988.5</v>
      </c>
      <c r="J22" s="18">
        <f>'[5]input data'!Z554</f>
        <v>988.2</v>
      </c>
      <c r="K22" s="18">
        <f>'[5]input data'!Z555</f>
        <v>987.9</v>
      </c>
      <c r="L22" s="18">
        <f>'[5]input data'!Z556</f>
        <v>988.6</v>
      </c>
      <c r="M22" s="18">
        <f>'[5]input data'!Z557</f>
        <v>989.3</v>
      </c>
      <c r="N22" s="18">
        <f>'[5]input data'!Z558</f>
        <v>989.9</v>
      </c>
      <c r="O22" s="19">
        <f t="shared" si="0"/>
        <v>992.2</v>
      </c>
      <c r="P22" s="20">
        <f t="shared" si="1"/>
        <v>987.9</v>
      </c>
      <c r="Q22" s="21">
        <f t="shared" si="2"/>
        <v>989.89230769230755</v>
      </c>
    </row>
    <row r="23" spans="1:17" x14ac:dyDescent="0.25">
      <c r="A23" s="22">
        <v>17</v>
      </c>
      <c r="B23" s="18">
        <f>'[5]input data'!Z582</f>
        <v>991.1</v>
      </c>
      <c r="C23" s="18">
        <f>'[5]input data'!Z583</f>
        <v>991.5</v>
      </c>
      <c r="D23" s="18">
        <f>'[5]input data'!Z584</f>
        <v>992</v>
      </c>
      <c r="E23" s="18">
        <f>'[5]input data'!Z585</f>
        <v>991.8</v>
      </c>
      <c r="F23" s="18">
        <f>'[5]input data'!Z586</f>
        <v>991.1</v>
      </c>
      <c r="G23" s="18">
        <f>'[5]input data'!Z587</f>
        <v>990.2</v>
      </c>
      <c r="H23" s="18">
        <f>'[5]input data'!Z588</f>
        <v>989.6</v>
      </c>
      <c r="I23" s="18">
        <f>'[5]input data'!Z589</f>
        <v>988.6</v>
      </c>
      <c r="J23" s="18">
        <f>'[5]input data'!Z590</f>
        <v>988.3</v>
      </c>
      <c r="K23" s="18">
        <f>'[5]input data'!Z591</f>
        <v>988.5</v>
      </c>
      <c r="L23" s="18">
        <f>'[5]input data'!Z592</f>
        <v>989.4</v>
      </c>
      <c r="M23" s="18">
        <f>'[5]input data'!Z593</f>
        <v>990.2</v>
      </c>
      <c r="N23" s="18">
        <f>'[5]input data'!Z594</f>
        <v>990.6</v>
      </c>
      <c r="O23" s="19">
        <f t="shared" si="0"/>
        <v>992</v>
      </c>
      <c r="P23" s="20">
        <f t="shared" si="1"/>
        <v>988.3</v>
      </c>
      <c r="Q23" s="21">
        <f t="shared" si="2"/>
        <v>990.22307692307709</v>
      </c>
    </row>
    <row r="24" spans="1:17" x14ac:dyDescent="0.25">
      <c r="A24" s="22">
        <v>18</v>
      </c>
      <c r="B24" s="18">
        <f>'[5]input data'!Z618</f>
        <v>991.6</v>
      </c>
      <c r="C24" s="18">
        <f>'[5]input data'!Z619</f>
        <v>992</v>
      </c>
      <c r="D24" s="18">
        <f>'[5]input data'!Z620</f>
        <v>992.1</v>
      </c>
      <c r="E24" s="18">
        <f>'[5]input data'!Z621</f>
        <v>992.1</v>
      </c>
      <c r="F24" s="18">
        <f>'[5]input data'!Z622</f>
        <v>991</v>
      </c>
      <c r="G24" s="18">
        <f>'[5]input data'!Z623</f>
        <v>990.2</v>
      </c>
      <c r="H24" s="18">
        <f>'[5]input data'!Z624</f>
        <v>989.4</v>
      </c>
      <c r="I24" s="18">
        <f>'[5]input data'!Z625</f>
        <v>988.5</v>
      </c>
      <c r="J24" s="18">
        <f>'[5]input data'!Z626</f>
        <v>988.5</v>
      </c>
      <c r="K24" s="18">
        <f>'[5]input data'!Z627</f>
        <v>988.9</v>
      </c>
      <c r="L24" s="18">
        <f>'[5]input data'!Z628</f>
        <v>989.7</v>
      </c>
      <c r="M24" s="18">
        <f>'[5]input data'!Z629</f>
        <v>990.4</v>
      </c>
      <c r="N24" s="18">
        <f>'[5]input data'!Z630</f>
        <v>991.4</v>
      </c>
      <c r="O24" s="19">
        <f t="shared" si="0"/>
        <v>992.1</v>
      </c>
      <c r="P24" s="20">
        <f t="shared" si="1"/>
        <v>988.5</v>
      </c>
      <c r="Q24" s="21">
        <f t="shared" si="2"/>
        <v>990.44615384615361</v>
      </c>
    </row>
    <row r="25" spans="1:17" x14ac:dyDescent="0.25">
      <c r="A25" s="22">
        <v>19</v>
      </c>
      <c r="B25" s="18">
        <f>'[5]input data'!Z654</f>
        <v>991.69</v>
      </c>
      <c r="C25" s="18">
        <f>'[5]input data'!Z655</f>
        <v>992.01</v>
      </c>
      <c r="D25" s="18">
        <f>'[5]input data'!Z656</f>
        <v>992.51</v>
      </c>
      <c r="E25" s="18">
        <f>'[5]input data'!Z657</f>
        <v>992.08</v>
      </c>
      <c r="F25" s="18">
        <f>'[5]input data'!Z658</f>
        <v>990.85</v>
      </c>
      <c r="G25" s="18">
        <f>'[5]input data'!Z659</f>
        <v>989.91</v>
      </c>
      <c r="H25" s="18">
        <f>'[5]input data'!Z660</f>
        <v>989.15</v>
      </c>
      <c r="I25" s="18">
        <f>'[5]input data'!Z661</f>
        <v>988.72</v>
      </c>
      <c r="J25" s="18">
        <f>'[5]input data'!Z662</f>
        <v>988.1</v>
      </c>
      <c r="K25" s="18">
        <f>'[5]input data'!Z663</f>
        <v>988.46</v>
      </c>
      <c r="L25" s="18">
        <f>'[5]input data'!Z664</f>
        <v>990.43</v>
      </c>
      <c r="M25" s="18">
        <f>'[5]input data'!Z665</f>
        <v>991.66</v>
      </c>
      <c r="N25" s="18">
        <f>'[5]input data'!Z666</f>
        <v>992.38</v>
      </c>
      <c r="O25" s="19">
        <f t="shared" si="0"/>
        <v>992.51</v>
      </c>
      <c r="P25" s="20">
        <f t="shared" si="1"/>
        <v>988.1</v>
      </c>
      <c r="Q25" s="21">
        <f t="shared" si="2"/>
        <v>990.61153846153843</v>
      </c>
    </row>
    <row r="26" spans="1:17" x14ac:dyDescent="0.25">
      <c r="A26" s="22">
        <v>20</v>
      </c>
      <c r="B26" s="18">
        <f>'[5]input data'!Z690</f>
        <v>991.8</v>
      </c>
      <c r="C26" s="18">
        <f>'[5]input data'!Z691</f>
        <v>991.8</v>
      </c>
      <c r="D26" s="18">
        <f>'[5]input data'!Z692</f>
        <v>992</v>
      </c>
      <c r="E26" s="18">
        <f>'[5]input data'!Z693</f>
        <v>991.5</v>
      </c>
      <c r="F26" s="18">
        <f>'[5]input data'!Z694</f>
        <v>990.6</v>
      </c>
      <c r="G26" s="18">
        <f>'[5]input data'!Z695</f>
        <v>989.6</v>
      </c>
      <c r="H26" s="18">
        <f>'[5]input data'!Z696</f>
        <v>988.4</v>
      </c>
      <c r="I26" s="18">
        <f>'[5]input data'!Z697</f>
        <v>987.7</v>
      </c>
      <c r="J26" s="18">
        <f>'[5]input data'!Z698</f>
        <v>987.3</v>
      </c>
      <c r="K26" s="18">
        <f>'[5]input data'!Z699</f>
        <v>988.5</v>
      </c>
      <c r="L26" s="18">
        <f>'[5]input data'!Z700</f>
        <v>988.9</v>
      </c>
      <c r="M26" s="18">
        <f>'[5]input data'!Z701</f>
        <v>989.9</v>
      </c>
      <c r="N26" s="18">
        <f>'[5]input data'!Z702</f>
        <v>990.9</v>
      </c>
      <c r="O26" s="19">
        <f t="shared" si="0"/>
        <v>992</v>
      </c>
      <c r="P26" s="20">
        <f t="shared" si="1"/>
        <v>987.3</v>
      </c>
      <c r="Q26" s="21">
        <f t="shared" si="2"/>
        <v>989.91538461538448</v>
      </c>
    </row>
    <row r="27" spans="1:17" x14ac:dyDescent="0.25">
      <c r="A27" s="22">
        <v>21</v>
      </c>
      <c r="B27" s="18">
        <f>'[5]input data'!Z726</f>
        <v>992.3</v>
      </c>
      <c r="C27" s="18">
        <f>'[5]input data'!Z727</f>
        <v>990.9</v>
      </c>
      <c r="D27" s="18">
        <f>'[5]input data'!Z728</f>
        <v>991</v>
      </c>
      <c r="E27" s="18">
        <f>'[5]input data'!Z729</f>
        <v>990.3</v>
      </c>
      <c r="F27" s="18">
        <f>'[5]input data'!Z730</f>
        <v>989.1</v>
      </c>
      <c r="G27" s="18">
        <f>'[5]input data'!Z731</f>
        <v>988.3</v>
      </c>
      <c r="H27" s="18">
        <f>'[5]input data'!Z732</f>
        <v>987.5</v>
      </c>
      <c r="I27" s="18">
        <f>'[5]input data'!Z733</f>
        <v>987.1</v>
      </c>
      <c r="J27" s="18">
        <f>'[5]input data'!Z734</f>
        <v>986.8</v>
      </c>
      <c r="K27" s="18">
        <f>'[5]input data'!Z735</f>
        <v>986.8</v>
      </c>
      <c r="L27" s="18">
        <f>'[5]input data'!Z736</f>
        <v>987.8</v>
      </c>
      <c r="M27" s="18">
        <f>'[5]input data'!Z737</f>
        <v>988.6</v>
      </c>
      <c r="N27" s="18">
        <f>'[5]input data'!Z738</f>
        <v>989.6</v>
      </c>
      <c r="O27" s="19">
        <f t="shared" si="0"/>
        <v>992.3</v>
      </c>
      <c r="P27" s="20">
        <f t="shared" si="1"/>
        <v>986.8</v>
      </c>
      <c r="Q27" s="21">
        <f t="shared" si="2"/>
        <v>988.93076923076922</v>
      </c>
    </row>
    <row r="28" spans="1:17" x14ac:dyDescent="0.25">
      <c r="A28" s="22">
        <v>22</v>
      </c>
      <c r="B28" s="18">
        <f>'[5]input data'!Z762</f>
        <v>989.6</v>
      </c>
      <c r="C28" s="18">
        <f>'[5]input data'!Z762</f>
        <v>989.6</v>
      </c>
      <c r="D28" s="18">
        <f>'[5]input data'!Z764</f>
        <v>989.8</v>
      </c>
      <c r="E28" s="18">
        <f>'[5]input data'!Z765</f>
        <v>989.2</v>
      </c>
      <c r="F28" s="18">
        <f>'[5]input data'!Z766</f>
        <v>988.3</v>
      </c>
      <c r="G28" s="18">
        <f>'[5]input data'!Z767</f>
        <v>987.3</v>
      </c>
      <c r="H28" s="18">
        <f>'[5]input data'!Z768</f>
        <v>986.2</v>
      </c>
      <c r="I28" s="18">
        <f>'[5]input data'!Z769</f>
        <v>986.2</v>
      </c>
      <c r="J28" s="18">
        <f>'[5]input data'!Z770</f>
        <v>986.1</v>
      </c>
      <c r="K28" s="18">
        <f>'[5]input data'!Z771</f>
        <v>986.1</v>
      </c>
      <c r="L28" s="18">
        <f>'[5]input data'!Z772</f>
        <v>986.7</v>
      </c>
      <c r="M28" s="18">
        <f>'[5]input data'!Z773</f>
        <v>987.4</v>
      </c>
      <c r="N28" s="18">
        <f>'[5]input data'!Z774</f>
        <v>988.3</v>
      </c>
      <c r="O28" s="19">
        <f t="shared" si="0"/>
        <v>989.8</v>
      </c>
      <c r="P28" s="20">
        <f t="shared" si="1"/>
        <v>986.1</v>
      </c>
      <c r="Q28" s="21">
        <f t="shared" si="2"/>
        <v>987.7538461538461</v>
      </c>
    </row>
    <row r="29" spans="1:17" x14ac:dyDescent="0.25">
      <c r="A29" s="22">
        <v>23</v>
      </c>
      <c r="B29" s="18">
        <f>'[5]input data'!Z798</f>
        <v>989.6</v>
      </c>
      <c r="C29" s="18">
        <f>'[5]input data'!Z799</f>
        <v>989.4</v>
      </c>
      <c r="D29" s="18">
        <f>'[5]input data'!Z800</f>
        <v>989.2</v>
      </c>
      <c r="E29" s="18">
        <f>'[5]input data'!Z801</f>
        <v>988.6</v>
      </c>
      <c r="F29" s="18">
        <f>'[5]input data'!Z802</f>
        <v>987.8</v>
      </c>
      <c r="G29" s="18">
        <f>'[5]input data'!Z803</f>
        <v>987.2</v>
      </c>
      <c r="H29" s="18">
        <f>'[5]input data'!Z804</f>
        <v>987.1</v>
      </c>
      <c r="I29" s="18">
        <f>'[5]input data'!Z805</f>
        <v>986.8</v>
      </c>
      <c r="J29" s="18">
        <f>'[5]input data'!Z806</f>
        <v>986.9</v>
      </c>
      <c r="K29" s="18">
        <f>'[5]input data'!Z807</f>
        <v>987.3</v>
      </c>
      <c r="L29" s="18">
        <f>'[5]input data'!Z808</f>
        <v>988</v>
      </c>
      <c r="M29" s="18">
        <f>'[5]input data'!Z809</f>
        <v>988.6</v>
      </c>
      <c r="N29" s="18">
        <f>'[5]input data'!Z810</f>
        <v>988.9</v>
      </c>
      <c r="O29" s="19">
        <f t="shared" si="0"/>
        <v>989.6</v>
      </c>
      <c r="P29" s="20">
        <f t="shared" si="1"/>
        <v>986.8</v>
      </c>
      <c r="Q29" s="21">
        <f t="shared" si="2"/>
        <v>988.10769230769233</v>
      </c>
    </row>
    <row r="30" spans="1:17" x14ac:dyDescent="0.25">
      <c r="A30" s="22">
        <v>24</v>
      </c>
      <c r="B30" s="18">
        <f>'[5]input data'!Z834</f>
        <v>990.1</v>
      </c>
      <c r="C30" s="18">
        <f>'[5]input data'!Z835</f>
        <v>990.7</v>
      </c>
      <c r="D30" s="18">
        <f>'[5]input data'!Z836</f>
        <v>990.6</v>
      </c>
      <c r="E30" s="18">
        <f>'[5]input data'!Z837</f>
        <v>990.3</v>
      </c>
      <c r="F30" s="18">
        <f>'[5]input data'!Z838</f>
        <v>989.9</v>
      </c>
      <c r="G30" s="18">
        <f>'[5]input data'!Z839</f>
        <v>989.4</v>
      </c>
      <c r="H30" s="18">
        <f>'[5]input data'!Z840</f>
        <v>988.6</v>
      </c>
      <c r="I30" s="18">
        <f>'[5]input data'!Z841</f>
        <v>987.7</v>
      </c>
      <c r="J30" s="18">
        <f>'[5]input data'!Z842</f>
        <v>988</v>
      </c>
      <c r="K30" s="18">
        <f>'[5]input data'!Z843</f>
        <v>988.8</v>
      </c>
      <c r="L30" s="18">
        <f>'[5]input data'!Z844</f>
        <v>989.3</v>
      </c>
      <c r="M30" s="18">
        <f>'[5]input data'!Z845</f>
        <v>989.9</v>
      </c>
      <c r="N30" s="18">
        <f>'[5]input data'!Z846</f>
        <v>990.4</v>
      </c>
      <c r="O30" s="19">
        <f t="shared" si="0"/>
        <v>990.7</v>
      </c>
      <c r="P30" s="20">
        <f t="shared" si="1"/>
        <v>987.7</v>
      </c>
      <c r="Q30" s="21">
        <f t="shared" si="2"/>
        <v>989.51538461538439</v>
      </c>
    </row>
    <row r="31" spans="1:17" x14ac:dyDescent="0.25">
      <c r="A31" s="22">
        <v>25</v>
      </c>
      <c r="B31" s="18">
        <f>'[5]input data'!Z870</f>
        <v>991.8</v>
      </c>
      <c r="C31" s="18">
        <f>'[5]input data'!Z871</f>
        <v>992.1</v>
      </c>
      <c r="D31" s="18">
        <f>'[5]input data'!Z872</f>
        <v>992.1</v>
      </c>
      <c r="E31" s="18">
        <f>'[5]input data'!Z873</f>
        <v>991.7</v>
      </c>
      <c r="F31" s="18">
        <f>'[5]input data'!Z874</f>
        <v>990.99</v>
      </c>
      <c r="G31" s="18">
        <f>'[5]input data'!Z875</f>
        <v>989.45</v>
      </c>
      <c r="H31" s="18">
        <f>'[5]input data'!Z876</f>
        <v>988.1</v>
      </c>
      <c r="I31" s="18">
        <f>'[5]input data'!Z877</f>
        <v>987.2</v>
      </c>
      <c r="J31" s="18">
        <f>'[5]input data'!Z878</f>
        <v>987.4</v>
      </c>
      <c r="K31" s="18">
        <f>'[5]input data'!Z879</f>
        <v>988</v>
      </c>
      <c r="L31" s="18">
        <f>'[5]input data'!Z880</f>
        <v>988.7</v>
      </c>
      <c r="M31" s="18">
        <f>'[5]input data'!Z881</f>
        <v>989.7</v>
      </c>
      <c r="N31" s="18">
        <f>'[5]input data'!Z882</f>
        <v>989.8</v>
      </c>
      <c r="O31" s="19">
        <f t="shared" si="0"/>
        <v>992.1</v>
      </c>
      <c r="P31" s="20">
        <f t="shared" si="1"/>
        <v>987.2</v>
      </c>
      <c r="Q31" s="21">
        <f t="shared" si="2"/>
        <v>989.77230769230778</v>
      </c>
    </row>
    <row r="32" spans="1:17" x14ac:dyDescent="0.25">
      <c r="A32" s="22">
        <v>26</v>
      </c>
      <c r="B32" s="18">
        <f>'[5]input data'!Z906</f>
        <v>990.99</v>
      </c>
      <c r="C32" s="18">
        <f>'[5]input data'!Z907</f>
        <v>991.83</v>
      </c>
      <c r="D32" s="18">
        <f>'[5]input data'!Z908</f>
        <v>992.11</v>
      </c>
      <c r="E32" s="18">
        <f>'[5]input data'!Z909</f>
        <v>991.8</v>
      </c>
      <c r="F32" s="18">
        <f>'[5]input data'!Z910</f>
        <v>991.16</v>
      </c>
      <c r="G32" s="18">
        <f>'[5]input data'!Z911</f>
        <v>990.55</v>
      </c>
      <c r="H32" s="18">
        <f>'[5]input data'!Z912</f>
        <v>989.85</v>
      </c>
      <c r="I32" s="18">
        <f>'[5]input data'!Z913</f>
        <v>989.6</v>
      </c>
      <c r="J32" s="18">
        <f>'[5]input data'!Z914</f>
        <v>990.1</v>
      </c>
      <c r="K32" s="18">
        <f>'[5]input data'!Z915</f>
        <v>990.5</v>
      </c>
      <c r="L32" s="18">
        <f>'[5]input data'!Z916</f>
        <v>990.9</v>
      </c>
      <c r="M32" s="18">
        <f>'[5]input data'!Z917</f>
        <v>991.4</v>
      </c>
      <c r="N32" s="18">
        <f>'[5]input data'!Z918</f>
        <v>991</v>
      </c>
      <c r="O32" s="19">
        <f t="shared" si="0"/>
        <v>992.11</v>
      </c>
      <c r="P32" s="20">
        <f t="shared" si="1"/>
        <v>989.6</v>
      </c>
      <c r="Q32" s="21">
        <f t="shared" si="2"/>
        <v>990.90692307692314</v>
      </c>
    </row>
    <row r="33" spans="1:17" x14ac:dyDescent="0.25">
      <c r="A33" s="22">
        <v>27</v>
      </c>
      <c r="B33" s="18">
        <f>'[5]input data'!Z942</f>
        <v>990.36</v>
      </c>
      <c r="C33" s="18">
        <f>'[5]input data'!Z943</f>
        <v>991.04</v>
      </c>
      <c r="D33" s="18">
        <f>'[5]input data'!Z944</f>
        <v>991.13</v>
      </c>
      <c r="E33" s="18">
        <f>'[5]input data'!Z945</f>
        <v>990.98</v>
      </c>
      <c r="F33" s="18">
        <f>'[5]input data'!Z946</f>
        <v>990.51</v>
      </c>
      <c r="G33" s="18">
        <f>'[5]input data'!Z947</f>
        <v>983.2</v>
      </c>
      <c r="H33" s="18">
        <f>'[5]input data'!Z948</f>
        <v>988.38</v>
      </c>
      <c r="I33" s="18">
        <f>'[5]input data'!Z949</f>
        <v>988</v>
      </c>
      <c r="J33" s="18">
        <f>'[5]input data'!Z950</f>
        <v>987.6</v>
      </c>
      <c r="K33" s="18">
        <f>'[5]input data'!Z951</f>
        <v>987.8</v>
      </c>
      <c r="L33" s="18">
        <f>'[5]input data'!Z952</f>
        <v>988.7</v>
      </c>
      <c r="M33" s="18">
        <f>'[5]input data'!Z953</f>
        <v>989.6</v>
      </c>
      <c r="N33" s="18">
        <f>'[5]input data'!Z954</f>
        <v>990.5</v>
      </c>
      <c r="O33" s="19">
        <f t="shared" si="0"/>
        <v>991.13</v>
      </c>
      <c r="P33" s="20">
        <f t="shared" si="1"/>
        <v>983.2</v>
      </c>
      <c r="Q33" s="21">
        <f t="shared" si="2"/>
        <v>989.06153846153859</v>
      </c>
    </row>
    <row r="34" spans="1:17" x14ac:dyDescent="0.25">
      <c r="A34" s="22">
        <v>28</v>
      </c>
      <c r="B34" s="18">
        <f>'[5]input data'!Z978</f>
        <v>989.4</v>
      </c>
      <c r="C34" s="18">
        <f>'[5]input data'!Z979</f>
        <v>989.5</v>
      </c>
      <c r="D34" s="18">
        <f>'[5]input data'!Z980</f>
        <v>989.7</v>
      </c>
      <c r="E34" s="18">
        <f>'[5]input data'!Z981</f>
        <v>989.3</v>
      </c>
      <c r="F34" s="18">
        <f>'[5]input data'!Z982</f>
        <v>988.7</v>
      </c>
      <c r="G34" s="18">
        <f>'[5]input data'!Z983</f>
        <v>987.5</v>
      </c>
      <c r="H34" s="18">
        <f>'[5]input data'!Z984</f>
        <v>986.7</v>
      </c>
      <c r="I34" s="18">
        <f>'[5]input data'!Z985</f>
        <v>986.2</v>
      </c>
      <c r="J34" s="18">
        <f>'[5]input data'!Z986</f>
        <v>985.5</v>
      </c>
      <c r="K34" s="18">
        <f>'[5]input data'!Z987</f>
        <v>985.7</v>
      </c>
      <c r="L34" s="18">
        <f>'[5]input data'!Z988</f>
        <v>986.3</v>
      </c>
      <c r="M34" s="18">
        <f>'[5]input data'!Z989</f>
        <v>987</v>
      </c>
      <c r="N34" s="18">
        <f>'[5]input data'!Z990</f>
        <v>988.9</v>
      </c>
      <c r="O34" s="19">
        <f t="shared" si="0"/>
        <v>989.7</v>
      </c>
      <c r="P34" s="20">
        <f t="shared" si="1"/>
        <v>985.5</v>
      </c>
      <c r="Q34" s="21">
        <f t="shared" si="2"/>
        <v>987.72307692307686</v>
      </c>
    </row>
    <row r="35" spans="1:17" x14ac:dyDescent="0.25">
      <c r="A35" s="22">
        <v>29</v>
      </c>
      <c r="B35" s="18">
        <f>'[5]input data'!Z1014</f>
        <v>989.9</v>
      </c>
      <c r="C35" s="18">
        <f>'[5]input data'!Z1015</f>
        <v>990</v>
      </c>
      <c r="D35" s="18">
        <f>'[5]input data'!Z1016</f>
        <v>990</v>
      </c>
      <c r="E35" s="18">
        <f>'[5]input data'!Z1017</f>
        <v>989.7</v>
      </c>
      <c r="F35" s="18">
        <f>'[5]input data'!Z1018</f>
        <v>989.3</v>
      </c>
      <c r="G35" s="18">
        <f>'[5]input data'!Z1019</f>
        <v>988.5</v>
      </c>
      <c r="H35" s="18">
        <f>'[5]input data'!Z1020</f>
        <v>986.7</v>
      </c>
      <c r="I35" s="18">
        <f>'[5]input data'!Z1021</f>
        <v>986</v>
      </c>
      <c r="J35" s="18">
        <f>'[5]input data'!Z1022</f>
        <v>986.3</v>
      </c>
      <c r="K35" s="18">
        <f>'[5]input data'!Z1023</f>
        <v>987.2</v>
      </c>
      <c r="L35" s="18">
        <f>'[5]input data'!Z1024</f>
        <v>987.8</v>
      </c>
      <c r="M35" s="18">
        <f>'[5]input data'!Z1025</f>
        <v>988.3</v>
      </c>
      <c r="N35" s="18">
        <f>'[5]input data'!Z1026</f>
        <v>988.7</v>
      </c>
      <c r="O35" s="19">
        <f t="shared" si="0"/>
        <v>990</v>
      </c>
      <c r="P35" s="20">
        <f t="shared" si="1"/>
        <v>986</v>
      </c>
      <c r="Q35" s="21">
        <f t="shared" si="2"/>
        <v>988.3384615384615</v>
      </c>
    </row>
    <row r="36" spans="1:17" x14ac:dyDescent="0.25">
      <c r="A36" s="22">
        <v>30</v>
      </c>
      <c r="B36" s="18">
        <f>'[5]input data'!Z1050</f>
        <v>989.2</v>
      </c>
      <c r="C36" s="18">
        <f>'[5]input data'!Z1051</f>
        <v>989</v>
      </c>
      <c r="D36" s="18">
        <f>'[5]input data'!Z1052</f>
        <v>989.2</v>
      </c>
      <c r="E36" s="18">
        <f>'[5]input data'!Z1053</f>
        <v>988.8</v>
      </c>
      <c r="F36" s="18">
        <f>'[5]input data'!Z1054</f>
        <v>987.9</v>
      </c>
      <c r="G36" s="18">
        <f>'[5]input data'!Z1055</f>
        <v>986.8</v>
      </c>
      <c r="H36" s="18">
        <f>'[5]input data'!Z1056</f>
        <v>986</v>
      </c>
      <c r="I36" s="18">
        <f>'[5]input data'!Z1057</f>
        <v>985.16</v>
      </c>
      <c r="J36" s="18">
        <f>'[5]input data'!Z1058</f>
        <v>985.16</v>
      </c>
      <c r="K36" s="18">
        <f>'[5]input data'!Z1059</f>
        <v>985.75</v>
      </c>
      <c r="L36" s="18">
        <f>'[5]input data'!Z1060</f>
        <v>996.3</v>
      </c>
      <c r="M36" s="18">
        <f>'[5]input data'!Z1061</f>
        <v>987.34</v>
      </c>
      <c r="N36" s="18">
        <f>'[5]input data'!Z1062</f>
        <v>988.07</v>
      </c>
      <c r="O36" s="19">
        <f t="shared" si="0"/>
        <v>996.3</v>
      </c>
      <c r="P36" s="20">
        <f t="shared" si="1"/>
        <v>985.16</v>
      </c>
      <c r="Q36" s="21">
        <f t="shared" si="2"/>
        <v>988.05230769230752</v>
      </c>
    </row>
    <row r="37" spans="1:17" ht="15.75" thickBot="1" x14ac:dyDescent="0.3">
      <c r="A37" s="22">
        <v>31</v>
      </c>
      <c r="B37" s="18">
        <f>'[5]input data'!Z1086</f>
        <v>988.6</v>
      </c>
      <c r="C37" s="18">
        <f>'[5]input data'!Z1087</f>
        <v>989.3</v>
      </c>
      <c r="D37" s="18">
        <f>'[5]input data'!Z1088</f>
        <v>989.6</v>
      </c>
      <c r="E37" s="18">
        <f>'[5]input data'!Z1089</f>
        <v>989.6</v>
      </c>
      <c r="F37" s="18">
        <f>'[5]input data'!Z1090</f>
        <v>988.83</v>
      </c>
      <c r="G37" s="18">
        <f>'[5]input data'!Z1091</f>
        <v>987.7</v>
      </c>
      <c r="H37" s="18">
        <f>'[5]input data'!Z1092</f>
        <v>986.9</v>
      </c>
      <c r="I37" s="18">
        <f>'[5]input data'!Z1093</f>
        <v>986.25</v>
      </c>
      <c r="J37" s="18">
        <f>'[5]input data'!Z1094</f>
        <v>986.46</v>
      </c>
      <c r="K37" s="18">
        <f>'[5]input data'!Z1095</f>
        <v>986.56</v>
      </c>
      <c r="L37" s="18">
        <f>'[5]input data'!Z1096</f>
        <v>987.16</v>
      </c>
      <c r="M37" s="18">
        <f>'[5]input data'!Z1097</f>
        <v>988.16</v>
      </c>
      <c r="N37" s="18">
        <f>'[5]input data'!Z1098</f>
        <v>988.66</v>
      </c>
      <c r="O37" s="19">
        <f t="shared" si="0"/>
        <v>989.6</v>
      </c>
      <c r="P37" s="20">
        <f t="shared" si="1"/>
        <v>986.25</v>
      </c>
      <c r="Q37" s="21">
        <f t="shared" si="2"/>
        <v>987.98307692307685</v>
      </c>
    </row>
    <row r="38" spans="1:17" ht="15.75" thickTop="1" x14ac:dyDescent="0.25">
      <c r="A38" s="24" t="s">
        <v>23</v>
      </c>
      <c r="B38" s="25">
        <f>MAX(B7:B37)</f>
        <v>992.3</v>
      </c>
      <c r="C38" s="25">
        <f t="shared" ref="C38:N38" si="3">MAX(C7:C37)</f>
        <v>992.24</v>
      </c>
      <c r="D38" s="25">
        <f t="shared" si="3"/>
        <v>992.51</v>
      </c>
      <c r="E38" s="25">
        <f t="shared" si="3"/>
        <v>992.14</v>
      </c>
      <c r="F38" s="25">
        <f t="shared" si="3"/>
        <v>997.2</v>
      </c>
      <c r="G38" s="25">
        <f t="shared" si="3"/>
        <v>990.55</v>
      </c>
      <c r="H38" s="25">
        <f t="shared" si="3"/>
        <v>990.04</v>
      </c>
      <c r="I38" s="25">
        <f t="shared" si="3"/>
        <v>989.6</v>
      </c>
      <c r="J38" s="25">
        <f t="shared" si="3"/>
        <v>990.1</v>
      </c>
      <c r="K38" s="25">
        <f t="shared" si="3"/>
        <v>990.5</v>
      </c>
      <c r="L38" s="25">
        <f t="shared" si="3"/>
        <v>996.3</v>
      </c>
      <c r="M38" s="25">
        <f t="shared" si="3"/>
        <v>991.66</v>
      </c>
      <c r="N38" s="25">
        <f t="shared" si="3"/>
        <v>992.38</v>
      </c>
      <c r="O38" s="26">
        <f>MAX(O7:O37)</f>
        <v>997.2</v>
      </c>
      <c r="P38" s="25">
        <f>MAX(P7:P37)</f>
        <v>989.6</v>
      </c>
      <c r="Q38" s="27">
        <f>MAX(Q7:Q37)</f>
        <v>990.90692307692314</v>
      </c>
    </row>
    <row r="39" spans="1:17" x14ac:dyDescent="0.25">
      <c r="A39" s="22" t="s">
        <v>24</v>
      </c>
      <c r="B39" s="28">
        <f>MIN(B7:B37)</f>
        <v>988.32</v>
      </c>
      <c r="C39" s="28">
        <f t="shared" ref="C39:N39" si="4">MIN(C7:C37)</f>
        <v>988.4</v>
      </c>
      <c r="D39" s="28">
        <f t="shared" si="4"/>
        <v>988.6</v>
      </c>
      <c r="E39" s="28">
        <f t="shared" si="4"/>
        <v>988.2</v>
      </c>
      <c r="F39" s="28">
        <f t="shared" si="4"/>
        <v>987.62</v>
      </c>
      <c r="G39" s="28">
        <f t="shared" si="4"/>
        <v>983.2</v>
      </c>
      <c r="H39" s="28">
        <f t="shared" si="4"/>
        <v>985.8</v>
      </c>
      <c r="I39" s="28">
        <f t="shared" si="4"/>
        <v>984.8</v>
      </c>
      <c r="J39" s="28">
        <f t="shared" si="4"/>
        <v>984.4</v>
      </c>
      <c r="K39" s="28">
        <f t="shared" si="4"/>
        <v>984.88</v>
      </c>
      <c r="L39" s="28">
        <f t="shared" si="4"/>
        <v>985.31</v>
      </c>
      <c r="M39" s="28">
        <f t="shared" si="4"/>
        <v>985.95</v>
      </c>
      <c r="N39" s="28">
        <f t="shared" si="4"/>
        <v>986.87</v>
      </c>
      <c r="O39" s="29">
        <f>MIN(O7:O37)</f>
        <v>988.91</v>
      </c>
      <c r="P39" s="28">
        <f>MIN(P7:P37)</f>
        <v>983.2</v>
      </c>
      <c r="Q39" s="30">
        <f>MIN(Q7:Q37)</f>
        <v>986.93538461538458</v>
      </c>
    </row>
    <row r="40" spans="1:17" ht="15.75" thickBot="1" x14ac:dyDescent="0.3">
      <c r="A40" s="31" t="s">
        <v>25</v>
      </c>
      <c r="B40" s="32">
        <f>AVERAGE(B7:B37)</f>
        <v>990.05258064516113</v>
      </c>
      <c r="C40" s="32">
        <f t="shared" ref="C40:N40" si="5">AVERAGE(C7:C37)</f>
        <v>990.32354838709671</v>
      </c>
      <c r="D40" s="32">
        <f t="shared" si="5"/>
        <v>990.40774193548373</v>
      </c>
      <c r="E40" s="32">
        <f t="shared" si="5"/>
        <v>990.10096774193539</v>
      </c>
      <c r="F40" s="32">
        <f t="shared" si="5"/>
        <v>989.58516129032262</v>
      </c>
      <c r="G40" s="32">
        <f t="shared" si="5"/>
        <v>988.11967741935484</v>
      </c>
      <c r="H40" s="32">
        <f t="shared" si="5"/>
        <v>987.49774193548387</v>
      </c>
      <c r="I40" s="32">
        <f t="shared" si="5"/>
        <v>986.82645161290327</v>
      </c>
      <c r="J40" s="32">
        <f t="shared" si="5"/>
        <v>986.66483870967727</v>
      </c>
      <c r="K40" s="32">
        <f t="shared" si="5"/>
        <v>987.11258064516119</v>
      </c>
      <c r="L40" s="32">
        <f t="shared" si="5"/>
        <v>988.16774193548395</v>
      </c>
      <c r="M40" s="32">
        <f t="shared" si="5"/>
        <v>988.55838709677425</v>
      </c>
      <c r="N40" s="32">
        <f t="shared" si="5"/>
        <v>989.24161290322593</v>
      </c>
      <c r="O40" s="33">
        <f>AVERAGE(O7:O37)</f>
        <v>991.03161290322566</v>
      </c>
      <c r="P40" s="32">
        <f>AVERAGE(P7:P37)</f>
        <v>986.4477419354838</v>
      </c>
      <c r="Q40" s="34">
        <f>AVERAGE(Q7:Q37)</f>
        <v>988.66607940446636</v>
      </c>
    </row>
    <row r="41" spans="1:17" ht="15.75" thickTop="1" x14ac:dyDescent="0.25">
      <c r="A41" s="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8"/>
      <c r="B42" s="1"/>
      <c r="C42" s="8" t="str">
        <f>[4]FKLIM.71!M43</f>
        <v>Mengetahui,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8"/>
      <c r="B43" s="1"/>
      <c r="C43" s="8" t="str">
        <f>[4]FKLIM.71!M44</f>
        <v>Kepala Stasiun Klimatologi Kelas IV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8" t="str">
        <f>[4]FKLIM.71!T44</f>
        <v>Pengolah</v>
      </c>
      <c r="P43" s="1"/>
      <c r="Q43" s="1"/>
    </row>
    <row r="44" spans="1:17" x14ac:dyDescent="0.25">
      <c r="A44" s="8"/>
      <c r="B44" s="1"/>
      <c r="C44" s="8" t="s">
        <v>29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8"/>
      <c r="P44" s="1"/>
      <c r="Q44" s="1"/>
    </row>
    <row r="45" spans="1:17" x14ac:dyDescent="0.25">
      <c r="A45" s="8"/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8"/>
      <c r="P45" s="1"/>
      <c r="Q45" s="1"/>
    </row>
    <row r="46" spans="1:17" x14ac:dyDescent="0.25">
      <c r="A46" s="8"/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8"/>
      <c r="P46" s="1"/>
      <c r="Q46" s="1"/>
    </row>
    <row r="47" spans="1:17" x14ac:dyDescent="0.25">
      <c r="A47" s="8"/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8"/>
      <c r="P47" s="1"/>
      <c r="Q47" s="1"/>
    </row>
    <row r="48" spans="1:17" x14ac:dyDescent="0.25">
      <c r="A48" s="8"/>
      <c r="B48" s="1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8"/>
      <c r="P48" s="1"/>
      <c r="Q48" s="1"/>
    </row>
    <row r="49" spans="1:17" x14ac:dyDescent="0.25">
      <c r="A49" s="8"/>
      <c r="B49" s="1"/>
      <c r="C49" s="35" t="str">
        <f>[4]FKLIM.71!M50</f>
        <v>RENI KRANINGTYAS, SP, M.Si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5" t="str">
        <f>[4]FKLIM.71!T50</f>
        <v xml:space="preserve">TIM PEMBUAT LAPORAN </v>
      </c>
      <c r="P49" s="1"/>
      <c r="Q49" s="1"/>
    </row>
    <row r="50" spans="1:17" x14ac:dyDescent="0.25">
      <c r="A50" s="8"/>
      <c r="B50" s="1"/>
      <c r="C50" s="8" t="str">
        <f>[4]FKLIM.71!M51</f>
        <v>NIP.  19740203 199703 2 001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8" t="str">
        <f>[4]FKLIM.71!T51</f>
        <v xml:space="preserve">PETUGAS OPERASIONAL </v>
      </c>
      <c r="P50" s="1"/>
      <c r="Q50" s="1"/>
    </row>
  </sheetData>
  <mergeCells count="1">
    <mergeCell ref="G3:K3"/>
  </mergeCells>
  <pageMargins left="1.2992125984251968" right="0.70866141732283461" top="0.3543307086614173" bottom="0.15748031496062992" header="0.31496062992125984" footer="0.31496062992125984"/>
  <pageSetup paperSize="9" scale="7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Q49"/>
  <sheetViews>
    <sheetView workbookViewId="0">
      <selection activeCell="T46" sqref="T46"/>
    </sheetView>
  </sheetViews>
  <sheetFormatPr defaultRowHeight="15" x14ac:dyDescent="0.25"/>
  <cols>
    <col min="17" max="17" width="13.85546875" customWidth="1"/>
  </cols>
  <sheetData>
    <row r="1" spans="1:17" ht="18" x14ac:dyDescent="0.25">
      <c r="A1" s="1"/>
      <c r="B1" s="1"/>
      <c r="C1" s="1"/>
      <c r="D1" s="2"/>
      <c r="E1" s="3"/>
      <c r="F1" s="3"/>
      <c r="G1" s="41" t="s">
        <v>31</v>
      </c>
      <c r="H1" s="3"/>
      <c r="I1" s="3"/>
      <c r="J1" s="3"/>
      <c r="K1" s="3"/>
      <c r="L1" s="4"/>
      <c r="M1" s="4"/>
      <c r="N1" s="4"/>
      <c r="O1" s="3"/>
      <c r="P1" s="3"/>
      <c r="Q1" s="3"/>
    </row>
    <row r="2" spans="1:17" ht="18" x14ac:dyDescent="0.25">
      <c r="A2" s="5" t="s">
        <v>0</v>
      </c>
      <c r="B2" s="3"/>
      <c r="C2" s="3" t="s">
        <v>1</v>
      </c>
      <c r="D2" s="2"/>
      <c r="E2" s="3"/>
      <c r="F2" s="3"/>
      <c r="G2" s="6"/>
      <c r="H2" s="4"/>
      <c r="I2" s="4"/>
      <c r="J2" s="4"/>
      <c r="K2" s="4"/>
      <c r="L2" s="4"/>
      <c r="M2" s="4"/>
      <c r="N2" s="4"/>
      <c r="O2" s="3"/>
      <c r="P2" s="3"/>
      <c r="Q2" s="3"/>
    </row>
    <row r="3" spans="1:17" ht="18" x14ac:dyDescent="0.25">
      <c r="A3" s="5" t="s">
        <v>2</v>
      </c>
      <c r="B3" s="3"/>
      <c r="C3" s="36" t="s">
        <v>30</v>
      </c>
      <c r="D3" s="2"/>
      <c r="E3" s="7"/>
      <c r="F3" s="3"/>
      <c r="G3" s="99"/>
      <c r="H3" s="100"/>
      <c r="I3" s="100"/>
      <c r="J3" s="100"/>
      <c r="K3" s="100"/>
      <c r="L3" s="3"/>
      <c r="M3" s="3"/>
      <c r="N3" s="3"/>
      <c r="O3" s="3"/>
      <c r="P3" s="3"/>
      <c r="Q3" s="3"/>
    </row>
    <row r="4" spans="1:17" ht="15.75" x14ac:dyDescent="0.25">
      <c r="A4" s="5" t="s">
        <v>3</v>
      </c>
      <c r="B4" s="3"/>
      <c r="C4" s="3" t="s">
        <v>4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6.5" thickBot="1" x14ac:dyDescent="0.3">
      <c r="A5" s="8"/>
      <c r="B5" s="1"/>
      <c r="C5" s="1"/>
      <c r="D5" s="1"/>
      <c r="E5" s="1"/>
      <c r="F5" s="1"/>
      <c r="G5" s="1"/>
      <c r="H5" s="1"/>
      <c r="I5" s="1"/>
      <c r="J5" s="1"/>
      <c r="K5" s="3"/>
      <c r="L5" s="9" t="s">
        <v>5</v>
      </c>
      <c r="M5" s="9"/>
      <c r="N5" s="10" t="str">
        <f>'[4]input data'!R1121</f>
        <v xml:space="preserve">TIM PEMBUAT LAPORAN </v>
      </c>
      <c r="O5" s="9"/>
      <c r="P5" s="9"/>
      <c r="Q5" s="1"/>
    </row>
    <row r="6" spans="1:17" ht="16.5" thickTop="1" thickBot="1" x14ac:dyDescent="0.3">
      <c r="A6" s="11" t="s">
        <v>6</v>
      </c>
      <c r="B6" s="12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4" t="s">
        <v>20</v>
      </c>
      <c r="P6" s="13" t="s">
        <v>21</v>
      </c>
      <c r="Q6" s="15" t="s">
        <v>22</v>
      </c>
    </row>
    <row r="7" spans="1:17" ht="15.75" thickTop="1" x14ac:dyDescent="0.25">
      <c r="A7" s="17">
        <v>1</v>
      </c>
      <c r="B7" s="18">
        <v>990.68</v>
      </c>
      <c r="C7" s="18">
        <v>990.98</v>
      </c>
      <c r="D7" s="18">
        <v>990.9</v>
      </c>
      <c r="E7" s="18">
        <v>990.66</v>
      </c>
      <c r="F7" s="18">
        <v>989.89</v>
      </c>
      <c r="G7" s="18">
        <v>988.87</v>
      </c>
      <c r="H7" s="18">
        <v>988.56</v>
      </c>
      <c r="I7" s="18">
        <v>987.9</v>
      </c>
      <c r="J7" s="18">
        <v>987.7</v>
      </c>
      <c r="K7" s="18">
        <v>987.6</v>
      </c>
      <c r="L7" s="18">
        <v>988.1</v>
      </c>
      <c r="M7" s="18">
        <v>988.3</v>
      </c>
      <c r="N7" s="18">
        <v>988.7</v>
      </c>
      <c r="O7" s="19">
        <f>MAX(B7:N7)</f>
        <v>990.98</v>
      </c>
      <c r="P7" s="20">
        <f>MIN(B7:N7)</f>
        <v>987.6</v>
      </c>
      <c r="Q7" s="21">
        <f>AVERAGE(B7:N7)</f>
        <v>989.14153846153852</v>
      </c>
    </row>
    <row r="8" spans="1:17" x14ac:dyDescent="0.25">
      <c r="A8" s="22">
        <v>2</v>
      </c>
      <c r="B8" s="18">
        <v>990.4</v>
      </c>
      <c r="C8" s="18">
        <v>990.9</v>
      </c>
      <c r="D8" s="18">
        <v>990.9</v>
      </c>
      <c r="E8" s="18">
        <v>990.6</v>
      </c>
      <c r="F8" s="18">
        <v>990.2</v>
      </c>
      <c r="G8" s="18">
        <v>988.9</v>
      </c>
      <c r="H8" s="18">
        <v>988.4</v>
      </c>
      <c r="I8" s="18">
        <v>988.1</v>
      </c>
      <c r="J8" s="18">
        <v>987.8</v>
      </c>
      <c r="K8" s="18">
        <v>988.2</v>
      </c>
      <c r="L8" s="18">
        <v>988.9</v>
      </c>
      <c r="M8" s="18">
        <v>989.6</v>
      </c>
      <c r="N8" s="18">
        <v>990.1</v>
      </c>
      <c r="O8" s="19">
        <f t="shared" ref="O8:O36" si="0">MAX(B8:N8)</f>
        <v>990.9</v>
      </c>
      <c r="P8" s="20">
        <f t="shared" ref="P8:P36" si="1">MIN(B8:N8)</f>
        <v>987.8</v>
      </c>
      <c r="Q8" s="21">
        <f t="shared" ref="Q8:Q36" si="2">AVERAGE(B8:N8)</f>
        <v>989.46153846153845</v>
      </c>
    </row>
    <row r="9" spans="1:17" x14ac:dyDescent="0.25">
      <c r="A9" s="22">
        <v>3</v>
      </c>
      <c r="B9" s="18">
        <v>991.3</v>
      </c>
      <c r="C9" s="18">
        <v>991.6</v>
      </c>
      <c r="D9" s="18">
        <v>991.7</v>
      </c>
      <c r="E9" s="18">
        <v>991.4</v>
      </c>
      <c r="F9" s="18">
        <v>990.9</v>
      </c>
      <c r="G9" s="18">
        <v>990.4</v>
      </c>
      <c r="H9" s="18">
        <v>989</v>
      </c>
      <c r="I9" s="18">
        <v>988.53</v>
      </c>
      <c r="J9" s="18">
        <v>988.56</v>
      </c>
      <c r="K9" s="18">
        <v>988.89</v>
      </c>
      <c r="L9" s="18">
        <v>988.98</v>
      </c>
      <c r="M9" s="18">
        <v>989.26</v>
      </c>
      <c r="N9" s="18">
        <v>989.92</v>
      </c>
      <c r="O9" s="19">
        <f t="shared" si="0"/>
        <v>991.7</v>
      </c>
      <c r="P9" s="20">
        <f t="shared" si="1"/>
        <v>988.53</v>
      </c>
      <c r="Q9" s="21">
        <f t="shared" si="2"/>
        <v>990.03384615384607</v>
      </c>
    </row>
    <row r="10" spans="1:17" x14ac:dyDescent="0.25">
      <c r="A10" s="22">
        <v>4</v>
      </c>
      <c r="B10" s="18">
        <v>991.5</v>
      </c>
      <c r="C10" s="18">
        <v>991.8</v>
      </c>
      <c r="D10" s="18">
        <v>991.7</v>
      </c>
      <c r="E10" s="18">
        <v>991.3</v>
      </c>
      <c r="F10" s="18">
        <v>990.8</v>
      </c>
      <c r="G10" s="18">
        <v>989.9</v>
      </c>
      <c r="H10" s="18">
        <v>989</v>
      </c>
      <c r="I10" s="18">
        <v>988.2</v>
      </c>
      <c r="J10" s="18">
        <v>987.9</v>
      </c>
      <c r="K10" s="18">
        <v>988.7</v>
      </c>
      <c r="L10" s="18">
        <v>989.3</v>
      </c>
      <c r="M10" s="18">
        <v>990.8</v>
      </c>
      <c r="N10" s="18">
        <v>990.2</v>
      </c>
      <c r="O10" s="19">
        <f t="shared" si="0"/>
        <v>991.8</v>
      </c>
      <c r="P10" s="20">
        <f t="shared" si="1"/>
        <v>987.9</v>
      </c>
      <c r="Q10" s="21">
        <f t="shared" si="2"/>
        <v>990.0846153846154</v>
      </c>
    </row>
    <row r="11" spans="1:17" x14ac:dyDescent="0.25">
      <c r="A11" s="22">
        <v>5</v>
      </c>
      <c r="B11" s="18">
        <v>991.3</v>
      </c>
      <c r="C11" s="18">
        <v>991.5</v>
      </c>
      <c r="D11" s="18">
        <v>991.4</v>
      </c>
      <c r="E11" s="18">
        <v>990.9</v>
      </c>
      <c r="F11" s="18">
        <v>990.3</v>
      </c>
      <c r="G11" s="18">
        <v>989.1</v>
      </c>
      <c r="H11" s="18">
        <v>988.4</v>
      </c>
      <c r="I11" s="18">
        <v>987.88</v>
      </c>
      <c r="J11" s="18">
        <v>987.67</v>
      </c>
      <c r="K11" s="18">
        <v>988.22</v>
      </c>
      <c r="L11" s="18">
        <v>988.92</v>
      </c>
      <c r="M11" s="18">
        <v>989.7</v>
      </c>
      <c r="N11" s="18">
        <v>990.34</v>
      </c>
      <c r="O11" s="19">
        <f t="shared" si="0"/>
        <v>991.5</v>
      </c>
      <c r="P11" s="20">
        <f t="shared" si="1"/>
        <v>987.67</v>
      </c>
      <c r="Q11" s="21">
        <f t="shared" si="2"/>
        <v>989.66384615384607</v>
      </c>
    </row>
    <row r="12" spans="1:17" x14ac:dyDescent="0.25">
      <c r="A12" s="22">
        <v>6</v>
      </c>
      <c r="B12" s="18">
        <v>990.21</v>
      </c>
      <c r="C12" s="18">
        <v>990.82</v>
      </c>
      <c r="D12" s="18">
        <v>990.74</v>
      </c>
      <c r="E12" s="18">
        <v>998.61</v>
      </c>
      <c r="F12" s="18">
        <v>989.3</v>
      </c>
      <c r="G12" s="18">
        <v>988.25</v>
      </c>
      <c r="H12" s="18">
        <v>987.72</v>
      </c>
      <c r="I12" s="18">
        <v>987.38</v>
      </c>
      <c r="J12" s="18">
        <v>987.71</v>
      </c>
      <c r="K12" s="18">
        <v>987.84</v>
      </c>
      <c r="L12" s="18">
        <v>988.42</v>
      </c>
      <c r="M12" s="18">
        <v>989.23</v>
      </c>
      <c r="N12" s="18">
        <v>989.44</v>
      </c>
      <c r="O12" s="19">
        <f t="shared" si="0"/>
        <v>998.61</v>
      </c>
      <c r="P12" s="20">
        <f t="shared" si="1"/>
        <v>987.38</v>
      </c>
      <c r="Q12" s="21">
        <f t="shared" si="2"/>
        <v>989.66692307692324</v>
      </c>
    </row>
    <row r="13" spans="1:17" x14ac:dyDescent="0.25">
      <c r="A13" s="22">
        <v>7</v>
      </c>
      <c r="B13" s="18">
        <v>989.7</v>
      </c>
      <c r="C13" s="18">
        <v>990</v>
      </c>
      <c r="D13" s="18">
        <v>989.9</v>
      </c>
      <c r="E13" s="18">
        <v>989</v>
      </c>
      <c r="F13" s="18">
        <v>988.5</v>
      </c>
      <c r="G13" s="18">
        <v>987.2</v>
      </c>
      <c r="H13" s="18">
        <v>986.5</v>
      </c>
      <c r="I13" s="18">
        <v>985.88</v>
      </c>
      <c r="J13" s="18">
        <v>985.81</v>
      </c>
      <c r="K13" s="18">
        <v>986.36</v>
      </c>
      <c r="L13" s="18">
        <v>986.77</v>
      </c>
      <c r="M13" s="18">
        <v>987.72</v>
      </c>
      <c r="N13" s="18">
        <v>988.6</v>
      </c>
      <c r="O13" s="19">
        <f>MAX(B13:N13)</f>
        <v>990</v>
      </c>
      <c r="P13" s="20">
        <f>MIN(B13:N13)</f>
        <v>985.81</v>
      </c>
      <c r="Q13" s="21">
        <f>AVERAGE(B13:N13)</f>
        <v>987.84153846153845</v>
      </c>
    </row>
    <row r="14" spans="1:17" x14ac:dyDescent="0.25">
      <c r="A14" s="22">
        <v>8</v>
      </c>
      <c r="B14" s="18">
        <v>989.74</v>
      </c>
      <c r="C14" s="18">
        <v>990.19</v>
      </c>
      <c r="D14" s="18">
        <v>990.39</v>
      </c>
      <c r="E14" s="18">
        <v>990.03</v>
      </c>
      <c r="F14" s="18">
        <v>989.02</v>
      </c>
      <c r="G14" s="18">
        <v>988.14</v>
      </c>
      <c r="H14" s="18">
        <v>987.24</v>
      </c>
      <c r="I14" s="18">
        <v>986.7</v>
      </c>
      <c r="J14" s="18">
        <v>986.6</v>
      </c>
      <c r="K14" s="18">
        <v>988.3</v>
      </c>
      <c r="L14" s="18">
        <v>988.4</v>
      </c>
      <c r="M14" s="18">
        <v>990.3</v>
      </c>
      <c r="N14" s="18">
        <v>990.5</v>
      </c>
      <c r="O14" s="19">
        <f t="shared" si="0"/>
        <v>990.5</v>
      </c>
      <c r="P14" s="20">
        <f t="shared" si="1"/>
        <v>986.6</v>
      </c>
      <c r="Q14" s="21">
        <f t="shared" si="2"/>
        <v>988.88846153846146</v>
      </c>
    </row>
    <row r="15" spans="1:17" x14ac:dyDescent="0.25">
      <c r="A15" s="22">
        <v>9</v>
      </c>
      <c r="B15" s="18">
        <v>989.4</v>
      </c>
      <c r="C15" s="18">
        <v>990.2</v>
      </c>
      <c r="D15" s="18">
        <v>990.9</v>
      </c>
      <c r="E15" s="18">
        <v>990.7</v>
      </c>
      <c r="F15" s="18">
        <v>990.4</v>
      </c>
      <c r="G15" s="18">
        <v>989.5</v>
      </c>
      <c r="H15" s="18">
        <v>988.7</v>
      </c>
      <c r="I15" s="18">
        <v>988.1</v>
      </c>
      <c r="J15" s="18">
        <v>987.8</v>
      </c>
      <c r="K15" s="18">
        <v>987.5</v>
      </c>
      <c r="L15" s="18">
        <v>988.1</v>
      </c>
      <c r="M15" s="18">
        <v>988.7</v>
      </c>
      <c r="N15" s="18">
        <v>989.3</v>
      </c>
      <c r="O15" s="19">
        <f t="shared" si="0"/>
        <v>990.9</v>
      </c>
      <c r="P15" s="20">
        <f t="shared" si="1"/>
        <v>987.5</v>
      </c>
      <c r="Q15" s="21">
        <f t="shared" si="2"/>
        <v>989.176923076923</v>
      </c>
    </row>
    <row r="16" spans="1:17" x14ac:dyDescent="0.25">
      <c r="A16" s="22">
        <v>10</v>
      </c>
      <c r="B16" s="18">
        <v>989.6</v>
      </c>
      <c r="C16" s="18">
        <v>990.2</v>
      </c>
      <c r="D16" s="18">
        <v>990.5</v>
      </c>
      <c r="E16" s="18">
        <v>990.1</v>
      </c>
      <c r="F16" s="18">
        <v>989.5</v>
      </c>
      <c r="G16" s="18">
        <v>988.8</v>
      </c>
      <c r="H16" s="18">
        <v>987.6</v>
      </c>
      <c r="I16" s="18">
        <v>987</v>
      </c>
      <c r="J16" s="18">
        <v>987</v>
      </c>
      <c r="K16" s="18">
        <v>987.4</v>
      </c>
      <c r="L16" s="18">
        <v>988.1</v>
      </c>
      <c r="M16" s="18">
        <v>988.6</v>
      </c>
      <c r="N16" s="18">
        <v>989.5</v>
      </c>
      <c r="O16" s="19">
        <f t="shared" si="0"/>
        <v>990.5</v>
      </c>
      <c r="P16" s="20">
        <f t="shared" si="1"/>
        <v>987</v>
      </c>
      <c r="Q16" s="21">
        <f t="shared" si="2"/>
        <v>988.76153846153841</v>
      </c>
    </row>
    <row r="17" spans="1:17" x14ac:dyDescent="0.25">
      <c r="A17" s="22">
        <v>11</v>
      </c>
      <c r="B17" s="18">
        <v>989.8</v>
      </c>
      <c r="C17" s="18">
        <v>990.4</v>
      </c>
      <c r="D17" s="18">
        <v>990.2</v>
      </c>
      <c r="E17" s="18">
        <v>989.5</v>
      </c>
      <c r="F17" s="18">
        <v>989.2</v>
      </c>
      <c r="G17" s="18">
        <v>988.1</v>
      </c>
      <c r="H17" s="18">
        <v>987.3</v>
      </c>
      <c r="I17" s="18">
        <v>986.4</v>
      </c>
      <c r="J17" s="18">
        <v>987.1</v>
      </c>
      <c r="K17" s="18">
        <v>987.7</v>
      </c>
      <c r="L17" s="18">
        <v>988.2</v>
      </c>
      <c r="M17" s="18">
        <v>988.7</v>
      </c>
      <c r="N17" s="18">
        <v>989.2</v>
      </c>
      <c r="O17" s="19">
        <f t="shared" si="0"/>
        <v>990.4</v>
      </c>
      <c r="P17" s="20">
        <f t="shared" si="1"/>
        <v>986.4</v>
      </c>
      <c r="Q17" s="21">
        <f t="shared" si="2"/>
        <v>988.60000000000025</v>
      </c>
    </row>
    <row r="18" spans="1:17" x14ac:dyDescent="0.25">
      <c r="A18" s="22">
        <v>12</v>
      </c>
      <c r="B18" s="18">
        <v>991.01</v>
      </c>
      <c r="C18" s="18">
        <v>991.08</v>
      </c>
      <c r="D18" s="18">
        <v>991.15</v>
      </c>
      <c r="E18" s="18">
        <v>990.78</v>
      </c>
      <c r="F18" s="18">
        <v>990.04</v>
      </c>
      <c r="G18" s="18">
        <v>989.28</v>
      </c>
      <c r="H18" s="18">
        <v>988.46</v>
      </c>
      <c r="I18" s="18">
        <v>987.6</v>
      </c>
      <c r="J18" s="18">
        <v>987.1</v>
      </c>
      <c r="K18" s="18">
        <v>987.9</v>
      </c>
      <c r="L18" s="18">
        <v>988.8</v>
      </c>
      <c r="M18" s="18">
        <v>989.4</v>
      </c>
      <c r="N18" s="18">
        <v>990.1</v>
      </c>
      <c r="O18" s="19">
        <f t="shared" si="0"/>
        <v>991.15</v>
      </c>
      <c r="P18" s="20">
        <f t="shared" si="1"/>
        <v>987.1</v>
      </c>
      <c r="Q18" s="21">
        <f t="shared" si="2"/>
        <v>989.43846153846141</v>
      </c>
    </row>
    <row r="19" spans="1:17" x14ac:dyDescent="0.25">
      <c r="A19" s="22">
        <v>13</v>
      </c>
      <c r="B19" s="18">
        <v>991.3</v>
      </c>
      <c r="C19" s="18">
        <v>991.49</v>
      </c>
      <c r="D19" s="18">
        <v>991.47</v>
      </c>
      <c r="E19" s="18">
        <v>991.39</v>
      </c>
      <c r="F19" s="18">
        <v>990.4</v>
      </c>
      <c r="G19" s="18">
        <v>989.5</v>
      </c>
      <c r="H19" s="18">
        <v>989.13</v>
      </c>
      <c r="I19" s="18">
        <v>989.08</v>
      </c>
      <c r="J19" s="18">
        <v>988.96</v>
      </c>
      <c r="K19" s="18">
        <v>989.5</v>
      </c>
      <c r="L19" s="18">
        <v>990.2</v>
      </c>
      <c r="M19" s="18">
        <v>990.7</v>
      </c>
      <c r="N19" s="18">
        <v>991</v>
      </c>
      <c r="O19" s="19">
        <f t="shared" si="0"/>
        <v>991.49</v>
      </c>
      <c r="P19" s="20">
        <f t="shared" si="1"/>
        <v>988.96</v>
      </c>
      <c r="Q19" s="21">
        <f t="shared" si="2"/>
        <v>990.31692307692333</v>
      </c>
    </row>
    <row r="20" spans="1:17" x14ac:dyDescent="0.25">
      <c r="A20" s="22">
        <v>14</v>
      </c>
      <c r="B20" s="18">
        <v>990.98</v>
      </c>
      <c r="C20" s="18">
        <v>991.45</v>
      </c>
      <c r="D20" s="18">
        <v>991.44</v>
      </c>
      <c r="E20" s="18">
        <v>991.56</v>
      </c>
      <c r="F20" s="18">
        <v>991.11</v>
      </c>
      <c r="G20" s="18">
        <v>990.29</v>
      </c>
      <c r="H20" s="18">
        <v>989.74</v>
      </c>
      <c r="I20" s="18">
        <v>989.2</v>
      </c>
      <c r="J20" s="18">
        <v>989</v>
      </c>
      <c r="K20" s="18">
        <v>988.5</v>
      </c>
      <c r="L20" s="18">
        <v>988.8</v>
      </c>
      <c r="M20" s="18">
        <v>989.1</v>
      </c>
      <c r="N20" s="18">
        <v>989.5</v>
      </c>
      <c r="O20" s="19">
        <f t="shared" si="0"/>
        <v>991.56</v>
      </c>
      <c r="P20" s="20">
        <f t="shared" si="1"/>
        <v>988.5</v>
      </c>
      <c r="Q20" s="21">
        <f t="shared" si="2"/>
        <v>990.05153846153848</v>
      </c>
    </row>
    <row r="21" spans="1:17" x14ac:dyDescent="0.25">
      <c r="A21" s="22">
        <v>15</v>
      </c>
      <c r="B21" s="18">
        <v>990.2</v>
      </c>
      <c r="C21" s="18">
        <v>990.5</v>
      </c>
      <c r="D21" s="18">
        <v>990.8</v>
      </c>
      <c r="E21" s="18">
        <v>990.3</v>
      </c>
      <c r="F21" s="18">
        <v>989.5</v>
      </c>
      <c r="G21" s="18">
        <v>988.8</v>
      </c>
      <c r="H21" s="18">
        <v>988.1</v>
      </c>
      <c r="I21" s="18">
        <v>987.2</v>
      </c>
      <c r="J21" s="18">
        <v>987.6</v>
      </c>
      <c r="K21" s="18">
        <v>988.2</v>
      </c>
      <c r="L21" s="18">
        <v>988.4</v>
      </c>
      <c r="M21" s="18">
        <v>989.9</v>
      </c>
      <c r="N21" s="18">
        <v>989.4</v>
      </c>
      <c r="O21" s="19">
        <f t="shared" si="0"/>
        <v>990.8</v>
      </c>
      <c r="P21" s="20">
        <f t="shared" si="1"/>
        <v>987.2</v>
      </c>
      <c r="Q21" s="21">
        <f t="shared" si="2"/>
        <v>989.14615384615377</v>
      </c>
    </row>
    <row r="22" spans="1:17" x14ac:dyDescent="0.25">
      <c r="A22" s="22">
        <v>16</v>
      </c>
      <c r="B22" s="18">
        <v>991.53</v>
      </c>
      <c r="C22" s="18">
        <v>991.97</v>
      </c>
      <c r="D22" s="18">
        <v>991.32</v>
      </c>
      <c r="E22" s="18">
        <v>991.21</v>
      </c>
      <c r="F22" s="18">
        <v>990.56</v>
      </c>
      <c r="G22" s="18">
        <v>989.48</v>
      </c>
      <c r="H22" s="18">
        <v>988.43</v>
      </c>
      <c r="I22" s="18">
        <v>987.81</v>
      </c>
      <c r="J22" s="18">
        <v>988.8</v>
      </c>
      <c r="K22" s="18">
        <v>988.5</v>
      </c>
      <c r="L22" s="18">
        <v>988.9</v>
      </c>
      <c r="M22" s="18">
        <v>989.7</v>
      </c>
      <c r="N22" s="18">
        <v>990.1</v>
      </c>
      <c r="O22" s="19">
        <f t="shared" si="0"/>
        <v>991.97</v>
      </c>
      <c r="P22" s="20">
        <f t="shared" si="1"/>
        <v>987.81</v>
      </c>
      <c r="Q22" s="21">
        <f t="shared" si="2"/>
        <v>989.87</v>
      </c>
    </row>
    <row r="23" spans="1:17" x14ac:dyDescent="0.25">
      <c r="A23" s="22">
        <v>17</v>
      </c>
      <c r="B23" s="18">
        <v>991.2</v>
      </c>
      <c r="C23" s="18">
        <v>991.9</v>
      </c>
      <c r="D23" s="18">
        <v>991.6</v>
      </c>
      <c r="E23" s="18">
        <v>991.6</v>
      </c>
      <c r="F23" s="18">
        <v>990.9</v>
      </c>
      <c r="G23" s="18">
        <v>990.4</v>
      </c>
      <c r="H23" s="18">
        <v>989.6</v>
      </c>
      <c r="I23" s="18">
        <v>988.94</v>
      </c>
      <c r="J23" s="18">
        <v>988.27</v>
      </c>
      <c r="K23" s="18">
        <v>989.85</v>
      </c>
      <c r="L23" s="18">
        <v>990.42</v>
      </c>
      <c r="M23" s="18">
        <v>990.75</v>
      </c>
      <c r="N23" s="18">
        <v>991.23</v>
      </c>
      <c r="O23" s="19">
        <f t="shared" si="0"/>
        <v>991.9</v>
      </c>
      <c r="P23" s="20">
        <f t="shared" si="1"/>
        <v>988.27</v>
      </c>
      <c r="Q23" s="21">
        <f t="shared" si="2"/>
        <v>990.51230769230767</v>
      </c>
    </row>
    <row r="24" spans="1:17" x14ac:dyDescent="0.25">
      <c r="A24" s="22">
        <v>18</v>
      </c>
      <c r="B24" s="18">
        <v>991.3</v>
      </c>
      <c r="C24" s="18">
        <v>991.5</v>
      </c>
      <c r="D24" s="18">
        <v>991.4</v>
      </c>
      <c r="E24" s="18">
        <v>991.3</v>
      </c>
      <c r="F24" s="18">
        <v>990.9</v>
      </c>
      <c r="G24" s="18">
        <v>990.3</v>
      </c>
      <c r="H24" s="18">
        <v>989.3</v>
      </c>
      <c r="I24" s="18">
        <v>989</v>
      </c>
      <c r="J24" s="18">
        <v>988.9</v>
      </c>
      <c r="K24" s="18">
        <v>988.8</v>
      </c>
      <c r="L24" s="18">
        <v>990</v>
      </c>
      <c r="M24" s="18">
        <v>990.2</v>
      </c>
      <c r="N24" s="18">
        <v>990.2</v>
      </c>
      <c r="O24" s="19">
        <f t="shared" si="0"/>
        <v>991.5</v>
      </c>
      <c r="P24" s="20">
        <f t="shared" si="1"/>
        <v>988.8</v>
      </c>
      <c r="Q24" s="21">
        <f t="shared" si="2"/>
        <v>990.23846153846159</v>
      </c>
    </row>
    <row r="25" spans="1:17" x14ac:dyDescent="0.25">
      <c r="A25" s="22">
        <v>19</v>
      </c>
      <c r="B25" s="18">
        <v>991</v>
      </c>
      <c r="C25" s="18">
        <v>991.1</v>
      </c>
      <c r="D25" s="18">
        <v>991.1</v>
      </c>
      <c r="E25" s="18">
        <v>990.6</v>
      </c>
      <c r="F25" s="18">
        <v>989.8</v>
      </c>
      <c r="G25" s="18">
        <v>989.3</v>
      </c>
      <c r="H25" s="18">
        <v>988.6</v>
      </c>
      <c r="I25" s="18">
        <v>988.1</v>
      </c>
      <c r="J25" s="18">
        <v>987.8</v>
      </c>
      <c r="K25" s="18">
        <v>987.9</v>
      </c>
      <c r="L25" s="18">
        <v>988.4</v>
      </c>
      <c r="M25" s="18">
        <v>989.1</v>
      </c>
      <c r="N25" s="18">
        <v>989.7</v>
      </c>
      <c r="O25" s="19">
        <f t="shared" si="0"/>
        <v>991.1</v>
      </c>
      <c r="P25" s="20">
        <f t="shared" si="1"/>
        <v>987.8</v>
      </c>
      <c r="Q25" s="21">
        <f t="shared" si="2"/>
        <v>989.42307692307691</v>
      </c>
    </row>
    <row r="26" spans="1:17" x14ac:dyDescent="0.25">
      <c r="A26" s="22">
        <v>20</v>
      </c>
      <c r="B26" s="18">
        <v>990</v>
      </c>
      <c r="C26" s="18">
        <v>990.4</v>
      </c>
      <c r="D26" s="18">
        <v>990</v>
      </c>
      <c r="E26" s="18">
        <v>989.6</v>
      </c>
      <c r="F26" s="18">
        <v>988.5</v>
      </c>
      <c r="G26" s="18">
        <v>987.9</v>
      </c>
      <c r="H26" s="18">
        <v>986.49</v>
      </c>
      <c r="I26" s="18">
        <v>986.1</v>
      </c>
      <c r="J26" s="18">
        <v>986.1</v>
      </c>
      <c r="K26" s="18">
        <v>986.4</v>
      </c>
      <c r="L26" s="18">
        <v>987.2</v>
      </c>
      <c r="M26" s="18">
        <v>987.5</v>
      </c>
      <c r="N26" s="18">
        <v>988.5</v>
      </c>
      <c r="O26" s="19">
        <f t="shared" si="0"/>
        <v>990.4</v>
      </c>
      <c r="P26" s="20">
        <f t="shared" si="1"/>
        <v>986.1</v>
      </c>
      <c r="Q26" s="21">
        <f t="shared" si="2"/>
        <v>988.05307692307701</v>
      </c>
    </row>
    <row r="27" spans="1:17" x14ac:dyDescent="0.25">
      <c r="A27" s="22">
        <v>21</v>
      </c>
      <c r="B27" s="18">
        <v>990</v>
      </c>
      <c r="C27" s="18">
        <v>990.2</v>
      </c>
      <c r="D27" s="18">
        <v>990.3</v>
      </c>
      <c r="E27" s="18">
        <v>989.8</v>
      </c>
      <c r="F27" s="18">
        <v>989</v>
      </c>
      <c r="G27" s="18">
        <v>988</v>
      </c>
      <c r="H27" s="18">
        <v>987.3</v>
      </c>
      <c r="I27" s="18">
        <v>986.6</v>
      </c>
      <c r="J27" s="18">
        <v>986.5</v>
      </c>
      <c r="K27" s="18">
        <v>986.3</v>
      </c>
      <c r="L27" s="18">
        <v>986.8</v>
      </c>
      <c r="M27" s="18">
        <v>987.4</v>
      </c>
      <c r="N27" s="18">
        <v>987.7</v>
      </c>
      <c r="O27" s="19">
        <f t="shared" si="0"/>
        <v>990.3</v>
      </c>
      <c r="P27" s="20">
        <f t="shared" si="1"/>
        <v>986.3</v>
      </c>
      <c r="Q27" s="21">
        <f t="shared" si="2"/>
        <v>988.14615384615377</v>
      </c>
    </row>
    <row r="28" spans="1:17" x14ac:dyDescent="0.25">
      <c r="A28" s="22">
        <v>22</v>
      </c>
      <c r="B28" s="18">
        <v>991.3</v>
      </c>
      <c r="C28" s="18">
        <v>991.7</v>
      </c>
      <c r="D28" s="18">
        <v>991.5</v>
      </c>
      <c r="E28" s="18">
        <v>991</v>
      </c>
      <c r="F28" s="18">
        <v>990.3</v>
      </c>
      <c r="G28" s="18">
        <v>989.1</v>
      </c>
      <c r="H28" s="18">
        <v>988.4</v>
      </c>
      <c r="I28" s="18">
        <v>987.9</v>
      </c>
      <c r="J28" s="18">
        <v>987.7</v>
      </c>
      <c r="K28" s="18">
        <v>987.9</v>
      </c>
      <c r="L28" s="18">
        <v>988.5</v>
      </c>
      <c r="M28" s="18">
        <v>989.2</v>
      </c>
      <c r="N28" s="18">
        <v>990.1</v>
      </c>
      <c r="O28" s="19">
        <f t="shared" si="0"/>
        <v>991.7</v>
      </c>
      <c r="P28" s="20">
        <f t="shared" si="1"/>
        <v>987.7</v>
      </c>
      <c r="Q28" s="21">
        <f t="shared" si="2"/>
        <v>989.5846153846154</v>
      </c>
    </row>
    <row r="29" spans="1:17" x14ac:dyDescent="0.25">
      <c r="A29" s="22">
        <v>23</v>
      </c>
      <c r="B29" s="18">
        <v>992.2</v>
      </c>
      <c r="C29" s="18">
        <v>992.5</v>
      </c>
      <c r="D29" s="18">
        <v>992.4</v>
      </c>
      <c r="E29" s="18">
        <v>991.6</v>
      </c>
      <c r="F29" s="18">
        <v>990.7</v>
      </c>
      <c r="G29" s="18">
        <v>990</v>
      </c>
      <c r="H29" s="18">
        <v>989.1</v>
      </c>
      <c r="I29" s="18">
        <v>988.8</v>
      </c>
      <c r="J29" s="18">
        <v>988.3</v>
      </c>
      <c r="K29" s="18">
        <v>988.6</v>
      </c>
      <c r="L29" s="18">
        <v>989.4</v>
      </c>
      <c r="M29" s="18">
        <v>990</v>
      </c>
      <c r="N29" s="18">
        <v>990.7</v>
      </c>
      <c r="O29" s="19">
        <f t="shared" si="0"/>
        <v>992.5</v>
      </c>
      <c r="P29" s="20">
        <f t="shared" si="1"/>
        <v>988.3</v>
      </c>
      <c r="Q29" s="21">
        <f t="shared" si="2"/>
        <v>990.33076923076931</v>
      </c>
    </row>
    <row r="30" spans="1:17" x14ac:dyDescent="0.25">
      <c r="A30" s="22">
        <v>24</v>
      </c>
      <c r="B30" s="18">
        <v>991.1</v>
      </c>
      <c r="C30" s="18">
        <v>991.3</v>
      </c>
      <c r="D30" s="18">
        <v>991.2</v>
      </c>
      <c r="E30" s="18">
        <v>990.8</v>
      </c>
      <c r="F30" s="18">
        <v>990.1</v>
      </c>
      <c r="G30" s="18">
        <v>989.6</v>
      </c>
      <c r="H30" s="18">
        <v>988.7</v>
      </c>
      <c r="I30" s="18">
        <v>988.08</v>
      </c>
      <c r="J30" s="18">
        <v>987.82</v>
      </c>
      <c r="K30" s="18">
        <v>987.98</v>
      </c>
      <c r="L30" s="18">
        <v>988.41</v>
      </c>
      <c r="M30" s="18">
        <v>989.37</v>
      </c>
      <c r="N30" s="18">
        <v>989.6</v>
      </c>
      <c r="O30" s="19">
        <f t="shared" si="0"/>
        <v>991.3</v>
      </c>
      <c r="P30" s="20">
        <f t="shared" si="1"/>
        <v>987.82</v>
      </c>
      <c r="Q30" s="21">
        <f t="shared" si="2"/>
        <v>989.54307692307702</v>
      </c>
    </row>
    <row r="31" spans="1:17" x14ac:dyDescent="0.25">
      <c r="A31" s="22">
        <v>25</v>
      </c>
      <c r="B31" s="18">
        <v>989.6</v>
      </c>
      <c r="C31" s="18">
        <v>990.32</v>
      </c>
      <c r="D31" s="18">
        <v>990.03</v>
      </c>
      <c r="E31" s="18">
        <v>990</v>
      </c>
      <c r="F31" s="18">
        <v>989.37</v>
      </c>
      <c r="G31" s="18">
        <v>988.34</v>
      </c>
      <c r="H31" s="18">
        <v>987.51</v>
      </c>
      <c r="I31" s="18">
        <v>986.7</v>
      </c>
      <c r="J31" s="18">
        <v>986.5</v>
      </c>
      <c r="K31" s="18">
        <v>986.8</v>
      </c>
      <c r="L31" s="18">
        <v>987.4</v>
      </c>
      <c r="M31" s="18">
        <v>978.8</v>
      </c>
      <c r="N31" s="18">
        <v>988.7</v>
      </c>
      <c r="O31" s="19">
        <f t="shared" si="0"/>
        <v>990.32</v>
      </c>
      <c r="P31" s="20">
        <f t="shared" si="1"/>
        <v>978.8</v>
      </c>
      <c r="Q31" s="21">
        <f t="shared" si="2"/>
        <v>987.69769230769214</v>
      </c>
    </row>
    <row r="32" spans="1:17" x14ac:dyDescent="0.25">
      <c r="A32" s="22">
        <v>26</v>
      </c>
      <c r="B32" s="18">
        <v>990.7</v>
      </c>
      <c r="C32" s="18">
        <v>991.1</v>
      </c>
      <c r="D32" s="18">
        <v>991.2</v>
      </c>
      <c r="E32" s="18">
        <v>990.9</v>
      </c>
      <c r="F32" s="18">
        <v>990.1</v>
      </c>
      <c r="G32" s="18">
        <v>989.6</v>
      </c>
      <c r="H32" s="18">
        <v>989.1</v>
      </c>
      <c r="I32" s="18">
        <v>988.4</v>
      </c>
      <c r="J32" s="18">
        <v>988.4</v>
      </c>
      <c r="K32" s="18">
        <v>988.6</v>
      </c>
      <c r="L32" s="18">
        <v>989.5</v>
      </c>
      <c r="M32" s="18">
        <v>990.2</v>
      </c>
      <c r="N32" s="18">
        <v>991</v>
      </c>
      <c r="O32" s="19">
        <f t="shared" si="0"/>
        <v>991.2</v>
      </c>
      <c r="P32" s="20">
        <f t="shared" si="1"/>
        <v>988.4</v>
      </c>
      <c r="Q32" s="21">
        <f t="shared" si="2"/>
        <v>989.9076923076924</v>
      </c>
    </row>
    <row r="33" spans="1:17" x14ac:dyDescent="0.25">
      <c r="A33" s="22">
        <v>27</v>
      </c>
      <c r="B33" s="18">
        <v>991.5</v>
      </c>
      <c r="C33" s="18">
        <v>991.5</v>
      </c>
      <c r="D33" s="18">
        <v>991.4</v>
      </c>
      <c r="E33" s="18">
        <v>991</v>
      </c>
      <c r="F33" s="18">
        <v>990.5</v>
      </c>
      <c r="G33" s="18">
        <v>989.8</v>
      </c>
      <c r="H33" s="18">
        <v>989</v>
      </c>
      <c r="I33" s="18">
        <v>988.44</v>
      </c>
      <c r="J33" s="18">
        <v>988.06</v>
      </c>
      <c r="K33" s="18">
        <v>988.3</v>
      </c>
      <c r="L33" s="18">
        <v>988.9</v>
      </c>
      <c r="M33" s="18">
        <v>989.5</v>
      </c>
      <c r="N33" s="18">
        <v>990.2</v>
      </c>
      <c r="O33" s="19">
        <f t="shared" si="0"/>
        <v>991.5</v>
      </c>
      <c r="P33" s="20">
        <f t="shared" si="1"/>
        <v>988.06</v>
      </c>
      <c r="Q33" s="21">
        <f t="shared" si="2"/>
        <v>989.85384615384601</v>
      </c>
    </row>
    <row r="34" spans="1:17" x14ac:dyDescent="0.25">
      <c r="A34" s="22">
        <v>28</v>
      </c>
      <c r="B34" s="18">
        <v>991.4</v>
      </c>
      <c r="C34" s="18">
        <v>992.1</v>
      </c>
      <c r="D34" s="18">
        <v>991.7</v>
      </c>
      <c r="E34" s="18">
        <v>991.1</v>
      </c>
      <c r="F34" s="18">
        <v>990.3</v>
      </c>
      <c r="G34" s="18">
        <v>989.1</v>
      </c>
      <c r="H34" s="18">
        <v>988</v>
      </c>
      <c r="I34" s="18">
        <v>987</v>
      </c>
      <c r="J34" s="18">
        <v>986.7</v>
      </c>
      <c r="K34" s="18">
        <v>986.7</v>
      </c>
      <c r="L34" s="18">
        <v>987.3</v>
      </c>
      <c r="M34" s="18">
        <v>987.9</v>
      </c>
      <c r="N34" s="18">
        <v>988.7</v>
      </c>
      <c r="O34" s="19">
        <f t="shared" si="0"/>
        <v>992.1</v>
      </c>
      <c r="P34" s="20">
        <f t="shared" si="1"/>
        <v>986.7</v>
      </c>
      <c r="Q34" s="21">
        <f t="shared" si="2"/>
        <v>989.07692307692309</v>
      </c>
    </row>
    <row r="35" spans="1:17" x14ac:dyDescent="0.25">
      <c r="A35" s="22">
        <v>29</v>
      </c>
      <c r="B35" s="18">
        <v>990.3</v>
      </c>
      <c r="C35" s="18">
        <v>990.5</v>
      </c>
      <c r="D35" s="18">
        <v>990.5</v>
      </c>
      <c r="E35" s="18">
        <v>990.2</v>
      </c>
      <c r="F35" s="18">
        <v>989.3</v>
      </c>
      <c r="G35" s="18">
        <v>988.4</v>
      </c>
      <c r="H35" s="18">
        <v>988.1</v>
      </c>
      <c r="I35" s="18">
        <v>987</v>
      </c>
      <c r="J35" s="18">
        <v>986.6</v>
      </c>
      <c r="K35" s="18">
        <v>987</v>
      </c>
      <c r="L35" s="18">
        <v>987.5</v>
      </c>
      <c r="M35" s="18">
        <v>988.1</v>
      </c>
      <c r="N35" s="18">
        <v>989.1</v>
      </c>
      <c r="O35" s="19">
        <f t="shared" si="0"/>
        <v>990.5</v>
      </c>
      <c r="P35" s="20">
        <f t="shared" si="1"/>
        <v>986.6</v>
      </c>
      <c r="Q35" s="21">
        <f t="shared" si="2"/>
        <v>988.6615384615385</v>
      </c>
    </row>
    <row r="36" spans="1:17" ht="15.75" thickBot="1" x14ac:dyDescent="0.3">
      <c r="A36" s="22">
        <v>30</v>
      </c>
      <c r="B36" s="18">
        <v>990</v>
      </c>
      <c r="C36" s="18">
        <v>990.3</v>
      </c>
      <c r="D36" s="18">
        <v>990.2</v>
      </c>
      <c r="E36" s="18">
        <v>989.7</v>
      </c>
      <c r="F36" s="18">
        <v>989</v>
      </c>
      <c r="G36" s="18">
        <v>988.2</v>
      </c>
      <c r="H36" s="18">
        <v>987.8</v>
      </c>
      <c r="I36" s="18">
        <v>987.3</v>
      </c>
      <c r="J36" s="18">
        <v>986.9</v>
      </c>
      <c r="K36" s="18">
        <v>987</v>
      </c>
      <c r="L36" s="18">
        <v>987.6</v>
      </c>
      <c r="M36" s="18">
        <v>988.5</v>
      </c>
      <c r="N36" s="18">
        <v>989</v>
      </c>
      <c r="O36" s="19">
        <f t="shared" si="0"/>
        <v>990.3</v>
      </c>
      <c r="P36" s="20">
        <f t="shared" si="1"/>
        <v>986.9</v>
      </c>
      <c r="Q36" s="21">
        <f t="shared" si="2"/>
        <v>988.57692307692309</v>
      </c>
    </row>
    <row r="37" spans="1:17" ht="15.75" thickTop="1" x14ac:dyDescent="0.25">
      <c r="A37" s="24" t="s">
        <v>23</v>
      </c>
      <c r="B37" s="25">
        <f t="shared" ref="B37:Q37" si="3">MAX(B7:B36)</f>
        <v>992.2</v>
      </c>
      <c r="C37" s="25">
        <f t="shared" si="3"/>
        <v>992.5</v>
      </c>
      <c r="D37" s="25">
        <f t="shared" si="3"/>
        <v>992.4</v>
      </c>
      <c r="E37" s="25">
        <f t="shared" si="3"/>
        <v>998.61</v>
      </c>
      <c r="F37" s="25">
        <f t="shared" si="3"/>
        <v>991.11</v>
      </c>
      <c r="G37" s="25">
        <f t="shared" si="3"/>
        <v>990.4</v>
      </c>
      <c r="H37" s="25">
        <f t="shared" si="3"/>
        <v>989.74</v>
      </c>
      <c r="I37" s="25">
        <f t="shared" si="3"/>
        <v>989.2</v>
      </c>
      <c r="J37" s="25">
        <f t="shared" si="3"/>
        <v>989</v>
      </c>
      <c r="K37" s="25">
        <f t="shared" si="3"/>
        <v>989.85</v>
      </c>
      <c r="L37" s="25">
        <f t="shared" si="3"/>
        <v>990.42</v>
      </c>
      <c r="M37" s="25">
        <f t="shared" si="3"/>
        <v>990.8</v>
      </c>
      <c r="N37" s="25">
        <f t="shared" si="3"/>
        <v>991.23</v>
      </c>
      <c r="O37" s="26">
        <f t="shared" si="3"/>
        <v>998.61</v>
      </c>
      <c r="P37" s="25">
        <f t="shared" si="3"/>
        <v>988.96</v>
      </c>
      <c r="Q37" s="27">
        <f t="shared" si="3"/>
        <v>990.51230769230767</v>
      </c>
    </row>
    <row r="38" spans="1:17" x14ac:dyDescent="0.25">
      <c r="A38" s="22" t="s">
        <v>24</v>
      </c>
      <c r="B38" s="28">
        <f t="shared" ref="B38:Q38" si="4">MIN(B7:B36)</f>
        <v>989.4</v>
      </c>
      <c r="C38" s="28">
        <f t="shared" si="4"/>
        <v>990</v>
      </c>
      <c r="D38" s="28">
        <f t="shared" si="4"/>
        <v>989.9</v>
      </c>
      <c r="E38" s="28">
        <f t="shared" si="4"/>
        <v>989</v>
      </c>
      <c r="F38" s="28">
        <f t="shared" si="4"/>
        <v>988.5</v>
      </c>
      <c r="G38" s="28">
        <f t="shared" si="4"/>
        <v>987.2</v>
      </c>
      <c r="H38" s="28">
        <f t="shared" si="4"/>
        <v>986.49</v>
      </c>
      <c r="I38" s="28">
        <f t="shared" si="4"/>
        <v>985.88</v>
      </c>
      <c r="J38" s="28">
        <f t="shared" si="4"/>
        <v>985.81</v>
      </c>
      <c r="K38" s="28">
        <f t="shared" si="4"/>
        <v>986.3</v>
      </c>
      <c r="L38" s="28">
        <f t="shared" si="4"/>
        <v>986.77</v>
      </c>
      <c r="M38" s="28">
        <f t="shared" si="4"/>
        <v>978.8</v>
      </c>
      <c r="N38" s="28">
        <f t="shared" si="4"/>
        <v>987.7</v>
      </c>
      <c r="O38" s="29">
        <f t="shared" si="4"/>
        <v>990</v>
      </c>
      <c r="P38" s="28">
        <f t="shared" si="4"/>
        <v>978.8</v>
      </c>
      <c r="Q38" s="30">
        <f t="shared" si="4"/>
        <v>987.69769230769214</v>
      </c>
    </row>
    <row r="39" spans="1:17" ht="15.75" thickBot="1" x14ac:dyDescent="0.3">
      <c r="A39" s="31" t="s">
        <v>25</v>
      </c>
      <c r="B39" s="32">
        <f t="shared" ref="B39:Q39" si="5">AVERAGE(B7:B36)</f>
        <v>990.67499999999984</v>
      </c>
      <c r="C39" s="32">
        <f t="shared" si="5"/>
        <v>991.04999999999984</v>
      </c>
      <c r="D39" s="32">
        <f t="shared" si="5"/>
        <v>990.99800000000005</v>
      </c>
      <c r="E39" s="32">
        <f t="shared" si="5"/>
        <v>990.90799999999967</v>
      </c>
      <c r="F39" s="32">
        <f t="shared" si="5"/>
        <v>989.9463333333332</v>
      </c>
      <c r="G39" s="32">
        <f t="shared" si="5"/>
        <v>989.08499999999981</v>
      </c>
      <c r="H39" s="32">
        <f t="shared" si="5"/>
        <v>988.30933333333314</v>
      </c>
      <c r="I39" s="32">
        <f t="shared" si="5"/>
        <v>987.71066666666661</v>
      </c>
      <c r="J39" s="32">
        <f t="shared" si="5"/>
        <v>987.58866666666665</v>
      </c>
      <c r="K39" s="32">
        <f t="shared" si="5"/>
        <v>987.91466666666668</v>
      </c>
      <c r="L39" s="32">
        <f t="shared" si="5"/>
        <v>988.48733333333337</v>
      </c>
      <c r="M39" s="32">
        <f t="shared" si="5"/>
        <v>988.87433333333342</v>
      </c>
      <c r="N39" s="32">
        <f t="shared" si="5"/>
        <v>989.67766666666671</v>
      </c>
      <c r="O39" s="33">
        <f t="shared" si="5"/>
        <v>991.37933333333308</v>
      </c>
      <c r="P39" s="32">
        <f t="shared" si="5"/>
        <v>987.21033333333321</v>
      </c>
      <c r="Q39" s="34">
        <f t="shared" si="5"/>
        <v>989.32499999999993</v>
      </c>
    </row>
    <row r="40" spans="1:17" ht="15.75" thickTop="1" x14ac:dyDescent="0.25">
      <c r="A40" s="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8"/>
      <c r="B41" s="1"/>
      <c r="C41" s="8" t="str">
        <f>[4]FKLIM.71!M43</f>
        <v>Mengetahui,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8"/>
      <c r="B42" s="1"/>
      <c r="C42" s="8" t="str">
        <f>[4]FKLIM.71!M44</f>
        <v>Kepala Stasiun Klimatologi Kelas IV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8" t="str">
        <f>[4]FKLIM.71!T44</f>
        <v>Pengolah</v>
      </c>
      <c r="P42" s="1"/>
      <c r="Q42" s="1"/>
    </row>
    <row r="43" spans="1:17" x14ac:dyDescent="0.25">
      <c r="A43" s="8"/>
      <c r="B43" s="1"/>
      <c r="C43" s="8" t="s">
        <v>29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8"/>
      <c r="P43" s="1"/>
      <c r="Q43" s="1"/>
    </row>
    <row r="44" spans="1:17" x14ac:dyDescent="0.25">
      <c r="A44" s="8"/>
      <c r="B44" s="1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8"/>
      <c r="P44" s="1"/>
      <c r="Q44" s="1"/>
    </row>
    <row r="45" spans="1:17" x14ac:dyDescent="0.25">
      <c r="A45" s="8"/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8"/>
      <c r="P45" s="1"/>
      <c r="Q45" s="1"/>
    </row>
    <row r="46" spans="1:17" x14ac:dyDescent="0.25">
      <c r="A46" s="8"/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8"/>
      <c r="P46" s="1"/>
      <c r="Q46" s="1"/>
    </row>
    <row r="47" spans="1:17" x14ac:dyDescent="0.25">
      <c r="A47" s="8"/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8"/>
      <c r="P47" s="1"/>
      <c r="Q47" s="1"/>
    </row>
    <row r="48" spans="1:17" x14ac:dyDescent="0.25">
      <c r="A48" s="8"/>
      <c r="B48" s="1"/>
      <c r="C48" s="35" t="str">
        <f>[4]FKLIM.71!M50</f>
        <v>RENI KRANINGTYAS, SP, M.Si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5" t="str">
        <f>[4]FKLIM.71!T50</f>
        <v xml:space="preserve">TIM PEMBUAT LAPORAN </v>
      </c>
      <c r="P48" s="1"/>
      <c r="Q48" s="1"/>
    </row>
    <row r="49" spans="1:17" x14ac:dyDescent="0.25">
      <c r="A49" s="8"/>
      <c r="B49" s="1"/>
      <c r="C49" s="8" t="str">
        <f>[4]FKLIM.71!M51</f>
        <v>NIP.  19740203 199703 2 001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8" t="str">
        <f>[4]FKLIM.71!T51</f>
        <v xml:space="preserve">PETUGAS OPERASIONAL </v>
      </c>
      <c r="P49" s="1"/>
      <c r="Q49" s="1"/>
    </row>
  </sheetData>
  <mergeCells count="1">
    <mergeCell ref="G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Q50"/>
  <sheetViews>
    <sheetView workbookViewId="0">
      <selection activeCell="T46" sqref="T46"/>
    </sheetView>
  </sheetViews>
  <sheetFormatPr defaultRowHeight="15" x14ac:dyDescent="0.25"/>
  <cols>
    <col min="15" max="15" width="10.42578125" bestFit="1" customWidth="1"/>
    <col min="17" max="17" width="13.85546875" customWidth="1"/>
  </cols>
  <sheetData>
    <row r="1" spans="1:17" ht="18" x14ac:dyDescent="0.25">
      <c r="A1" s="1"/>
      <c r="B1" s="1"/>
      <c r="C1" s="1"/>
      <c r="D1" s="2"/>
      <c r="E1" s="3"/>
      <c r="F1" s="3"/>
      <c r="G1" s="41" t="s">
        <v>31</v>
      </c>
      <c r="H1" s="3"/>
      <c r="I1" s="3"/>
      <c r="J1" s="3"/>
      <c r="K1" s="3"/>
      <c r="L1" s="4"/>
      <c r="M1" s="4"/>
      <c r="N1" s="4"/>
      <c r="O1" s="3"/>
      <c r="P1" s="3"/>
      <c r="Q1" s="3"/>
    </row>
    <row r="2" spans="1:17" ht="18" x14ac:dyDescent="0.25">
      <c r="A2" s="5" t="s">
        <v>0</v>
      </c>
      <c r="B2" s="3"/>
      <c r="C2" s="3" t="s">
        <v>1</v>
      </c>
      <c r="D2" s="2"/>
      <c r="E2" s="3"/>
      <c r="F2" s="3"/>
      <c r="G2" s="6"/>
      <c r="H2" s="4"/>
      <c r="I2" s="4"/>
      <c r="J2" s="4"/>
      <c r="K2" s="4"/>
      <c r="L2" s="4"/>
      <c r="M2" s="4"/>
      <c r="N2" s="4"/>
      <c r="O2" s="3"/>
      <c r="P2" s="3"/>
      <c r="Q2" s="3"/>
    </row>
    <row r="3" spans="1:17" ht="18" x14ac:dyDescent="0.25">
      <c r="A3" s="5" t="s">
        <v>2</v>
      </c>
      <c r="B3" s="3"/>
      <c r="C3" s="36" t="s">
        <v>32</v>
      </c>
      <c r="D3" s="2"/>
      <c r="E3" s="7"/>
      <c r="F3" s="3"/>
      <c r="G3" s="99"/>
      <c r="H3" s="100"/>
      <c r="I3" s="100"/>
      <c r="J3" s="100"/>
      <c r="K3" s="100"/>
      <c r="L3" s="3"/>
      <c r="M3" s="3"/>
      <c r="N3" s="3"/>
      <c r="O3" s="3"/>
      <c r="P3" s="3"/>
      <c r="Q3" s="3"/>
    </row>
    <row r="4" spans="1:17" ht="15.75" x14ac:dyDescent="0.25">
      <c r="A4" s="5" t="s">
        <v>3</v>
      </c>
      <c r="B4" s="3"/>
      <c r="C4" s="3" t="s">
        <v>4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6.5" thickBot="1" x14ac:dyDescent="0.3">
      <c r="A5" s="8"/>
      <c r="B5" s="1"/>
      <c r="C5" s="1"/>
      <c r="D5" s="1"/>
      <c r="E5" s="1"/>
      <c r="F5" s="1"/>
      <c r="G5" s="1"/>
      <c r="H5" s="1"/>
      <c r="I5" s="1"/>
      <c r="J5" s="1"/>
      <c r="K5" s="3"/>
      <c r="L5" s="9" t="s">
        <v>5</v>
      </c>
      <c r="M5" s="9"/>
      <c r="N5" s="10" t="str">
        <f>'[4]input data'!R1121</f>
        <v xml:space="preserve">TIM PEMBUAT LAPORAN </v>
      </c>
      <c r="O5" s="9"/>
      <c r="P5" s="9"/>
      <c r="Q5" s="1"/>
    </row>
    <row r="6" spans="1:17" ht="16.5" thickTop="1" thickBot="1" x14ac:dyDescent="0.3">
      <c r="A6" s="11" t="s">
        <v>6</v>
      </c>
      <c r="B6" s="12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4" t="s">
        <v>20</v>
      </c>
      <c r="P6" s="13" t="s">
        <v>21</v>
      </c>
      <c r="Q6" s="15" t="s">
        <v>22</v>
      </c>
    </row>
    <row r="7" spans="1:17" ht="15.75" thickTop="1" x14ac:dyDescent="0.25">
      <c r="A7" s="17">
        <v>1</v>
      </c>
      <c r="B7" s="18">
        <v>989.9</v>
      </c>
      <c r="C7" s="18">
        <v>990.4</v>
      </c>
      <c r="D7" s="18">
        <v>990.4</v>
      </c>
      <c r="E7" s="18">
        <v>989.9</v>
      </c>
      <c r="F7" s="18">
        <v>989</v>
      </c>
      <c r="G7" s="18">
        <v>988.1</v>
      </c>
      <c r="H7" s="18">
        <v>987.5</v>
      </c>
      <c r="I7" s="18">
        <v>987.2</v>
      </c>
      <c r="J7" s="18">
        <v>987</v>
      </c>
      <c r="K7" s="18">
        <v>986.8</v>
      </c>
      <c r="L7" s="18">
        <v>987.1</v>
      </c>
      <c r="M7" s="18">
        <v>987.8</v>
      </c>
      <c r="N7" s="18">
        <v>988.6</v>
      </c>
      <c r="O7" s="19">
        <f>MAX(B7:N7)</f>
        <v>990.4</v>
      </c>
      <c r="P7" s="20">
        <f>MIN(B7:N7)</f>
        <v>986.8</v>
      </c>
      <c r="Q7" s="21">
        <f>AVERAGE(B7:N7)</f>
        <v>988.43846153846164</v>
      </c>
    </row>
    <row r="8" spans="1:17" x14ac:dyDescent="0.25">
      <c r="A8" s="22">
        <v>2</v>
      </c>
      <c r="B8" s="18">
        <v>989.3</v>
      </c>
      <c r="C8" s="18">
        <v>989.3</v>
      </c>
      <c r="D8" s="18">
        <v>989.3</v>
      </c>
      <c r="E8" s="18">
        <v>989.3</v>
      </c>
      <c r="F8" s="18">
        <v>988.3</v>
      </c>
      <c r="G8" s="18">
        <v>987.4</v>
      </c>
      <c r="H8" s="18">
        <v>987</v>
      </c>
      <c r="I8" s="18">
        <v>986.4</v>
      </c>
      <c r="J8" s="18">
        <v>986.6</v>
      </c>
      <c r="K8" s="18">
        <v>986.8</v>
      </c>
      <c r="L8" s="18">
        <v>987.2</v>
      </c>
      <c r="M8" s="18">
        <v>987.8</v>
      </c>
      <c r="N8" s="18">
        <v>988.4</v>
      </c>
      <c r="O8" s="19">
        <f t="shared" ref="O8:O36" si="0">MAX(B8:N8)</f>
        <v>989.3</v>
      </c>
      <c r="P8" s="20">
        <f t="shared" ref="P8:P36" si="1">MIN(B8:N8)</f>
        <v>986.4</v>
      </c>
      <c r="Q8" s="21">
        <f t="shared" ref="Q8:Q36" si="2">AVERAGE(B8:N8)</f>
        <v>987.9307692307691</v>
      </c>
    </row>
    <row r="9" spans="1:17" x14ac:dyDescent="0.25">
      <c r="A9" s="22">
        <v>3</v>
      </c>
      <c r="B9" s="18">
        <v>988.7</v>
      </c>
      <c r="C9" s="18">
        <v>989.1</v>
      </c>
      <c r="D9" s="18">
        <v>989</v>
      </c>
      <c r="E9" s="18">
        <v>988.4</v>
      </c>
      <c r="F9" s="18">
        <v>987.6</v>
      </c>
      <c r="G9" s="18">
        <v>987.2</v>
      </c>
      <c r="H9" s="18">
        <v>986.2</v>
      </c>
      <c r="I9" s="18">
        <v>985.7</v>
      </c>
      <c r="J9" s="18">
        <v>985.7</v>
      </c>
      <c r="K9" s="18">
        <v>985.4</v>
      </c>
      <c r="L9" s="18">
        <v>986.5</v>
      </c>
      <c r="M9" s="18">
        <v>987.7</v>
      </c>
      <c r="N9" s="18">
        <v>988.1</v>
      </c>
      <c r="O9" s="19">
        <f t="shared" si="0"/>
        <v>989.1</v>
      </c>
      <c r="P9" s="20">
        <f t="shared" si="1"/>
        <v>985.4</v>
      </c>
      <c r="Q9" s="21">
        <f t="shared" si="2"/>
        <v>987.33076923076931</v>
      </c>
    </row>
    <row r="10" spans="1:17" x14ac:dyDescent="0.25">
      <c r="A10" s="22">
        <v>4</v>
      </c>
      <c r="B10" s="18">
        <v>989.9</v>
      </c>
      <c r="C10" s="18">
        <v>990.1</v>
      </c>
      <c r="D10" s="18">
        <v>989.8</v>
      </c>
      <c r="E10" s="18">
        <v>989.4</v>
      </c>
      <c r="F10" s="18">
        <v>988.3</v>
      </c>
      <c r="G10" s="18">
        <v>987.4</v>
      </c>
      <c r="H10" s="18">
        <v>986.8</v>
      </c>
      <c r="I10" s="18">
        <v>985.9</v>
      </c>
      <c r="J10" s="18">
        <v>985.9</v>
      </c>
      <c r="K10" s="18">
        <v>986.1</v>
      </c>
      <c r="L10" s="18">
        <v>986.5</v>
      </c>
      <c r="M10" s="18">
        <v>987.1</v>
      </c>
      <c r="N10" s="18">
        <v>987.7</v>
      </c>
      <c r="O10" s="19">
        <f t="shared" si="0"/>
        <v>990.1</v>
      </c>
      <c r="P10" s="20">
        <f t="shared" si="1"/>
        <v>985.9</v>
      </c>
      <c r="Q10" s="21">
        <f t="shared" si="2"/>
        <v>987.76153846153852</v>
      </c>
    </row>
    <row r="11" spans="1:17" x14ac:dyDescent="0.25">
      <c r="A11" s="22">
        <v>5</v>
      </c>
      <c r="B11" s="18">
        <v>989.7</v>
      </c>
      <c r="C11" s="18">
        <v>989.8</v>
      </c>
      <c r="D11" s="18">
        <v>989.7</v>
      </c>
      <c r="E11" s="18">
        <v>989.4</v>
      </c>
      <c r="F11" s="18">
        <v>988.1</v>
      </c>
      <c r="G11" s="18">
        <v>988.2</v>
      </c>
      <c r="H11" s="18">
        <v>987.5</v>
      </c>
      <c r="I11" s="18">
        <v>987.1</v>
      </c>
      <c r="J11" s="18">
        <v>987</v>
      </c>
      <c r="K11" s="18">
        <v>987.1</v>
      </c>
      <c r="L11" s="18">
        <v>987.6</v>
      </c>
      <c r="M11" s="18">
        <v>988.7</v>
      </c>
      <c r="N11" s="18">
        <v>989.2</v>
      </c>
      <c r="O11" s="19">
        <f t="shared" si="0"/>
        <v>989.8</v>
      </c>
      <c r="P11" s="20">
        <f t="shared" si="1"/>
        <v>987</v>
      </c>
      <c r="Q11" s="21">
        <f t="shared" si="2"/>
        <v>988.3923076923079</v>
      </c>
    </row>
    <row r="12" spans="1:17" x14ac:dyDescent="0.25">
      <c r="A12" s="22">
        <v>6</v>
      </c>
      <c r="B12" s="18">
        <v>991.7</v>
      </c>
      <c r="C12" s="18">
        <v>992</v>
      </c>
      <c r="D12" s="18">
        <v>992</v>
      </c>
      <c r="E12" s="18">
        <v>991.6</v>
      </c>
      <c r="F12" s="18">
        <v>991.1</v>
      </c>
      <c r="G12" s="18">
        <v>990.4</v>
      </c>
      <c r="H12" s="18">
        <v>989.5</v>
      </c>
      <c r="I12" s="18">
        <v>989</v>
      </c>
      <c r="J12" s="18">
        <v>989.13</v>
      </c>
      <c r="K12" s="18">
        <v>989.1</v>
      </c>
      <c r="L12" s="18">
        <v>989.8</v>
      </c>
      <c r="M12" s="18">
        <v>990.5</v>
      </c>
      <c r="N12" s="18">
        <v>990.8</v>
      </c>
      <c r="O12" s="19">
        <f t="shared" si="0"/>
        <v>992</v>
      </c>
      <c r="P12" s="20">
        <f t="shared" si="1"/>
        <v>989</v>
      </c>
      <c r="Q12" s="21">
        <f t="shared" si="2"/>
        <v>990.50999999999976</v>
      </c>
    </row>
    <row r="13" spans="1:17" x14ac:dyDescent="0.25">
      <c r="A13" s="22">
        <v>7</v>
      </c>
      <c r="B13" s="18">
        <v>992.4</v>
      </c>
      <c r="C13" s="18">
        <v>992.9</v>
      </c>
      <c r="D13" s="18">
        <v>992.9</v>
      </c>
      <c r="E13" s="18">
        <v>992.3</v>
      </c>
      <c r="F13" s="18">
        <v>991.6</v>
      </c>
      <c r="G13" s="18">
        <v>990</v>
      </c>
      <c r="H13" s="18">
        <v>989.3</v>
      </c>
      <c r="I13" s="18">
        <v>988.47</v>
      </c>
      <c r="J13" s="18">
        <v>988.29</v>
      </c>
      <c r="K13" s="18">
        <v>988.53</v>
      </c>
      <c r="L13" s="18">
        <v>989.1</v>
      </c>
      <c r="M13" s="18">
        <v>989.99</v>
      </c>
      <c r="N13" s="18">
        <v>990.63</v>
      </c>
      <c r="O13" s="19">
        <f>MAX(B13:N13)</f>
        <v>992.9</v>
      </c>
      <c r="P13" s="20">
        <f>MIN(B13:N13)</f>
        <v>988.29</v>
      </c>
      <c r="Q13" s="21">
        <f>AVERAGE(B13:N13)</f>
        <v>990.49307692307696</v>
      </c>
    </row>
    <row r="14" spans="1:17" x14ac:dyDescent="0.25">
      <c r="A14" s="22">
        <v>8</v>
      </c>
      <c r="B14" s="18">
        <v>992</v>
      </c>
      <c r="C14" s="18">
        <v>992.4</v>
      </c>
      <c r="D14" s="18">
        <v>992.2</v>
      </c>
      <c r="E14" s="18">
        <v>991.7</v>
      </c>
      <c r="F14" s="18">
        <v>991.1</v>
      </c>
      <c r="G14" s="18">
        <v>990.2</v>
      </c>
      <c r="H14" s="18">
        <v>989</v>
      </c>
      <c r="I14" s="18">
        <v>988.6</v>
      </c>
      <c r="J14" s="18">
        <v>988.3</v>
      </c>
      <c r="K14" s="18">
        <v>988.4</v>
      </c>
      <c r="L14" s="18">
        <v>989</v>
      </c>
      <c r="M14" s="18">
        <v>989.4</v>
      </c>
      <c r="N14" s="18">
        <v>989.7</v>
      </c>
      <c r="O14" s="19">
        <f t="shared" si="0"/>
        <v>992.4</v>
      </c>
      <c r="P14" s="20">
        <f t="shared" si="1"/>
        <v>988.3</v>
      </c>
      <c r="Q14" s="21">
        <f t="shared" si="2"/>
        <v>990.15384615384619</v>
      </c>
    </row>
    <row r="15" spans="1:17" x14ac:dyDescent="0.25">
      <c r="A15" s="22">
        <v>9</v>
      </c>
      <c r="B15" s="18">
        <v>991.07</v>
      </c>
      <c r="C15" s="18">
        <v>991.49</v>
      </c>
      <c r="D15" s="18">
        <v>991.31</v>
      </c>
      <c r="E15" s="18">
        <v>990.91</v>
      </c>
      <c r="F15" s="18">
        <v>990.17</v>
      </c>
      <c r="G15" s="18">
        <v>989.17</v>
      </c>
      <c r="H15" s="18">
        <v>988.6</v>
      </c>
      <c r="I15" s="18">
        <v>988.5</v>
      </c>
      <c r="J15" s="18">
        <v>988.4</v>
      </c>
      <c r="K15" s="18">
        <v>988.6</v>
      </c>
      <c r="L15" s="18">
        <v>989.1</v>
      </c>
      <c r="M15" s="18">
        <v>989.5</v>
      </c>
      <c r="N15" s="18">
        <v>989.9</v>
      </c>
      <c r="O15" s="19">
        <f t="shared" si="0"/>
        <v>991.49</v>
      </c>
      <c r="P15" s="20">
        <f t="shared" si="1"/>
        <v>988.4</v>
      </c>
      <c r="Q15" s="21">
        <f t="shared" si="2"/>
        <v>989.74769230769243</v>
      </c>
    </row>
    <row r="16" spans="1:17" x14ac:dyDescent="0.25">
      <c r="A16" s="22">
        <v>10</v>
      </c>
      <c r="B16" s="18">
        <v>990.8</v>
      </c>
      <c r="C16" s="18">
        <v>991.1</v>
      </c>
      <c r="D16" s="18">
        <v>990.9</v>
      </c>
      <c r="E16" s="18">
        <v>990.2</v>
      </c>
      <c r="F16" s="18">
        <v>989.5</v>
      </c>
      <c r="G16" s="18">
        <v>989.1</v>
      </c>
      <c r="H16" s="18">
        <v>988.1</v>
      </c>
      <c r="I16" s="18">
        <v>987.7</v>
      </c>
      <c r="J16" s="18">
        <v>987.4</v>
      </c>
      <c r="K16" s="18">
        <v>987.6</v>
      </c>
      <c r="L16" s="18">
        <v>988.2</v>
      </c>
      <c r="M16" s="18">
        <v>988.9</v>
      </c>
      <c r="N16" s="18">
        <v>989.8</v>
      </c>
      <c r="O16" s="19">
        <f t="shared" si="0"/>
        <v>991.1</v>
      </c>
      <c r="P16" s="20">
        <f t="shared" si="1"/>
        <v>987.4</v>
      </c>
      <c r="Q16" s="21">
        <f t="shared" si="2"/>
        <v>989.17692307692312</v>
      </c>
    </row>
    <row r="17" spans="1:17" x14ac:dyDescent="0.25">
      <c r="A17" s="22">
        <v>11</v>
      </c>
      <c r="B17" s="18">
        <v>991.1</v>
      </c>
      <c r="C17" s="18">
        <v>991.7</v>
      </c>
      <c r="D17" s="18">
        <v>991.6</v>
      </c>
      <c r="E17" s="18">
        <v>991.1</v>
      </c>
      <c r="F17" s="18">
        <v>990.5</v>
      </c>
      <c r="G17" s="18">
        <v>929.4</v>
      </c>
      <c r="H17" s="18">
        <v>988.8</v>
      </c>
      <c r="I17" s="18">
        <v>988.43</v>
      </c>
      <c r="J17" s="18">
        <v>988.53</v>
      </c>
      <c r="K17" s="18">
        <v>988.53</v>
      </c>
      <c r="L17" s="18">
        <v>989.18</v>
      </c>
      <c r="M17" s="18">
        <v>990.12</v>
      </c>
      <c r="N17" s="18">
        <v>990.45</v>
      </c>
      <c r="O17" s="19">
        <f t="shared" si="0"/>
        <v>991.7</v>
      </c>
      <c r="P17" s="20">
        <f t="shared" si="1"/>
        <v>929.4</v>
      </c>
      <c r="Q17" s="21">
        <f t="shared" si="2"/>
        <v>985.34153846153868</v>
      </c>
    </row>
    <row r="18" spans="1:17" x14ac:dyDescent="0.25">
      <c r="A18" s="22">
        <v>12</v>
      </c>
      <c r="B18" s="18">
        <v>990.8</v>
      </c>
      <c r="C18" s="18">
        <v>991.1</v>
      </c>
      <c r="D18" s="18">
        <v>991.1</v>
      </c>
      <c r="E18" s="18">
        <v>990.5</v>
      </c>
      <c r="F18" s="18">
        <v>989.5</v>
      </c>
      <c r="G18" s="18">
        <v>988.1</v>
      </c>
      <c r="H18" s="18">
        <v>987.6</v>
      </c>
      <c r="I18" s="18">
        <v>986.54</v>
      </c>
      <c r="J18" s="18">
        <v>985.9</v>
      </c>
      <c r="K18" s="18">
        <v>986.18</v>
      </c>
      <c r="L18" s="18">
        <v>986.64</v>
      </c>
      <c r="M18" s="18">
        <v>987.49</v>
      </c>
      <c r="N18" s="18">
        <v>988.3</v>
      </c>
      <c r="O18" s="19">
        <f t="shared" si="0"/>
        <v>991.1</v>
      </c>
      <c r="P18" s="20">
        <f t="shared" si="1"/>
        <v>985.9</v>
      </c>
      <c r="Q18" s="21">
        <f t="shared" si="2"/>
        <v>988.44230769230774</v>
      </c>
    </row>
    <row r="19" spans="1:17" x14ac:dyDescent="0.25">
      <c r="A19" s="22">
        <v>13</v>
      </c>
      <c r="B19" s="18">
        <v>989.5</v>
      </c>
      <c r="C19" s="18">
        <v>989.8</v>
      </c>
      <c r="D19" s="18">
        <v>989.6</v>
      </c>
      <c r="E19" s="18">
        <v>989.5</v>
      </c>
      <c r="F19" s="18">
        <v>988.7</v>
      </c>
      <c r="G19" s="18">
        <v>987.7</v>
      </c>
      <c r="H19" s="18">
        <v>987</v>
      </c>
      <c r="I19" s="18">
        <v>986.4</v>
      </c>
      <c r="J19" s="18">
        <v>986.2</v>
      </c>
      <c r="K19" s="18">
        <v>986.3</v>
      </c>
      <c r="L19" s="18">
        <v>986.9</v>
      </c>
      <c r="M19" s="18">
        <v>987.4</v>
      </c>
      <c r="N19" s="18">
        <v>988.3</v>
      </c>
      <c r="O19" s="19">
        <f t="shared" si="0"/>
        <v>989.8</v>
      </c>
      <c r="P19" s="20">
        <f t="shared" si="1"/>
        <v>986.2</v>
      </c>
      <c r="Q19" s="21">
        <f t="shared" si="2"/>
        <v>987.94615384615361</v>
      </c>
    </row>
    <row r="20" spans="1:17" x14ac:dyDescent="0.25">
      <c r="A20" s="22">
        <v>14</v>
      </c>
      <c r="B20" s="18">
        <v>990</v>
      </c>
      <c r="C20" s="18">
        <v>990.3</v>
      </c>
      <c r="D20" s="18">
        <v>990.4</v>
      </c>
      <c r="E20" s="18">
        <v>990</v>
      </c>
      <c r="F20" s="18">
        <v>989.3</v>
      </c>
      <c r="G20" s="18">
        <v>988.1</v>
      </c>
      <c r="H20" s="18">
        <v>987.2</v>
      </c>
      <c r="I20" s="18">
        <v>986.4</v>
      </c>
      <c r="J20" s="18">
        <v>986.2</v>
      </c>
      <c r="K20" s="18">
        <v>986.3</v>
      </c>
      <c r="L20" s="18">
        <v>986.8</v>
      </c>
      <c r="M20" s="18">
        <v>987.8</v>
      </c>
      <c r="N20" s="18">
        <v>988.5</v>
      </c>
      <c r="O20" s="19">
        <f t="shared" si="0"/>
        <v>990.4</v>
      </c>
      <c r="P20" s="20">
        <f t="shared" si="1"/>
        <v>986.2</v>
      </c>
      <c r="Q20" s="21">
        <f t="shared" si="2"/>
        <v>988.25384615384598</v>
      </c>
    </row>
    <row r="21" spans="1:17" x14ac:dyDescent="0.25">
      <c r="A21" s="22">
        <v>15</v>
      </c>
      <c r="B21" s="18">
        <v>990.4</v>
      </c>
      <c r="C21" s="18">
        <v>990.7</v>
      </c>
      <c r="D21" s="18">
        <v>990.4</v>
      </c>
      <c r="E21" s="18">
        <v>989.9</v>
      </c>
      <c r="F21" s="18">
        <v>989.9</v>
      </c>
      <c r="G21" s="18">
        <v>988.6</v>
      </c>
      <c r="H21" s="18">
        <v>987.9</v>
      </c>
      <c r="I21" s="18">
        <v>987.21</v>
      </c>
      <c r="J21" s="18">
        <v>986.92</v>
      </c>
      <c r="K21" s="18">
        <v>983.92</v>
      </c>
      <c r="L21" s="18">
        <v>987.8</v>
      </c>
      <c r="M21" s="18">
        <v>988.37</v>
      </c>
      <c r="N21" s="18">
        <v>988.87</v>
      </c>
      <c r="O21" s="19">
        <f t="shared" si="0"/>
        <v>990.7</v>
      </c>
      <c r="P21" s="20">
        <f t="shared" si="1"/>
        <v>983.92</v>
      </c>
      <c r="Q21" s="21">
        <f t="shared" si="2"/>
        <v>988.53000000000009</v>
      </c>
    </row>
    <row r="22" spans="1:17" x14ac:dyDescent="0.25">
      <c r="A22" s="22">
        <v>16</v>
      </c>
      <c r="B22" s="18">
        <v>991.8</v>
      </c>
      <c r="C22" s="18">
        <v>992.5</v>
      </c>
      <c r="D22" s="18">
        <v>992.8</v>
      </c>
      <c r="E22" s="18">
        <v>992.8</v>
      </c>
      <c r="F22" s="18">
        <v>992.1</v>
      </c>
      <c r="G22" s="18">
        <v>991.2</v>
      </c>
      <c r="H22" s="18">
        <v>990.8</v>
      </c>
      <c r="I22" s="18">
        <v>990.3</v>
      </c>
      <c r="J22" s="18">
        <v>990.5</v>
      </c>
      <c r="K22" s="18">
        <v>990.4</v>
      </c>
      <c r="L22" s="18">
        <v>990.8</v>
      </c>
      <c r="M22" s="18">
        <v>991</v>
      </c>
      <c r="N22" s="18">
        <v>991.5</v>
      </c>
      <c r="O22" s="19">
        <f t="shared" si="0"/>
        <v>992.8</v>
      </c>
      <c r="P22" s="20">
        <f t="shared" si="1"/>
        <v>990.3</v>
      </c>
      <c r="Q22" s="21">
        <f t="shared" si="2"/>
        <v>991.42307692307679</v>
      </c>
    </row>
    <row r="23" spans="1:17" x14ac:dyDescent="0.25">
      <c r="A23" s="22">
        <v>17</v>
      </c>
      <c r="B23" s="18">
        <v>992.1</v>
      </c>
      <c r="C23" s="18">
        <v>992.5</v>
      </c>
      <c r="D23" s="18">
        <v>992.4</v>
      </c>
      <c r="E23" s="18">
        <v>991.7</v>
      </c>
      <c r="F23" s="18">
        <v>991</v>
      </c>
      <c r="G23" s="18">
        <v>990.5</v>
      </c>
      <c r="H23" s="18">
        <v>990</v>
      </c>
      <c r="I23" s="18">
        <v>989.4</v>
      </c>
      <c r="J23" s="18">
        <v>989.4</v>
      </c>
      <c r="K23" s="18">
        <v>989.3</v>
      </c>
      <c r="L23" s="18">
        <v>989.3</v>
      </c>
      <c r="M23" s="18">
        <v>989.4</v>
      </c>
      <c r="N23" s="18">
        <v>990.1</v>
      </c>
      <c r="O23" s="19">
        <f t="shared" si="0"/>
        <v>992.5</v>
      </c>
      <c r="P23" s="20">
        <f t="shared" si="1"/>
        <v>989.3</v>
      </c>
      <c r="Q23" s="21">
        <f t="shared" si="2"/>
        <v>990.54615384615374</v>
      </c>
    </row>
    <row r="24" spans="1:17" x14ac:dyDescent="0.25">
      <c r="A24" s="22">
        <v>18</v>
      </c>
      <c r="B24" s="18">
        <v>991.78</v>
      </c>
      <c r="C24" s="18">
        <v>991.63</v>
      </c>
      <c r="D24" s="18">
        <v>991.48</v>
      </c>
      <c r="E24" s="18">
        <v>990.96</v>
      </c>
      <c r="F24" s="18">
        <v>990.19</v>
      </c>
      <c r="G24" s="18">
        <v>989.24</v>
      </c>
      <c r="H24" s="18">
        <v>988.63</v>
      </c>
      <c r="I24" s="18">
        <v>988</v>
      </c>
      <c r="J24" s="18">
        <v>987.7</v>
      </c>
      <c r="K24" s="18">
        <v>987.1</v>
      </c>
      <c r="L24" s="18">
        <v>987.2</v>
      </c>
      <c r="M24" s="18">
        <v>989</v>
      </c>
      <c r="N24" s="18">
        <v>989.7</v>
      </c>
      <c r="O24" s="19">
        <f t="shared" si="0"/>
        <v>991.78</v>
      </c>
      <c r="P24" s="20">
        <f t="shared" si="1"/>
        <v>987.1</v>
      </c>
      <c r="Q24" s="21">
        <f t="shared" si="2"/>
        <v>989.43153846153859</v>
      </c>
    </row>
    <row r="25" spans="1:17" x14ac:dyDescent="0.25">
      <c r="A25" s="22">
        <v>19</v>
      </c>
      <c r="B25" s="18">
        <v>990.9</v>
      </c>
      <c r="C25" s="18">
        <v>991.2</v>
      </c>
      <c r="D25" s="18">
        <v>991</v>
      </c>
      <c r="E25" s="18">
        <v>990.5</v>
      </c>
      <c r="F25" s="18">
        <v>989.7</v>
      </c>
      <c r="G25" s="18">
        <v>988.8</v>
      </c>
      <c r="H25" s="18">
        <v>988</v>
      </c>
      <c r="I25" s="18">
        <v>987.2</v>
      </c>
      <c r="J25" s="18">
        <v>986.9</v>
      </c>
      <c r="K25" s="18">
        <v>987.4</v>
      </c>
      <c r="L25" s="18">
        <v>987.9</v>
      </c>
      <c r="M25" s="18">
        <v>988.5</v>
      </c>
      <c r="N25" s="18">
        <v>988.9</v>
      </c>
      <c r="O25" s="19">
        <f t="shared" si="0"/>
        <v>991.2</v>
      </c>
      <c r="P25" s="20">
        <f t="shared" si="1"/>
        <v>986.9</v>
      </c>
      <c r="Q25" s="21">
        <f t="shared" si="2"/>
        <v>988.99230769230769</v>
      </c>
    </row>
    <row r="26" spans="1:17" x14ac:dyDescent="0.25">
      <c r="A26" s="22">
        <v>20</v>
      </c>
      <c r="B26" s="18">
        <v>990.4</v>
      </c>
      <c r="C26" s="18">
        <v>990.7</v>
      </c>
      <c r="D26" s="18">
        <v>990.5</v>
      </c>
      <c r="E26" s="18">
        <v>989.4</v>
      </c>
      <c r="F26" s="18">
        <v>989.3</v>
      </c>
      <c r="G26" s="18">
        <v>988.8</v>
      </c>
      <c r="H26" s="18">
        <v>988.2</v>
      </c>
      <c r="I26" s="18">
        <v>987.5</v>
      </c>
      <c r="J26" s="18">
        <v>987.9</v>
      </c>
      <c r="K26" s="18">
        <v>988.7</v>
      </c>
      <c r="L26" s="18">
        <v>989.2</v>
      </c>
      <c r="M26" s="18">
        <v>989.6</v>
      </c>
      <c r="N26" s="18">
        <v>990.8</v>
      </c>
      <c r="O26" s="19">
        <f t="shared" si="0"/>
        <v>990.8</v>
      </c>
      <c r="P26" s="20">
        <f t="shared" si="1"/>
        <v>987.5</v>
      </c>
      <c r="Q26" s="21">
        <f t="shared" si="2"/>
        <v>989.30769230769249</v>
      </c>
    </row>
    <row r="27" spans="1:17" x14ac:dyDescent="0.25">
      <c r="A27" s="22">
        <v>21</v>
      </c>
      <c r="B27" s="18">
        <v>992.5</v>
      </c>
      <c r="C27" s="18">
        <v>992.7</v>
      </c>
      <c r="D27" s="18">
        <v>992.2</v>
      </c>
      <c r="E27" s="18">
        <v>991.9</v>
      </c>
      <c r="F27" s="18">
        <v>991.4</v>
      </c>
      <c r="G27" s="18">
        <v>990.3</v>
      </c>
      <c r="H27" s="18">
        <v>989.7</v>
      </c>
      <c r="I27" s="18">
        <v>989.2</v>
      </c>
      <c r="J27" s="18">
        <v>989.2</v>
      </c>
      <c r="K27" s="18">
        <v>989.2</v>
      </c>
      <c r="L27" s="18">
        <v>989.8</v>
      </c>
      <c r="M27" s="18">
        <v>990.4</v>
      </c>
      <c r="N27" s="18">
        <v>990.8</v>
      </c>
      <c r="O27" s="19">
        <f t="shared" si="0"/>
        <v>992.7</v>
      </c>
      <c r="P27" s="20">
        <f t="shared" si="1"/>
        <v>989.2</v>
      </c>
      <c r="Q27" s="21">
        <f t="shared" si="2"/>
        <v>990.71538461538455</v>
      </c>
    </row>
    <row r="28" spans="1:17" x14ac:dyDescent="0.25">
      <c r="A28" s="22">
        <v>22</v>
      </c>
      <c r="B28" s="18">
        <v>992.4</v>
      </c>
      <c r="C28" s="18">
        <v>992.4</v>
      </c>
      <c r="D28" s="18">
        <v>992.8</v>
      </c>
      <c r="E28" s="18">
        <v>992.6</v>
      </c>
      <c r="F28" s="18">
        <v>992.2</v>
      </c>
      <c r="G28" s="18">
        <v>991.3</v>
      </c>
      <c r="H28" s="18">
        <v>990.3</v>
      </c>
      <c r="I28" s="18">
        <v>989.5</v>
      </c>
      <c r="J28" s="18">
        <v>989.3</v>
      </c>
      <c r="K28" s="18">
        <v>989.5</v>
      </c>
      <c r="L28" s="18">
        <v>990.1</v>
      </c>
      <c r="M28" s="18">
        <v>990.9</v>
      </c>
      <c r="N28" s="18">
        <v>991.2</v>
      </c>
      <c r="O28" s="19">
        <f>MAX(B28:N28)</f>
        <v>992.8</v>
      </c>
      <c r="P28" s="20">
        <f t="shared" si="1"/>
        <v>989.3</v>
      </c>
      <c r="Q28" s="21">
        <f t="shared" si="2"/>
        <v>991.11538461538464</v>
      </c>
    </row>
    <row r="29" spans="1:17" x14ac:dyDescent="0.25">
      <c r="A29" s="22">
        <v>23</v>
      </c>
      <c r="B29" s="18">
        <v>991.6</v>
      </c>
      <c r="C29" s="18">
        <v>992.3</v>
      </c>
      <c r="D29" s="18">
        <v>992.2</v>
      </c>
      <c r="E29" s="18">
        <v>991.8</v>
      </c>
      <c r="F29" s="18">
        <v>991</v>
      </c>
      <c r="G29" s="18">
        <v>990.5</v>
      </c>
      <c r="H29" s="18">
        <v>989.6</v>
      </c>
      <c r="I29" s="18">
        <v>989</v>
      </c>
      <c r="J29" s="18">
        <v>988.9</v>
      </c>
      <c r="K29" s="18">
        <v>989.2</v>
      </c>
      <c r="L29" s="18">
        <v>989.6</v>
      </c>
      <c r="M29" s="18">
        <v>989.8</v>
      </c>
      <c r="N29" s="18">
        <v>990.5</v>
      </c>
      <c r="O29" s="19">
        <f t="shared" si="0"/>
        <v>992.3</v>
      </c>
      <c r="P29" s="20">
        <f t="shared" si="1"/>
        <v>988.9</v>
      </c>
      <c r="Q29" s="21">
        <f t="shared" si="2"/>
        <v>990.46153846153857</v>
      </c>
    </row>
    <row r="30" spans="1:17" x14ac:dyDescent="0.25">
      <c r="A30" s="22">
        <v>24</v>
      </c>
      <c r="B30" s="18">
        <v>990.4</v>
      </c>
      <c r="C30" s="18">
        <v>991.2</v>
      </c>
      <c r="D30" s="18">
        <v>990.9</v>
      </c>
      <c r="E30" s="18">
        <v>990.4</v>
      </c>
      <c r="F30" s="18">
        <v>989.8</v>
      </c>
      <c r="G30" s="18">
        <v>988.9</v>
      </c>
      <c r="H30" s="18">
        <v>988.4</v>
      </c>
      <c r="I30" s="18">
        <v>987.6</v>
      </c>
      <c r="J30" s="18">
        <v>987.3</v>
      </c>
      <c r="K30" s="18">
        <v>987.7</v>
      </c>
      <c r="L30" s="18">
        <v>988.2</v>
      </c>
      <c r="M30" s="18">
        <v>988.9</v>
      </c>
      <c r="N30" s="18">
        <v>989.6</v>
      </c>
      <c r="O30" s="19">
        <f t="shared" si="0"/>
        <v>991.2</v>
      </c>
      <c r="P30" s="20">
        <f t="shared" si="1"/>
        <v>987.3</v>
      </c>
      <c r="Q30" s="21">
        <f t="shared" si="2"/>
        <v>989.17692307692312</v>
      </c>
    </row>
    <row r="31" spans="1:17" x14ac:dyDescent="0.25">
      <c r="A31" s="22">
        <v>25</v>
      </c>
      <c r="B31" s="18">
        <v>991.2</v>
      </c>
      <c r="C31" s="18">
        <v>991.6</v>
      </c>
      <c r="D31" s="18">
        <v>991.5</v>
      </c>
      <c r="E31" s="18">
        <v>990.8</v>
      </c>
      <c r="F31" s="18">
        <v>990.2</v>
      </c>
      <c r="G31" s="18">
        <v>989.4</v>
      </c>
      <c r="H31" s="18">
        <v>988.9</v>
      </c>
      <c r="I31" s="18">
        <v>988.2</v>
      </c>
      <c r="J31" s="18">
        <v>988.1</v>
      </c>
      <c r="K31" s="18">
        <v>988</v>
      </c>
      <c r="L31" s="18">
        <v>988.6</v>
      </c>
      <c r="M31" s="18">
        <v>989.2</v>
      </c>
      <c r="N31" s="18">
        <v>990</v>
      </c>
      <c r="O31" s="19">
        <f t="shared" si="0"/>
        <v>991.6</v>
      </c>
      <c r="P31" s="20">
        <f t="shared" si="1"/>
        <v>988</v>
      </c>
      <c r="Q31" s="21">
        <f t="shared" si="2"/>
        <v>989.66923076923081</v>
      </c>
    </row>
    <row r="32" spans="1:17" x14ac:dyDescent="0.25">
      <c r="A32" s="22">
        <v>26</v>
      </c>
      <c r="B32" s="18">
        <v>991.28</v>
      </c>
      <c r="C32" s="18">
        <v>991.97</v>
      </c>
      <c r="D32" s="18">
        <v>991.75</v>
      </c>
      <c r="E32" s="18">
        <v>991.43</v>
      </c>
      <c r="F32" s="18">
        <v>990.46</v>
      </c>
      <c r="G32" s="18">
        <v>989.32</v>
      </c>
      <c r="H32" s="18">
        <v>988.41</v>
      </c>
      <c r="I32" s="18">
        <v>987.6</v>
      </c>
      <c r="J32" s="18">
        <v>986.9</v>
      </c>
      <c r="K32" s="18">
        <v>987</v>
      </c>
      <c r="L32" s="18">
        <v>987.8</v>
      </c>
      <c r="M32" s="18">
        <v>988.5</v>
      </c>
      <c r="N32" s="18">
        <v>989.1</v>
      </c>
      <c r="O32" s="19">
        <f t="shared" si="0"/>
        <v>991.97</v>
      </c>
      <c r="P32" s="20">
        <f t="shared" si="1"/>
        <v>986.9</v>
      </c>
      <c r="Q32" s="21">
        <f t="shared" si="2"/>
        <v>989.34769230769223</v>
      </c>
    </row>
    <row r="33" spans="1:17" x14ac:dyDescent="0.25">
      <c r="A33" s="22">
        <v>27</v>
      </c>
      <c r="B33" s="18">
        <v>990.6</v>
      </c>
      <c r="C33" s="18">
        <v>991.1</v>
      </c>
      <c r="D33" s="18">
        <v>990.9</v>
      </c>
      <c r="E33" s="18">
        <v>990.5</v>
      </c>
      <c r="F33" s="18">
        <v>989.7</v>
      </c>
      <c r="G33" s="18">
        <v>988.6</v>
      </c>
      <c r="H33" s="18">
        <v>987.6</v>
      </c>
      <c r="I33" s="18">
        <v>987</v>
      </c>
      <c r="J33" s="18">
        <v>987.1</v>
      </c>
      <c r="K33" s="18">
        <v>987.6</v>
      </c>
      <c r="L33" s="18">
        <v>988.3</v>
      </c>
      <c r="M33" s="18">
        <v>988.8</v>
      </c>
      <c r="N33" s="18">
        <v>989.4</v>
      </c>
      <c r="O33" s="19">
        <f t="shared" si="0"/>
        <v>991.1</v>
      </c>
      <c r="P33" s="20">
        <f t="shared" si="1"/>
        <v>987</v>
      </c>
      <c r="Q33" s="21">
        <f t="shared" si="2"/>
        <v>989.01538461538451</v>
      </c>
    </row>
    <row r="34" spans="1:17" x14ac:dyDescent="0.25">
      <c r="A34" s="22">
        <v>28</v>
      </c>
      <c r="B34" s="18">
        <v>991.1</v>
      </c>
      <c r="C34" s="18">
        <v>991.2</v>
      </c>
      <c r="D34" s="18">
        <v>990.9</v>
      </c>
      <c r="E34" s="18">
        <v>990</v>
      </c>
      <c r="F34" s="18">
        <v>989.8</v>
      </c>
      <c r="G34" s="18">
        <v>988.6</v>
      </c>
      <c r="H34" s="18">
        <v>987.6</v>
      </c>
      <c r="I34" s="18">
        <v>986.6</v>
      </c>
      <c r="J34" s="18">
        <v>986.4</v>
      </c>
      <c r="K34" s="18">
        <v>986.9</v>
      </c>
      <c r="L34" s="18">
        <v>987.4</v>
      </c>
      <c r="M34" s="18">
        <v>987.9</v>
      </c>
      <c r="N34" s="18">
        <v>988.7</v>
      </c>
      <c r="O34" s="19">
        <f t="shared" si="0"/>
        <v>991.2</v>
      </c>
      <c r="P34" s="20">
        <f t="shared" si="1"/>
        <v>986.4</v>
      </c>
      <c r="Q34" s="21">
        <f t="shared" si="2"/>
        <v>988.7</v>
      </c>
    </row>
    <row r="35" spans="1:17" x14ac:dyDescent="0.25">
      <c r="A35" s="22">
        <v>29</v>
      </c>
      <c r="B35" s="18">
        <v>990.3</v>
      </c>
      <c r="C35" s="18">
        <v>990.6</v>
      </c>
      <c r="D35" s="18">
        <v>990.8</v>
      </c>
      <c r="E35" s="18">
        <v>990.5</v>
      </c>
      <c r="F35" s="18">
        <v>990.6</v>
      </c>
      <c r="G35" s="18">
        <v>989</v>
      </c>
      <c r="H35" s="18">
        <v>988.4</v>
      </c>
      <c r="I35" s="18">
        <v>987.57</v>
      </c>
      <c r="J35" s="18">
        <v>987.33</v>
      </c>
      <c r="K35" s="18">
        <v>987.3</v>
      </c>
      <c r="L35" s="18">
        <v>987.59</v>
      </c>
      <c r="M35" s="18">
        <v>988.24</v>
      </c>
      <c r="N35" s="18">
        <v>988.89</v>
      </c>
      <c r="O35" s="19">
        <f t="shared" si="0"/>
        <v>990.8</v>
      </c>
      <c r="P35" s="20">
        <f t="shared" si="1"/>
        <v>987.3</v>
      </c>
      <c r="Q35" s="21">
        <f t="shared" si="2"/>
        <v>989.00923076923073</v>
      </c>
    </row>
    <row r="36" spans="1:17" ht="15.75" thickBot="1" x14ac:dyDescent="0.3">
      <c r="A36" s="22">
        <v>30</v>
      </c>
      <c r="B36" s="42">
        <v>991.25</v>
      </c>
      <c r="C36" s="42">
        <v>991.63</v>
      </c>
      <c r="D36" s="42">
        <v>991.71</v>
      </c>
      <c r="E36" s="42">
        <v>991.34</v>
      </c>
      <c r="F36" s="42">
        <v>990.05</v>
      </c>
      <c r="G36" s="42">
        <v>989.15</v>
      </c>
      <c r="H36" s="42">
        <v>988.34</v>
      </c>
      <c r="I36" s="42">
        <v>987.5</v>
      </c>
      <c r="J36" s="42">
        <v>987</v>
      </c>
      <c r="K36" s="42">
        <v>987.5</v>
      </c>
      <c r="L36" s="42">
        <v>988.3</v>
      </c>
      <c r="M36" s="42">
        <v>988.9</v>
      </c>
      <c r="N36" s="42">
        <v>989.9</v>
      </c>
      <c r="O36" s="19">
        <f t="shared" si="0"/>
        <v>991.71</v>
      </c>
      <c r="P36" s="20">
        <f t="shared" si="1"/>
        <v>987</v>
      </c>
      <c r="Q36" s="21">
        <f t="shared" si="2"/>
        <v>989.42846153846153</v>
      </c>
    </row>
    <row r="37" spans="1:17" ht="16.5" thickTop="1" thickBot="1" x14ac:dyDescent="0.3">
      <c r="A37" s="17">
        <v>31</v>
      </c>
      <c r="B37" s="43">
        <v>989.7</v>
      </c>
      <c r="C37" s="44">
        <v>990.1</v>
      </c>
      <c r="D37" s="44">
        <v>990.2</v>
      </c>
      <c r="E37" s="44">
        <v>989.7</v>
      </c>
      <c r="F37" s="44">
        <v>989.3</v>
      </c>
      <c r="G37" s="44">
        <v>988.3</v>
      </c>
      <c r="H37" s="44">
        <v>987.6</v>
      </c>
      <c r="I37" s="44">
        <v>986.9</v>
      </c>
      <c r="J37" s="44">
        <v>986.5</v>
      </c>
      <c r="K37" s="44">
        <v>986.5</v>
      </c>
      <c r="L37" s="44">
        <v>987</v>
      </c>
      <c r="M37" s="44">
        <v>987.7</v>
      </c>
      <c r="N37" s="45">
        <v>988</v>
      </c>
      <c r="O37" s="19">
        <f t="shared" ref="O37" si="3">MAX(B37:N37)</f>
        <v>990.2</v>
      </c>
      <c r="P37" s="20">
        <f t="shared" ref="P37" si="4">MIN(B37:N37)</f>
        <v>986.5</v>
      </c>
      <c r="Q37" s="21">
        <f t="shared" ref="Q37" si="5">AVERAGE(B37:N37)</f>
        <v>988.26923076923072</v>
      </c>
    </row>
    <row r="38" spans="1:17" ht="15.75" thickTop="1" x14ac:dyDescent="0.25">
      <c r="A38" s="24" t="s">
        <v>23</v>
      </c>
      <c r="B38" s="25">
        <f>MAX(B7:B37)</f>
        <v>992.5</v>
      </c>
      <c r="C38" s="25">
        <f t="shared" ref="C38:N38" si="6">MAX(C7:C37)</f>
        <v>992.9</v>
      </c>
      <c r="D38" s="25">
        <f t="shared" si="6"/>
        <v>992.9</v>
      </c>
      <c r="E38" s="25">
        <f t="shared" si="6"/>
        <v>992.8</v>
      </c>
      <c r="F38" s="25">
        <f t="shared" si="6"/>
        <v>992.2</v>
      </c>
      <c r="G38" s="25">
        <f t="shared" si="6"/>
        <v>991.3</v>
      </c>
      <c r="H38" s="25">
        <f t="shared" si="6"/>
        <v>990.8</v>
      </c>
      <c r="I38" s="25">
        <f t="shared" si="6"/>
        <v>990.3</v>
      </c>
      <c r="J38" s="25">
        <f t="shared" si="6"/>
        <v>990.5</v>
      </c>
      <c r="K38" s="25">
        <f t="shared" si="6"/>
        <v>990.4</v>
      </c>
      <c r="L38" s="25">
        <f t="shared" si="6"/>
        <v>990.8</v>
      </c>
      <c r="M38" s="25">
        <f t="shared" si="6"/>
        <v>991</v>
      </c>
      <c r="N38" s="25">
        <f t="shared" si="6"/>
        <v>991.5</v>
      </c>
      <c r="O38" s="26">
        <f t="shared" ref="O38:Q38" si="7">MAX(O7:O36)</f>
        <v>992.9</v>
      </c>
      <c r="P38" s="25">
        <f t="shared" si="7"/>
        <v>990.3</v>
      </c>
      <c r="Q38" s="27">
        <f t="shared" si="7"/>
        <v>991.42307692307679</v>
      </c>
    </row>
    <row r="39" spans="1:17" x14ac:dyDescent="0.25">
      <c r="A39" s="22" t="s">
        <v>24</v>
      </c>
      <c r="B39" s="28">
        <f t="shared" ref="B39:Q39" si="8">MIN(B7:B36)</f>
        <v>988.7</v>
      </c>
      <c r="C39" s="28">
        <f t="shared" si="8"/>
        <v>989.1</v>
      </c>
      <c r="D39" s="28">
        <f t="shared" si="8"/>
        <v>989</v>
      </c>
      <c r="E39" s="28">
        <f t="shared" si="8"/>
        <v>988.4</v>
      </c>
      <c r="F39" s="28">
        <f t="shared" si="8"/>
        <v>987.6</v>
      </c>
      <c r="G39" s="28">
        <f t="shared" si="8"/>
        <v>929.4</v>
      </c>
      <c r="H39" s="28">
        <f t="shared" si="8"/>
        <v>986.2</v>
      </c>
      <c r="I39" s="28">
        <f t="shared" si="8"/>
        <v>985.7</v>
      </c>
      <c r="J39" s="28">
        <f t="shared" si="8"/>
        <v>985.7</v>
      </c>
      <c r="K39" s="28">
        <f t="shared" si="8"/>
        <v>983.92</v>
      </c>
      <c r="L39" s="28">
        <f t="shared" si="8"/>
        <v>986.5</v>
      </c>
      <c r="M39" s="28">
        <f t="shared" si="8"/>
        <v>987.1</v>
      </c>
      <c r="N39" s="28">
        <f t="shared" si="8"/>
        <v>987.7</v>
      </c>
      <c r="O39" s="29">
        <f t="shared" si="8"/>
        <v>989.1</v>
      </c>
      <c r="P39" s="28">
        <f t="shared" si="8"/>
        <v>929.4</v>
      </c>
      <c r="Q39" s="30">
        <f t="shared" si="8"/>
        <v>985.34153846153868</v>
      </c>
    </row>
    <row r="40" spans="1:17" ht="15.75" thickBot="1" x14ac:dyDescent="0.3">
      <c r="A40" s="31" t="s">
        <v>25</v>
      </c>
      <c r="B40" s="32">
        <f t="shared" ref="B40:Q40" si="9">AVERAGE(B7:B36)</f>
        <v>990.89599999999996</v>
      </c>
      <c r="C40" s="32">
        <f t="shared" si="9"/>
        <v>991.24733333333347</v>
      </c>
      <c r="D40" s="32">
        <f t="shared" si="9"/>
        <v>991.14833333333331</v>
      </c>
      <c r="E40" s="32">
        <f t="shared" si="9"/>
        <v>990.69133333333343</v>
      </c>
      <c r="F40" s="32">
        <f t="shared" si="9"/>
        <v>990.00566666666657</v>
      </c>
      <c r="G40" s="32">
        <f t="shared" si="9"/>
        <v>987.08933333333346</v>
      </c>
      <c r="H40" s="32">
        <f t="shared" si="9"/>
        <v>988.36266666666666</v>
      </c>
      <c r="I40" s="32">
        <f t="shared" si="9"/>
        <v>987.72399999999993</v>
      </c>
      <c r="J40" s="32">
        <f t="shared" si="9"/>
        <v>987.58000000000027</v>
      </c>
      <c r="K40" s="32">
        <f t="shared" si="9"/>
        <v>987.61533333333341</v>
      </c>
      <c r="L40" s="32">
        <f t="shared" si="9"/>
        <v>988.25033333333329</v>
      </c>
      <c r="M40" s="32">
        <f t="shared" si="9"/>
        <v>988.92033333333359</v>
      </c>
      <c r="N40" s="32">
        <f t="shared" si="9"/>
        <v>989.54466666666667</v>
      </c>
      <c r="O40" s="33">
        <f t="shared" si="9"/>
        <v>991.29166666666652</v>
      </c>
      <c r="P40" s="32">
        <f t="shared" si="9"/>
        <v>985.43033333333346</v>
      </c>
      <c r="Q40" s="34">
        <f t="shared" si="9"/>
        <v>989.15964102564112</v>
      </c>
    </row>
    <row r="41" spans="1:17" ht="15.75" thickTop="1" x14ac:dyDescent="0.25">
      <c r="A41" s="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8"/>
      <c r="B42" s="1"/>
      <c r="C42" s="8" t="str">
        <f>[4]FKLIM.71!M43</f>
        <v>Mengetahui,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8"/>
      <c r="B43" s="1"/>
      <c r="C43" s="8" t="str">
        <f>[4]FKLIM.71!M44</f>
        <v>Kepala Stasiun Klimatologi Kelas IV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8" t="str">
        <f>[4]FKLIM.71!T44</f>
        <v>Pengolah</v>
      </c>
      <c r="P43" s="1"/>
      <c r="Q43" s="1"/>
    </row>
    <row r="44" spans="1:17" x14ac:dyDescent="0.25">
      <c r="A44" s="8"/>
      <c r="B44" s="1"/>
      <c r="C44" s="8" t="s">
        <v>29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8"/>
      <c r="P44" s="1"/>
      <c r="Q44" s="1"/>
    </row>
    <row r="45" spans="1:17" x14ac:dyDescent="0.25">
      <c r="A45" s="8"/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8"/>
      <c r="P45" s="1"/>
      <c r="Q45" s="1"/>
    </row>
    <row r="46" spans="1:17" x14ac:dyDescent="0.25">
      <c r="A46" s="8"/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8"/>
      <c r="P46" s="1"/>
      <c r="Q46" s="1"/>
    </row>
    <row r="47" spans="1:17" x14ac:dyDescent="0.25">
      <c r="A47" s="8"/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8"/>
      <c r="P47" s="1"/>
      <c r="Q47" s="1"/>
    </row>
    <row r="48" spans="1:17" x14ac:dyDescent="0.25">
      <c r="A48" s="8"/>
      <c r="B48" s="1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8"/>
      <c r="P48" s="1"/>
      <c r="Q48" s="1"/>
    </row>
    <row r="49" spans="1:17" x14ac:dyDescent="0.25">
      <c r="A49" s="8"/>
      <c r="B49" s="1"/>
      <c r="C49" s="35" t="str">
        <f>[4]FKLIM.71!M50</f>
        <v>RENI KRANINGTYAS, SP, M.Si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5" t="str">
        <f>[4]FKLIM.71!T50</f>
        <v xml:space="preserve">TIM PEMBUAT LAPORAN </v>
      </c>
      <c r="P49" s="1"/>
      <c r="Q49" s="1"/>
    </row>
    <row r="50" spans="1:17" x14ac:dyDescent="0.25">
      <c r="A50" s="8"/>
      <c r="B50" s="1"/>
      <c r="C50" s="8" t="str">
        <f>[4]FKLIM.71!M51</f>
        <v>NIP.  19740203 199703 2 001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8" t="str">
        <f>[4]FKLIM.71!T51</f>
        <v xml:space="preserve">PETUGAS OPERASIONAL </v>
      </c>
      <c r="P50" s="1"/>
      <c r="Q50" s="1"/>
    </row>
  </sheetData>
  <mergeCells count="1">
    <mergeCell ref="G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Z57"/>
  <sheetViews>
    <sheetView topLeftCell="A25" workbookViewId="0">
      <selection activeCell="T46" sqref="T46"/>
    </sheetView>
  </sheetViews>
  <sheetFormatPr defaultRowHeight="12.75" x14ac:dyDescent="0.2"/>
  <cols>
    <col min="1" max="1" width="11.42578125" style="8" customWidth="1"/>
    <col min="2" max="16" width="11" style="1" customWidth="1"/>
    <col min="17" max="17" width="14" style="1" customWidth="1"/>
    <col min="18" max="256" width="9.140625" style="1"/>
    <col min="257" max="257" width="7.140625" style="1" customWidth="1"/>
    <col min="258" max="273" width="11" style="1" customWidth="1"/>
    <col min="274" max="512" width="9.140625" style="1"/>
    <col min="513" max="513" width="7.140625" style="1" customWidth="1"/>
    <col min="514" max="529" width="11" style="1" customWidth="1"/>
    <col min="530" max="768" width="9.140625" style="1"/>
    <col min="769" max="769" width="7.140625" style="1" customWidth="1"/>
    <col min="770" max="785" width="11" style="1" customWidth="1"/>
    <col min="786" max="1024" width="9.140625" style="1"/>
    <col min="1025" max="1025" width="7.140625" style="1" customWidth="1"/>
    <col min="1026" max="1041" width="11" style="1" customWidth="1"/>
    <col min="1042" max="1280" width="9.140625" style="1"/>
    <col min="1281" max="1281" width="7.140625" style="1" customWidth="1"/>
    <col min="1282" max="1297" width="11" style="1" customWidth="1"/>
    <col min="1298" max="1536" width="9.140625" style="1"/>
    <col min="1537" max="1537" width="7.140625" style="1" customWidth="1"/>
    <col min="1538" max="1553" width="11" style="1" customWidth="1"/>
    <col min="1554" max="1792" width="9.140625" style="1"/>
    <col min="1793" max="1793" width="7.140625" style="1" customWidth="1"/>
    <col min="1794" max="1809" width="11" style="1" customWidth="1"/>
    <col min="1810" max="2048" width="9.140625" style="1"/>
    <col min="2049" max="2049" width="7.140625" style="1" customWidth="1"/>
    <col min="2050" max="2065" width="11" style="1" customWidth="1"/>
    <col min="2066" max="2304" width="9.140625" style="1"/>
    <col min="2305" max="2305" width="7.140625" style="1" customWidth="1"/>
    <col min="2306" max="2321" width="11" style="1" customWidth="1"/>
    <col min="2322" max="2560" width="9.140625" style="1"/>
    <col min="2561" max="2561" width="7.140625" style="1" customWidth="1"/>
    <col min="2562" max="2577" width="11" style="1" customWidth="1"/>
    <col min="2578" max="2816" width="9.140625" style="1"/>
    <col min="2817" max="2817" width="7.140625" style="1" customWidth="1"/>
    <col min="2818" max="2833" width="11" style="1" customWidth="1"/>
    <col min="2834" max="3072" width="9.140625" style="1"/>
    <col min="3073" max="3073" width="7.140625" style="1" customWidth="1"/>
    <col min="3074" max="3089" width="11" style="1" customWidth="1"/>
    <col min="3090" max="3328" width="9.140625" style="1"/>
    <col min="3329" max="3329" width="7.140625" style="1" customWidth="1"/>
    <col min="3330" max="3345" width="11" style="1" customWidth="1"/>
    <col min="3346" max="3584" width="9.140625" style="1"/>
    <col min="3585" max="3585" width="7.140625" style="1" customWidth="1"/>
    <col min="3586" max="3601" width="11" style="1" customWidth="1"/>
    <col min="3602" max="3840" width="9.140625" style="1"/>
    <col min="3841" max="3841" width="7.140625" style="1" customWidth="1"/>
    <col min="3842" max="3857" width="11" style="1" customWidth="1"/>
    <col min="3858" max="4096" width="9.140625" style="1"/>
    <col min="4097" max="4097" width="7.140625" style="1" customWidth="1"/>
    <col min="4098" max="4113" width="11" style="1" customWidth="1"/>
    <col min="4114" max="4352" width="9.140625" style="1"/>
    <col min="4353" max="4353" width="7.140625" style="1" customWidth="1"/>
    <col min="4354" max="4369" width="11" style="1" customWidth="1"/>
    <col min="4370" max="4608" width="9.140625" style="1"/>
    <col min="4609" max="4609" width="7.140625" style="1" customWidth="1"/>
    <col min="4610" max="4625" width="11" style="1" customWidth="1"/>
    <col min="4626" max="4864" width="9.140625" style="1"/>
    <col min="4865" max="4865" width="7.140625" style="1" customWidth="1"/>
    <col min="4866" max="4881" width="11" style="1" customWidth="1"/>
    <col min="4882" max="5120" width="9.140625" style="1"/>
    <col min="5121" max="5121" width="7.140625" style="1" customWidth="1"/>
    <col min="5122" max="5137" width="11" style="1" customWidth="1"/>
    <col min="5138" max="5376" width="9.140625" style="1"/>
    <col min="5377" max="5377" width="7.140625" style="1" customWidth="1"/>
    <col min="5378" max="5393" width="11" style="1" customWidth="1"/>
    <col min="5394" max="5632" width="9.140625" style="1"/>
    <col min="5633" max="5633" width="7.140625" style="1" customWidth="1"/>
    <col min="5634" max="5649" width="11" style="1" customWidth="1"/>
    <col min="5650" max="5888" width="9.140625" style="1"/>
    <col min="5889" max="5889" width="7.140625" style="1" customWidth="1"/>
    <col min="5890" max="5905" width="11" style="1" customWidth="1"/>
    <col min="5906" max="6144" width="9.140625" style="1"/>
    <col min="6145" max="6145" width="7.140625" style="1" customWidth="1"/>
    <col min="6146" max="6161" width="11" style="1" customWidth="1"/>
    <col min="6162" max="6400" width="9.140625" style="1"/>
    <col min="6401" max="6401" width="7.140625" style="1" customWidth="1"/>
    <col min="6402" max="6417" width="11" style="1" customWidth="1"/>
    <col min="6418" max="6656" width="9.140625" style="1"/>
    <col min="6657" max="6657" width="7.140625" style="1" customWidth="1"/>
    <col min="6658" max="6673" width="11" style="1" customWidth="1"/>
    <col min="6674" max="6912" width="9.140625" style="1"/>
    <col min="6913" max="6913" width="7.140625" style="1" customWidth="1"/>
    <col min="6914" max="6929" width="11" style="1" customWidth="1"/>
    <col min="6930" max="7168" width="9.140625" style="1"/>
    <col min="7169" max="7169" width="7.140625" style="1" customWidth="1"/>
    <col min="7170" max="7185" width="11" style="1" customWidth="1"/>
    <col min="7186" max="7424" width="9.140625" style="1"/>
    <col min="7425" max="7425" width="7.140625" style="1" customWidth="1"/>
    <col min="7426" max="7441" width="11" style="1" customWidth="1"/>
    <col min="7442" max="7680" width="9.140625" style="1"/>
    <col min="7681" max="7681" width="7.140625" style="1" customWidth="1"/>
    <col min="7682" max="7697" width="11" style="1" customWidth="1"/>
    <col min="7698" max="7936" width="9.140625" style="1"/>
    <col min="7937" max="7937" width="7.140625" style="1" customWidth="1"/>
    <col min="7938" max="7953" width="11" style="1" customWidth="1"/>
    <col min="7954" max="8192" width="9.140625" style="1"/>
    <col min="8193" max="8193" width="7.140625" style="1" customWidth="1"/>
    <col min="8194" max="8209" width="11" style="1" customWidth="1"/>
    <col min="8210" max="8448" width="9.140625" style="1"/>
    <col min="8449" max="8449" width="7.140625" style="1" customWidth="1"/>
    <col min="8450" max="8465" width="11" style="1" customWidth="1"/>
    <col min="8466" max="8704" width="9.140625" style="1"/>
    <col min="8705" max="8705" width="7.140625" style="1" customWidth="1"/>
    <col min="8706" max="8721" width="11" style="1" customWidth="1"/>
    <col min="8722" max="8960" width="9.140625" style="1"/>
    <col min="8961" max="8961" width="7.140625" style="1" customWidth="1"/>
    <col min="8962" max="8977" width="11" style="1" customWidth="1"/>
    <col min="8978" max="9216" width="9.140625" style="1"/>
    <col min="9217" max="9217" width="7.140625" style="1" customWidth="1"/>
    <col min="9218" max="9233" width="11" style="1" customWidth="1"/>
    <col min="9234" max="9472" width="9.140625" style="1"/>
    <col min="9473" max="9473" width="7.140625" style="1" customWidth="1"/>
    <col min="9474" max="9489" width="11" style="1" customWidth="1"/>
    <col min="9490" max="9728" width="9.140625" style="1"/>
    <col min="9729" max="9729" width="7.140625" style="1" customWidth="1"/>
    <col min="9730" max="9745" width="11" style="1" customWidth="1"/>
    <col min="9746" max="9984" width="9.140625" style="1"/>
    <col min="9985" max="9985" width="7.140625" style="1" customWidth="1"/>
    <col min="9986" max="10001" width="11" style="1" customWidth="1"/>
    <col min="10002" max="10240" width="9.140625" style="1"/>
    <col min="10241" max="10241" width="7.140625" style="1" customWidth="1"/>
    <col min="10242" max="10257" width="11" style="1" customWidth="1"/>
    <col min="10258" max="10496" width="9.140625" style="1"/>
    <col min="10497" max="10497" width="7.140625" style="1" customWidth="1"/>
    <col min="10498" max="10513" width="11" style="1" customWidth="1"/>
    <col min="10514" max="10752" width="9.140625" style="1"/>
    <col min="10753" max="10753" width="7.140625" style="1" customWidth="1"/>
    <col min="10754" max="10769" width="11" style="1" customWidth="1"/>
    <col min="10770" max="11008" width="9.140625" style="1"/>
    <col min="11009" max="11009" width="7.140625" style="1" customWidth="1"/>
    <col min="11010" max="11025" width="11" style="1" customWidth="1"/>
    <col min="11026" max="11264" width="9.140625" style="1"/>
    <col min="11265" max="11265" width="7.140625" style="1" customWidth="1"/>
    <col min="11266" max="11281" width="11" style="1" customWidth="1"/>
    <col min="11282" max="11520" width="9.140625" style="1"/>
    <col min="11521" max="11521" width="7.140625" style="1" customWidth="1"/>
    <col min="11522" max="11537" width="11" style="1" customWidth="1"/>
    <col min="11538" max="11776" width="9.140625" style="1"/>
    <col min="11777" max="11777" width="7.140625" style="1" customWidth="1"/>
    <col min="11778" max="11793" width="11" style="1" customWidth="1"/>
    <col min="11794" max="12032" width="9.140625" style="1"/>
    <col min="12033" max="12033" width="7.140625" style="1" customWidth="1"/>
    <col min="12034" max="12049" width="11" style="1" customWidth="1"/>
    <col min="12050" max="12288" width="9.140625" style="1"/>
    <col min="12289" max="12289" width="7.140625" style="1" customWidth="1"/>
    <col min="12290" max="12305" width="11" style="1" customWidth="1"/>
    <col min="12306" max="12544" width="9.140625" style="1"/>
    <col min="12545" max="12545" width="7.140625" style="1" customWidth="1"/>
    <col min="12546" max="12561" width="11" style="1" customWidth="1"/>
    <col min="12562" max="12800" width="9.140625" style="1"/>
    <col min="12801" max="12801" width="7.140625" style="1" customWidth="1"/>
    <col min="12802" max="12817" width="11" style="1" customWidth="1"/>
    <col min="12818" max="13056" width="9.140625" style="1"/>
    <col min="13057" max="13057" width="7.140625" style="1" customWidth="1"/>
    <col min="13058" max="13073" width="11" style="1" customWidth="1"/>
    <col min="13074" max="13312" width="9.140625" style="1"/>
    <col min="13313" max="13313" width="7.140625" style="1" customWidth="1"/>
    <col min="13314" max="13329" width="11" style="1" customWidth="1"/>
    <col min="13330" max="13568" width="9.140625" style="1"/>
    <col min="13569" max="13569" width="7.140625" style="1" customWidth="1"/>
    <col min="13570" max="13585" width="11" style="1" customWidth="1"/>
    <col min="13586" max="13824" width="9.140625" style="1"/>
    <col min="13825" max="13825" width="7.140625" style="1" customWidth="1"/>
    <col min="13826" max="13841" width="11" style="1" customWidth="1"/>
    <col min="13842" max="14080" width="9.140625" style="1"/>
    <col min="14081" max="14081" width="7.140625" style="1" customWidth="1"/>
    <col min="14082" max="14097" width="11" style="1" customWidth="1"/>
    <col min="14098" max="14336" width="9.140625" style="1"/>
    <col min="14337" max="14337" width="7.140625" style="1" customWidth="1"/>
    <col min="14338" max="14353" width="11" style="1" customWidth="1"/>
    <col min="14354" max="14592" width="9.140625" style="1"/>
    <col min="14593" max="14593" width="7.140625" style="1" customWidth="1"/>
    <col min="14594" max="14609" width="11" style="1" customWidth="1"/>
    <col min="14610" max="14848" width="9.140625" style="1"/>
    <col min="14849" max="14849" width="7.140625" style="1" customWidth="1"/>
    <col min="14850" max="14865" width="11" style="1" customWidth="1"/>
    <col min="14866" max="15104" width="9.140625" style="1"/>
    <col min="15105" max="15105" width="7.140625" style="1" customWidth="1"/>
    <col min="15106" max="15121" width="11" style="1" customWidth="1"/>
    <col min="15122" max="15360" width="9.140625" style="1"/>
    <col min="15361" max="15361" width="7.140625" style="1" customWidth="1"/>
    <col min="15362" max="15377" width="11" style="1" customWidth="1"/>
    <col min="15378" max="15616" width="9.140625" style="1"/>
    <col min="15617" max="15617" width="7.140625" style="1" customWidth="1"/>
    <col min="15618" max="15633" width="11" style="1" customWidth="1"/>
    <col min="15634" max="15872" width="9.140625" style="1"/>
    <col min="15873" max="15873" width="7.140625" style="1" customWidth="1"/>
    <col min="15874" max="15889" width="11" style="1" customWidth="1"/>
    <col min="15890" max="16128" width="9.140625" style="1"/>
    <col min="16129" max="16129" width="7.140625" style="1" customWidth="1"/>
    <col min="16130" max="16145" width="11" style="1" customWidth="1"/>
    <col min="16146" max="16384" width="9.140625" style="1"/>
  </cols>
  <sheetData>
    <row r="1" spans="1:26" customFormat="1" ht="18.75" x14ac:dyDescent="0.3">
      <c r="A1" s="103" t="s">
        <v>33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26" customFormat="1" ht="18.75" x14ac:dyDescent="0.3">
      <c r="A2" s="103" t="s">
        <v>34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3" spans="1:26" customFormat="1" ht="15" x14ac:dyDescent="0.25">
      <c r="A3" s="104" t="s">
        <v>35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26" customFormat="1" ht="15.75" thickBot="1" x14ac:dyDescent="0.3">
      <c r="A4" s="105" t="s">
        <v>36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26" customFormat="1" ht="6" customHeight="1" x14ac:dyDescent="0.25">
      <c r="A5" s="46"/>
      <c r="B5" s="46"/>
      <c r="C5" s="46"/>
      <c r="D5" s="46"/>
      <c r="E5" s="46"/>
      <c r="F5" s="46"/>
    </row>
    <row r="6" spans="1:26" customFormat="1" ht="15" x14ac:dyDescent="0.25">
      <c r="A6" s="106" t="s">
        <v>48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26" customFormat="1" ht="15" x14ac:dyDescent="0.25">
      <c r="A7" s="102" t="s">
        <v>37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26" customFormat="1" ht="8.25" customHeight="1" x14ac:dyDescent="0.25"/>
    <row r="9" spans="1:26" customFormat="1" ht="15.75" x14ac:dyDescent="0.25">
      <c r="A9" s="47" t="s">
        <v>38</v>
      </c>
      <c r="B9" s="48" t="s">
        <v>39</v>
      </c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26" customFormat="1" ht="15.75" x14ac:dyDescent="0.25">
      <c r="A10" s="50" t="s">
        <v>40</v>
      </c>
      <c r="B10" s="50" t="s">
        <v>41</v>
      </c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26" customFormat="1" ht="15.75" x14ac:dyDescent="0.25">
      <c r="A11" s="50" t="s">
        <v>42</v>
      </c>
      <c r="B11" s="50" t="s">
        <v>43</v>
      </c>
      <c r="C11" s="49"/>
      <c r="D11" s="49"/>
      <c r="E11" s="49"/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26" ht="16.5" thickBot="1" x14ac:dyDescent="0.3">
      <c r="A12" s="51" t="s">
        <v>44</v>
      </c>
      <c r="B12" s="49" t="s">
        <v>45</v>
      </c>
      <c r="C12" s="49"/>
      <c r="D12" s="52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  <c r="P12" s="53" t="s">
        <v>46</v>
      </c>
      <c r="Q12" s="54" t="s">
        <v>47</v>
      </c>
    </row>
    <row r="13" spans="1:26" ht="17.25" thickTop="1" thickBot="1" x14ac:dyDescent="0.25">
      <c r="A13" s="55" t="s">
        <v>6</v>
      </c>
      <c r="B13" s="56" t="s">
        <v>7</v>
      </c>
      <c r="C13" s="57" t="s">
        <v>8</v>
      </c>
      <c r="D13" s="57" t="s">
        <v>9</v>
      </c>
      <c r="E13" s="57" t="s">
        <v>10</v>
      </c>
      <c r="F13" s="57" t="s">
        <v>11</v>
      </c>
      <c r="G13" s="57" t="s">
        <v>12</v>
      </c>
      <c r="H13" s="57" t="s">
        <v>13</v>
      </c>
      <c r="I13" s="57" t="s">
        <v>14</v>
      </c>
      <c r="J13" s="57" t="s">
        <v>15</v>
      </c>
      <c r="K13" s="57" t="s">
        <v>16</v>
      </c>
      <c r="L13" s="57" t="s">
        <v>17</v>
      </c>
      <c r="M13" s="57" t="s">
        <v>18</v>
      </c>
      <c r="N13" s="57" t="s">
        <v>19</v>
      </c>
      <c r="O13" s="58" t="s">
        <v>20</v>
      </c>
      <c r="P13" s="57" t="s">
        <v>21</v>
      </c>
      <c r="Q13" s="59" t="s">
        <v>22</v>
      </c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6.5" thickTop="1" x14ac:dyDescent="0.2">
      <c r="A14" s="60">
        <v>1</v>
      </c>
      <c r="B14" s="61">
        <v>989.5</v>
      </c>
      <c r="C14" s="61">
        <v>989.8</v>
      </c>
      <c r="D14" s="61">
        <v>989.8</v>
      </c>
      <c r="E14" s="61">
        <v>989.3</v>
      </c>
      <c r="F14" s="61">
        <v>989.8</v>
      </c>
      <c r="G14" s="61">
        <v>987.4</v>
      </c>
      <c r="H14" s="61">
        <v>986.9</v>
      </c>
      <c r="I14" s="61">
        <v>986.5</v>
      </c>
      <c r="J14" s="61">
        <v>986.7</v>
      </c>
      <c r="K14" s="61">
        <v>986.9</v>
      </c>
      <c r="L14" s="61">
        <v>987.6</v>
      </c>
      <c r="M14" s="61">
        <v>988.3</v>
      </c>
      <c r="N14" s="61">
        <v>988.9</v>
      </c>
      <c r="O14" s="62">
        <f>MAX(B14:N14)</f>
        <v>989.8</v>
      </c>
      <c r="P14" s="63">
        <f>MIN(B14:N14)</f>
        <v>986.5</v>
      </c>
      <c r="Q14" s="64">
        <f>AVERAGE(B14:N14)</f>
        <v>988.26153846153829</v>
      </c>
    </row>
    <row r="15" spans="1:26" ht="15.75" x14ac:dyDescent="0.2">
      <c r="A15" s="65">
        <v>2</v>
      </c>
      <c r="B15" s="61">
        <v>991.2</v>
      </c>
      <c r="C15" s="61">
        <v>991.2</v>
      </c>
      <c r="D15" s="61">
        <v>991.2</v>
      </c>
      <c r="E15" s="61">
        <v>990.8</v>
      </c>
      <c r="F15" s="61">
        <v>990</v>
      </c>
      <c r="G15" s="61">
        <v>989.4</v>
      </c>
      <c r="H15" s="61">
        <v>988.5</v>
      </c>
      <c r="I15" s="61">
        <v>988.1</v>
      </c>
      <c r="J15" s="61">
        <v>987.8</v>
      </c>
      <c r="K15" s="61">
        <v>987.5</v>
      </c>
      <c r="L15" s="61">
        <v>988</v>
      </c>
      <c r="M15" s="61">
        <v>988.5</v>
      </c>
      <c r="N15" s="61">
        <v>989</v>
      </c>
      <c r="O15" s="62">
        <f t="shared" ref="O15:O43" si="0">MAX(B15:N15)</f>
        <v>991.2</v>
      </c>
      <c r="P15" s="63">
        <f t="shared" ref="P15:P43" si="1">MIN(B15:N15)</f>
        <v>987.5</v>
      </c>
      <c r="Q15" s="64">
        <f t="shared" ref="Q15:Q43" si="2">AVERAGE(B15:N15)</f>
        <v>989.323076923077</v>
      </c>
    </row>
    <row r="16" spans="1:26" ht="15.75" x14ac:dyDescent="0.2">
      <c r="A16" s="65">
        <v>3</v>
      </c>
      <c r="B16" s="61">
        <v>990.4</v>
      </c>
      <c r="C16" s="61">
        <v>990.7</v>
      </c>
      <c r="D16" s="61">
        <v>990.9</v>
      </c>
      <c r="E16" s="61">
        <v>990.8</v>
      </c>
      <c r="F16" s="61">
        <v>990.2</v>
      </c>
      <c r="G16" s="61">
        <v>989.5</v>
      </c>
      <c r="H16" s="61">
        <v>988.8</v>
      </c>
      <c r="I16" s="61">
        <v>988</v>
      </c>
      <c r="J16" s="61">
        <v>987.7</v>
      </c>
      <c r="K16" s="61">
        <v>988.1</v>
      </c>
      <c r="L16" s="61">
        <v>988.7</v>
      </c>
      <c r="M16" s="61">
        <v>989.3</v>
      </c>
      <c r="N16" s="61">
        <v>989.9</v>
      </c>
      <c r="O16" s="62">
        <f t="shared" si="0"/>
        <v>990.9</v>
      </c>
      <c r="P16" s="63">
        <f t="shared" si="1"/>
        <v>987.7</v>
      </c>
      <c r="Q16" s="64">
        <f t="shared" si="2"/>
        <v>989.46153846153845</v>
      </c>
    </row>
    <row r="17" spans="1:17" ht="15.75" x14ac:dyDescent="0.2">
      <c r="A17" s="65">
        <v>4</v>
      </c>
      <c r="B17" s="61">
        <v>991.1</v>
      </c>
      <c r="C17" s="61">
        <v>991.6</v>
      </c>
      <c r="D17" s="61">
        <v>991.6</v>
      </c>
      <c r="E17" s="61">
        <v>991.3</v>
      </c>
      <c r="F17" s="61">
        <v>990.7</v>
      </c>
      <c r="G17" s="61">
        <v>989.8</v>
      </c>
      <c r="H17" s="61">
        <v>989.23</v>
      </c>
      <c r="I17" s="61">
        <v>988.56</v>
      </c>
      <c r="J17" s="61">
        <v>988.48</v>
      </c>
      <c r="K17" s="61">
        <v>988.55</v>
      </c>
      <c r="L17" s="61">
        <v>989.29</v>
      </c>
      <c r="M17" s="61">
        <v>989.68</v>
      </c>
      <c r="N17" s="61">
        <v>990.1</v>
      </c>
      <c r="O17" s="62">
        <f t="shared" si="0"/>
        <v>991.6</v>
      </c>
      <c r="P17" s="63">
        <f t="shared" si="1"/>
        <v>988.48</v>
      </c>
      <c r="Q17" s="64">
        <f t="shared" si="2"/>
        <v>989.99923076923073</v>
      </c>
    </row>
    <row r="18" spans="1:17" ht="15.75" x14ac:dyDescent="0.2">
      <c r="A18" s="65">
        <v>5</v>
      </c>
      <c r="B18" s="61">
        <v>992.59</v>
      </c>
      <c r="C18" s="61">
        <v>992.73</v>
      </c>
      <c r="D18" s="61">
        <v>992.42</v>
      </c>
      <c r="E18" s="61">
        <v>992.03</v>
      </c>
      <c r="F18" s="61">
        <v>991.01</v>
      </c>
      <c r="G18" s="61">
        <v>990.11</v>
      </c>
      <c r="H18" s="61">
        <v>989.67</v>
      </c>
      <c r="I18" s="61">
        <v>988.8</v>
      </c>
      <c r="J18" s="61">
        <v>988.4</v>
      </c>
      <c r="K18" s="61">
        <v>988.8</v>
      </c>
      <c r="L18" s="61">
        <v>989.4</v>
      </c>
      <c r="M18" s="61">
        <v>990.4</v>
      </c>
      <c r="N18" s="61">
        <v>991.1</v>
      </c>
      <c r="O18" s="62">
        <f t="shared" si="0"/>
        <v>992.73</v>
      </c>
      <c r="P18" s="63">
        <f t="shared" si="1"/>
        <v>988.4</v>
      </c>
      <c r="Q18" s="64">
        <f t="shared" si="2"/>
        <v>990.57384615384603</v>
      </c>
    </row>
    <row r="19" spans="1:17" ht="15.75" x14ac:dyDescent="0.2">
      <c r="A19" s="65">
        <v>6</v>
      </c>
      <c r="B19" s="61">
        <v>992.2</v>
      </c>
      <c r="C19" s="61">
        <v>992.4</v>
      </c>
      <c r="D19" s="61">
        <v>992.7</v>
      </c>
      <c r="E19" s="61">
        <v>992</v>
      </c>
      <c r="F19" s="61">
        <v>991.3</v>
      </c>
      <c r="G19" s="61">
        <v>989.9</v>
      </c>
      <c r="H19" s="61">
        <v>989.2</v>
      </c>
      <c r="I19" s="61">
        <v>988.8</v>
      </c>
      <c r="J19" s="61">
        <v>988.7</v>
      </c>
      <c r="K19" s="61">
        <v>988.8</v>
      </c>
      <c r="L19" s="61">
        <v>989.2</v>
      </c>
      <c r="M19" s="61">
        <v>989.9</v>
      </c>
      <c r="N19" s="61">
        <v>991</v>
      </c>
      <c r="O19" s="62">
        <f t="shared" si="0"/>
        <v>992.7</v>
      </c>
      <c r="P19" s="63">
        <f t="shared" si="1"/>
        <v>988.7</v>
      </c>
      <c r="Q19" s="64">
        <f t="shared" si="2"/>
        <v>990.46923076923076</v>
      </c>
    </row>
    <row r="20" spans="1:17" ht="15.75" x14ac:dyDescent="0.2">
      <c r="A20" s="65">
        <v>7</v>
      </c>
      <c r="B20" s="61">
        <v>992.4</v>
      </c>
      <c r="C20" s="61">
        <v>992.7</v>
      </c>
      <c r="D20" s="61">
        <v>992.7</v>
      </c>
      <c r="E20" s="61">
        <v>992.3</v>
      </c>
      <c r="F20" s="61">
        <v>991.3</v>
      </c>
      <c r="G20" s="61">
        <v>990.3</v>
      </c>
      <c r="H20" s="61">
        <v>989.8</v>
      </c>
      <c r="I20" s="61">
        <v>988.9</v>
      </c>
      <c r="J20" s="61">
        <v>988.6</v>
      </c>
      <c r="K20" s="61">
        <v>988.4</v>
      </c>
      <c r="L20" s="61">
        <v>989.2</v>
      </c>
      <c r="M20" s="61">
        <v>990</v>
      </c>
      <c r="N20" s="61">
        <v>990.8</v>
      </c>
      <c r="O20" s="62">
        <f t="shared" si="0"/>
        <v>992.7</v>
      </c>
      <c r="P20" s="63">
        <f t="shared" si="1"/>
        <v>988.4</v>
      </c>
      <c r="Q20" s="64">
        <f t="shared" si="2"/>
        <v>990.56923076923078</v>
      </c>
    </row>
    <row r="21" spans="1:17" ht="15.75" x14ac:dyDescent="0.2">
      <c r="A21" s="65">
        <v>8</v>
      </c>
      <c r="B21" s="61">
        <v>991.9</v>
      </c>
      <c r="C21" s="61">
        <v>992.3</v>
      </c>
      <c r="D21" s="61">
        <v>992.3</v>
      </c>
      <c r="E21" s="61">
        <v>991.6</v>
      </c>
      <c r="F21" s="61">
        <v>990.8</v>
      </c>
      <c r="G21" s="61">
        <v>989.7</v>
      </c>
      <c r="H21" s="61">
        <v>988.9</v>
      </c>
      <c r="I21" s="61">
        <v>988.8</v>
      </c>
      <c r="J21" s="61">
        <v>988.6</v>
      </c>
      <c r="K21" s="61">
        <v>988.4</v>
      </c>
      <c r="L21" s="61">
        <v>988.7</v>
      </c>
      <c r="M21" s="61">
        <v>989.4</v>
      </c>
      <c r="N21" s="61">
        <v>990.2</v>
      </c>
      <c r="O21" s="62">
        <f t="shared" si="0"/>
        <v>992.3</v>
      </c>
      <c r="P21" s="63">
        <f t="shared" si="1"/>
        <v>988.4</v>
      </c>
      <c r="Q21" s="64">
        <f t="shared" si="2"/>
        <v>990.12307692307695</v>
      </c>
    </row>
    <row r="22" spans="1:17" ht="15.75" x14ac:dyDescent="0.2">
      <c r="A22" s="65">
        <v>9</v>
      </c>
      <c r="B22" s="61">
        <v>991.6</v>
      </c>
      <c r="C22" s="61">
        <v>992</v>
      </c>
      <c r="D22" s="61">
        <v>991.6</v>
      </c>
      <c r="E22" s="61">
        <v>990.8</v>
      </c>
      <c r="F22" s="61">
        <v>990</v>
      </c>
      <c r="G22" s="61">
        <v>988.5</v>
      </c>
      <c r="H22" s="61">
        <v>987.9</v>
      </c>
      <c r="I22" s="61">
        <v>987.3</v>
      </c>
      <c r="J22" s="61">
        <v>987.1</v>
      </c>
      <c r="K22" s="61">
        <v>987.2</v>
      </c>
      <c r="L22" s="61">
        <v>987.7</v>
      </c>
      <c r="M22" s="61">
        <v>988.6</v>
      </c>
      <c r="N22" s="61">
        <v>989.5</v>
      </c>
      <c r="O22" s="62">
        <f t="shared" si="0"/>
        <v>992</v>
      </c>
      <c r="P22" s="63">
        <f t="shared" si="1"/>
        <v>987.1</v>
      </c>
      <c r="Q22" s="64">
        <f t="shared" si="2"/>
        <v>989.21538461538466</v>
      </c>
    </row>
    <row r="23" spans="1:17" ht="15.75" x14ac:dyDescent="0.2">
      <c r="A23" s="65">
        <v>10</v>
      </c>
      <c r="B23" s="61">
        <v>991.3</v>
      </c>
      <c r="C23" s="61">
        <v>991.9</v>
      </c>
      <c r="D23" s="61">
        <v>992</v>
      </c>
      <c r="E23" s="61">
        <v>991.4</v>
      </c>
      <c r="F23" s="61">
        <v>990.3</v>
      </c>
      <c r="G23" s="61">
        <v>989.4</v>
      </c>
      <c r="H23" s="61">
        <v>988.9</v>
      </c>
      <c r="I23" s="61">
        <v>988.27</v>
      </c>
      <c r="J23" s="61">
        <v>987.94</v>
      </c>
      <c r="K23" s="61">
        <v>988.08</v>
      </c>
      <c r="L23" s="61">
        <v>988.63</v>
      </c>
      <c r="M23" s="61">
        <v>989.27</v>
      </c>
      <c r="N23" s="61">
        <v>989.88</v>
      </c>
      <c r="O23" s="62">
        <f t="shared" si="0"/>
        <v>992</v>
      </c>
      <c r="P23" s="63">
        <f t="shared" si="1"/>
        <v>987.94</v>
      </c>
      <c r="Q23" s="64">
        <f t="shared" si="2"/>
        <v>989.78999999999985</v>
      </c>
    </row>
    <row r="24" spans="1:17" ht="15.75" x14ac:dyDescent="0.2">
      <c r="A24" s="65">
        <v>11</v>
      </c>
      <c r="B24" s="61">
        <v>991.44</v>
      </c>
      <c r="C24" s="61">
        <v>991.17</v>
      </c>
      <c r="D24" s="61">
        <v>990.8</v>
      </c>
      <c r="E24" s="61">
        <v>990.29</v>
      </c>
      <c r="F24" s="61">
        <v>989.94</v>
      </c>
      <c r="G24" s="61">
        <v>989.58</v>
      </c>
      <c r="H24" s="61">
        <v>988.9</v>
      </c>
      <c r="I24" s="61">
        <v>988.3</v>
      </c>
      <c r="J24" s="61">
        <v>988</v>
      </c>
      <c r="K24" s="61">
        <v>987.9</v>
      </c>
      <c r="L24" s="61">
        <v>988.5</v>
      </c>
      <c r="M24" s="61">
        <v>989.1</v>
      </c>
      <c r="N24" s="61">
        <v>989.7</v>
      </c>
      <c r="O24" s="62">
        <f t="shared" si="0"/>
        <v>991.44</v>
      </c>
      <c r="P24" s="63">
        <f t="shared" si="1"/>
        <v>987.9</v>
      </c>
      <c r="Q24" s="64">
        <f t="shared" si="2"/>
        <v>989.50923076923073</v>
      </c>
    </row>
    <row r="25" spans="1:17" ht="15.75" x14ac:dyDescent="0.2">
      <c r="A25" s="65">
        <v>12</v>
      </c>
      <c r="B25" s="61">
        <v>990.6</v>
      </c>
      <c r="C25" s="61">
        <v>991.4</v>
      </c>
      <c r="D25" s="61">
        <v>991.7</v>
      </c>
      <c r="E25" s="61">
        <v>990.1</v>
      </c>
      <c r="F25" s="61">
        <v>989.6</v>
      </c>
      <c r="G25" s="61">
        <v>988.8</v>
      </c>
      <c r="H25" s="61">
        <v>988.3</v>
      </c>
      <c r="I25" s="61">
        <v>987.6</v>
      </c>
      <c r="J25" s="61">
        <v>987.1</v>
      </c>
      <c r="K25" s="61">
        <v>987.7</v>
      </c>
      <c r="L25" s="61">
        <v>988.1</v>
      </c>
      <c r="M25" s="61">
        <v>988.6</v>
      </c>
      <c r="N25" s="61">
        <v>989.3</v>
      </c>
      <c r="O25" s="62">
        <f t="shared" si="0"/>
        <v>991.7</v>
      </c>
      <c r="P25" s="63">
        <f t="shared" si="1"/>
        <v>987.1</v>
      </c>
      <c r="Q25" s="64">
        <f t="shared" si="2"/>
        <v>989.14615384615399</v>
      </c>
    </row>
    <row r="26" spans="1:17" ht="15.75" x14ac:dyDescent="0.2">
      <c r="A26" s="65">
        <v>13</v>
      </c>
      <c r="B26" s="61">
        <v>990.8</v>
      </c>
      <c r="C26" s="61">
        <v>991.44</v>
      </c>
      <c r="D26" s="61">
        <v>991.7</v>
      </c>
      <c r="E26" s="61">
        <v>991.53</v>
      </c>
      <c r="F26" s="61">
        <v>990.92</v>
      </c>
      <c r="G26" s="61">
        <v>990.08</v>
      </c>
      <c r="H26" s="61">
        <v>988.99</v>
      </c>
      <c r="I26" s="61">
        <v>988.3</v>
      </c>
      <c r="J26" s="61">
        <v>988.5</v>
      </c>
      <c r="K26" s="61">
        <v>989</v>
      </c>
      <c r="L26" s="61">
        <v>989.4</v>
      </c>
      <c r="M26" s="61">
        <v>990.1</v>
      </c>
      <c r="N26" s="61">
        <v>990.7</v>
      </c>
      <c r="O26" s="62">
        <f t="shared" si="0"/>
        <v>991.7</v>
      </c>
      <c r="P26" s="63">
        <f t="shared" si="1"/>
        <v>988.3</v>
      </c>
      <c r="Q26" s="64">
        <f t="shared" si="2"/>
        <v>990.11230769230781</v>
      </c>
    </row>
    <row r="27" spans="1:17" ht="15.75" x14ac:dyDescent="0.2">
      <c r="A27" s="65">
        <v>14</v>
      </c>
      <c r="B27" s="61">
        <v>990.6</v>
      </c>
      <c r="C27" s="61">
        <v>991.3</v>
      </c>
      <c r="D27" s="61">
        <v>991.7</v>
      </c>
      <c r="E27" s="61">
        <v>991.4</v>
      </c>
      <c r="F27" s="61">
        <v>990.8</v>
      </c>
      <c r="G27" s="61">
        <v>989.9</v>
      </c>
      <c r="H27" s="61">
        <v>989.3</v>
      </c>
      <c r="I27" s="61">
        <v>988.6</v>
      </c>
      <c r="J27" s="61">
        <v>988.6</v>
      </c>
      <c r="K27" s="61">
        <v>988.7</v>
      </c>
      <c r="L27" s="61">
        <v>989</v>
      </c>
      <c r="M27" s="61">
        <v>989.2</v>
      </c>
      <c r="N27" s="61">
        <v>989.8</v>
      </c>
      <c r="O27" s="62">
        <f t="shared" si="0"/>
        <v>991.7</v>
      </c>
      <c r="P27" s="63">
        <f t="shared" si="1"/>
        <v>988.6</v>
      </c>
      <c r="Q27" s="64">
        <f t="shared" si="2"/>
        <v>989.91538461538471</v>
      </c>
    </row>
    <row r="28" spans="1:17" ht="15.75" x14ac:dyDescent="0.2">
      <c r="A28" s="65">
        <v>15</v>
      </c>
      <c r="B28" s="61">
        <v>991.2</v>
      </c>
      <c r="C28" s="61">
        <v>991.6</v>
      </c>
      <c r="D28" s="61">
        <v>991.7</v>
      </c>
      <c r="E28" s="61">
        <v>991.1</v>
      </c>
      <c r="F28" s="61">
        <v>990.2</v>
      </c>
      <c r="G28" s="61">
        <v>989.5</v>
      </c>
      <c r="H28" s="61">
        <v>988.7</v>
      </c>
      <c r="I28" s="61">
        <v>988.4</v>
      </c>
      <c r="J28" s="61">
        <v>988.3</v>
      </c>
      <c r="K28" s="61">
        <v>989.4</v>
      </c>
      <c r="L28" s="61">
        <v>988.9</v>
      </c>
      <c r="M28" s="61">
        <v>989.7</v>
      </c>
      <c r="N28" s="61">
        <v>990.4</v>
      </c>
      <c r="O28" s="62">
        <f t="shared" si="0"/>
        <v>991.7</v>
      </c>
      <c r="P28" s="63">
        <f t="shared" si="1"/>
        <v>988.3</v>
      </c>
      <c r="Q28" s="64">
        <f t="shared" si="2"/>
        <v>989.9307692307691</v>
      </c>
    </row>
    <row r="29" spans="1:17" ht="15.75" x14ac:dyDescent="0.2">
      <c r="A29" s="65">
        <v>16</v>
      </c>
      <c r="B29" s="61">
        <v>991.5</v>
      </c>
      <c r="C29" s="61">
        <v>992</v>
      </c>
      <c r="D29" s="61">
        <v>992.1</v>
      </c>
      <c r="E29" s="61">
        <v>991.7</v>
      </c>
      <c r="F29" s="61">
        <v>990.8</v>
      </c>
      <c r="G29" s="61">
        <v>990.1</v>
      </c>
      <c r="H29" s="61">
        <v>989.3</v>
      </c>
      <c r="I29" s="61">
        <v>989.1</v>
      </c>
      <c r="J29" s="61">
        <v>989</v>
      </c>
      <c r="K29" s="61">
        <v>988.9</v>
      </c>
      <c r="L29" s="61">
        <v>989.6</v>
      </c>
      <c r="M29" s="61">
        <v>990.3</v>
      </c>
      <c r="N29" s="61">
        <v>990.9</v>
      </c>
      <c r="O29" s="62">
        <f t="shared" si="0"/>
        <v>992.1</v>
      </c>
      <c r="P29" s="63">
        <f t="shared" si="1"/>
        <v>988.9</v>
      </c>
      <c r="Q29" s="64">
        <f t="shared" si="2"/>
        <v>990.4076923076924</v>
      </c>
    </row>
    <row r="30" spans="1:17" ht="15.75" x14ac:dyDescent="0.2">
      <c r="A30" s="65">
        <v>17</v>
      </c>
      <c r="B30" s="61">
        <v>993.1</v>
      </c>
      <c r="C30" s="61">
        <v>993.67</v>
      </c>
      <c r="D30" s="61">
        <v>993.5</v>
      </c>
      <c r="E30" s="61">
        <v>992.85</v>
      </c>
      <c r="F30" s="61">
        <v>992.08</v>
      </c>
      <c r="G30" s="61">
        <v>991.26</v>
      </c>
      <c r="H30" s="61">
        <v>990.82</v>
      </c>
      <c r="I30" s="61">
        <v>990</v>
      </c>
      <c r="J30" s="61">
        <v>989.5</v>
      </c>
      <c r="K30" s="61">
        <v>989.3</v>
      </c>
      <c r="L30" s="61">
        <v>990.2</v>
      </c>
      <c r="M30" s="61">
        <v>990.3</v>
      </c>
      <c r="N30" s="61">
        <v>991</v>
      </c>
      <c r="O30" s="62">
        <f t="shared" si="0"/>
        <v>993.67</v>
      </c>
      <c r="P30" s="63">
        <f t="shared" si="1"/>
        <v>989.3</v>
      </c>
      <c r="Q30" s="64">
        <f t="shared" si="2"/>
        <v>991.35230769230759</v>
      </c>
    </row>
    <row r="31" spans="1:17" ht="15.75" x14ac:dyDescent="0.2">
      <c r="A31" s="65">
        <v>18</v>
      </c>
      <c r="B31" s="61">
        <v>991.7</v>
      </c>
      <c r="C31" s="61">
        <v>992</v>
      </c>
      <c r="D31" s="61">
        <v>992.2</v>
      </c>
      <c r="E31" s="61">
        <v>991.9</v>
      </c>
      <c r="F31" s="61">
        <v>991.1</v>
      </c>
      <c r="G31" s="61">
        <v>990.2</v>
      </c>
      <c r="H31" s="61">
        <v>989.8</v>
      </c>
      <c r="I31" s="61">
        <v>989.1</v>
      </c>
      <c r="J31" s="61">
        <v>988.6</v>
      </c>
      <c r="K31" s="61">
        <v>988</v>
      </c>
      <c r="L31" s="61">
        <v>989.5</v>
      </c>
      <c r="M31" s="61">
        <v>990</v>
      </c>
      <c r="N31" s="61">
        <v>990.8</v>
      </c>
      <c r="O31" s="62">
        <f t="shared" si="0"/>
        <v>992.2</v>
      </c>
      <c r="P31" s="63">
        <f t="shared" si="1"/>
        <v>988</v>
      </c>
      <c r="Q31" s="64">
        <f t="shared" si="2"/>
        <v>990.37692307692305</v>
      </c>
    </row>
    <row r="32" spans="1:17" ht="15.75" x14ac:dyDescent="0.2">
      <c r="A32" s="65">
        <v>19</v>
      </c>
      <c r="B32" s="61">
        <v>991.9</v>
      </c>
      <c r="C32" s="61">
        <v>992</v>
      </c>
      <c r="D32" s="61">
        <v>991.8</v>
      </c>
      <c r="E32" s="61">
        <v>991.4</v>
      </c>
      <c r="F32" s="61">
        <v>990.6</v>
      </c>
      <c r="G32" s="61">
        <v>990</v>
      </c>
      <c r="H32" s="61">
        <v>988.9</v>
      </c>
      <c r="I32" s="61">
        <v>988.4</v>
      </c>
      <c r="J32" s="61">
        <v>988</v>
      </c>
      <c r="K32" s="61">
        <v>988.6</v>
      </c>
      <c r="L32" s="61">
        <v>989.1</v>
      </c>
      <c r="M32" s="61">
        <v>989.7</v>
      </c>
      <c r="N32" s="61">
        <v>990.7</v>
      </c>
      <c r="O32" s="62">
        <f t="shared" si="0"/>
        <v>992</v>
      </c>
      <c r="P32" s="63">
        <f t="shared" si="1"/>
        <v>988</v>
      </c>
      <c r="Q32" s="64">
        <f t="shared" si="2"/>
        <v>990.08461538461552</v>
      </c>
    </row>
    <row r="33" spans="1:17" ht="15.75" x14ac:dyDescent="0.2">
      <c r="A33" s="65">
        <v>20</v>
      </c>
      <c r="B33" s="61">
        <v>992</v>
      </c>
      <c r="C33" s="61">
        <v>992.3</v>
      </c>
      <c r="D33" s="61">
        <v>992.4</v>
      </c>
      <c r="E33" s="61">
        <v>991.4</v>
      </c>
      <c r="F33" s="61">
        <v>990.2</v>
      </c>
      <c r="G33" s="61">
        <v>989.4</v>
      </c>
      <c r="H33" s="61">
        <v>988.2</v>
      </c>
      <c r="I33" s="61">
        <v>987.5</v>
      </c>
      <c r="J33" s="61">
        <v>987</v>
      </c>
      <c r="K33" s="61">
        <v>987.2</v>
      </c>
      <c r="L33" s="61">
        <v>987.8</v>
      </c>
      <c r="M33" s="61">
        <v>988.5</v>
      </c>
      <c r="N33" s="61">
        <v>989.3</v>
      </c>
      <c r="O33" s="62">
        <f t="shared" si="0"/>
        <v>992.4</v>
      </c>
      <c r="P33" s="63">
        <f t="shared" si="1"/>
        <v>987</v>
      </c>
      <c r="Q33" s="64">
        <f t="shared" si="2"/>
        <v>989.47692307692296</v>
      </c>
    </row>
    <row r="34" spans="1:17" ht="15.75" x14ac:dyDescent="0.2">
      <c r="A34" s="65">
        <v>21</v>
      </c>
      <c r="B34" s="61">
        <v>991.7</v>
      </c>
      <c r="C34" s="61">
        <v>992.2</v>
      </c>
      <c r="D34" s="61">
        <v>992.4</v>
      </c>
      <c r="E34" s="61">
        <v>991.8</v>
      </c>
      <c r="F34" s="61">
        <v>990.9</v>
      </c>
      <c r="G34" s="61">
        <v>990</v>
      </c>
      <c r="H34" s="61">
        <v>989.2</v>
      </c>
      <c r="I34" s="61">
        <v>988.7</v>
      </c>
      <c r="J34" s="61">
        <v>988.2</v>
      </c>
      <c r="K34" s="61">
        <v>988.3</v>
      </c>
      <c r="L34" s="61">
        <v>988.7</v>
      </c>
      <c r="M34" s="61">
        <v>989.5</v>
      </c>
      <c r="N34" s="61">
        <v>990.2</v>
      </c>
      <c r="O34" s="62">
        <f t="shared" si="0"/>
        <v>992.4</v>
      </c>
      <c r="P34" s="63">
        <f t="shared" si="1"/>
        <v>988.2</v>
      </c>
      <c r="Q34" s="64">
        <f t="shared" si="2"/>
        <v>990.13846153846157</v>
      </c>
    </row>
    <row r="35" spans="1:17" ht="15.75" x14ac:dyDescent="0.2">
      <c r="A35" s="65">
        <v>22</v>
      </c>
      <c r="B35" s="61">
        <v>992</v>
      </c>
      <c r="C35" s="61">
        <v>992.5</v>
      </c>
      <c r="D35" s="61">
        <v>992.5</v>
      </c>
      <c r="E35" s="61">
        <v>992</v>
      </c>
      <c r="F35" s="61">
        <v>991.1</v>
      </c>
      <c r="G35" s="61">
        <v>990.5</v>
      </c>
      <c r="H35" s="61">
        <v>989.7</v>
      </c>
      <c r="I35" s="61">
        <v>988.82</v>
      </c>
      <c r="J35" s="61">
        <v>988.49</v>
      </c>
      <c r="K35" s="61">
        <v>988.62</v>
      </c>
      <c r="L35" s="61">
        <v>989.4</v>
      </c>
      <c r="M35" s="61">
        <v>990.13</v>
      </c>
      <c r="N35" s="61">
        <v>990.6</v>
      </c>
      <c r="O35" s="62">
        <f t="shared" si="0"/>
        <v>992.5</v>
      </c>
      <c r="P35" s="63">
        <f t="shared" si="1"/>
        <v>988.49</v>
      </c>
      <c r="Q35" s="64">
        <f t="shared" si="2"/>
        <v>990.48923076923086</v>
      </c>
    </row>
    <row r="36" spans="1:17" ht="15.75" x14ac:dyDescent="0.2">
      <c r="A36" s="65">
        <v>23</v>
      </c>
      <c r="B36" s="61">
        <v>992.2</v>
      </c>
      <c r="C36" s="61">
        <v>992.7</v>
      </c>
      <c r="D36" s="61">
        <v>992.7</v>
      </c>
      <c r="E36" s="61">
        <v>992</v>
      </c>
      <c r="F36" s="61">
        <v>990.8</v>
      </c>
      <c r="G36" s="61">
        <v>990.1</v>
      </c>
      <c r="H36" s="61">
        <v>988.9</v>
      </c>
      <c r="I36" s="61">
        <v>988.2</v>
      </c>
      <c r="J36" s="61">
        <v>987.8</v>
      </c>
      <c r="K36" s="61">
        <v>987.9</v>
      </c>
      <c r="L36" s="61">
        <v>988.4</v>
      </c>
      <c r="M36" s="61">
        <v>989.3</v>
      </c>
      <c r="N36" s="61">
        <v>990</v>
      </c>
      <c r="O36" s="62">
        <f t="shared" si="0"/>
        <v>992.7</v>
      </c>
      <c r="P36" s="63">
        <f t="shared" si="1"/>
        <v>987.8</v>
      </c>
      <c r="Q36" s="64">
        <f t="shared" si="2"/>
        <v>990.07692307692298</v>
      </c>
    </row>
    <row r="37" spans="1:17" ht="15.75" x14ac:dyDescent="0.2">
      <c r="A37" s="65">
        <v>24</v>
      </c>
      <c r="B37" s="61">
        <v>993</v>
      </c>
      <c r="C37" s="61">
        <v>993.6</v>
      </c>
      <c r="D37" s="61">
        <v>992.9</v>
      </c>
      <c r="E37" s="61">
        <v>992.4</v>
      </c>
      <c r="F37" s="61">
        <v>991.3</v>
      </c>
      <c r="G37" s="61">
        <v>990.3</v>
      </c>
      <c r="H37" s="61">
        <v>989.4</v>
      </c>
      <c r="I37" s="61">
        <v>988.4</v>
      </c>
      <c r="J37" s="61">
        <v>987.9</v>
      </c>
      <c r="K37" s="61">
        <v>988.1</v>
      </c>
      <c r="L37" s="61">
        <v>988.4</v>
      </c>
      <c r="M37" s="61">
        <v>989.5</v>
      </c>
      <c r="N37" s="61">
        <v>990</v>
      </c>
      <c r="O37" s="62">
        <f t="shared" si="0"/>
        <v>993.6</v>
      </c>
      <c r="P37" s="63">
        <f t="shared" si="1"/>
        <v>987.9</v>
      </c>
      <c r="Q37" s="64">
        <f t="shared" si="2"/>
        <v>990.39999999999986</v>
      </c>
    </row>
    <row r="38" spans="1:17" ht="15.75" x14ac:dyDescent="0.2">
      <c r="A38" s="65">
        <v>25</v>
      </c>
      <c r="B38" s="61">
        <v>993</v>
      </c>
      <c r="C38" s="61">
        <v>993.5</v>
      </c>
      <c r="D38" s="61">
        <v>993.64</v>
      </c>
      <c r="E38" s="61">
        <v>992.68</v>
      </c>
      <c r="F38" s="61">
        <v>991.81</v>
      </c>
      <c r="G38" s="61">
        <v>990.49</v>
      </c>
      <c r="H38" s="61">
        <v>989.62</v>
      </c>
      <c r="I38" s="61">
        <v>988.9</v>
      </c>
      <c r="J38" s="61">
        <v>988.2</v>
      </c>
      <c r="K38" s="61">
        <v>988.5</v>
      </c>
      <c r="L38" s="61">
        <v>988.9</v>
      </c>
      <c r="M38" s="61">
        <v>989.4</v>
      </c>
      <c r="N38" s="61">
        <v>990</v>
      </c>
      <c r="O38" s="62">
        <f t="shared" si="0"/>
        <v>993.64</v>
      </c>
      <c r="P38" s="63">
        <f t="shared" si="1"/>
        <v>988.2</v>
      </c>
      <c r="Q38" s="64">
        <f t="shared" si="2"/>
        <v>990.66461538461522</v>
      </c>
    </row>
    <row r="39" spans="1:17" ht="15.75" x14ac:dyDescent="0.2">
      <c r="A39" s="65">
        <v>26</v>
      </c>
      <c r="B39" s="61">
        <v>990.9</v>
      </c>
      <c r="C39" s="61">
        <v>991.3</v>
      </c>
      <c r="D39" s="61">
        <v>991.3</v>
      </c>
      <c r="E39" s="61">
        <v>990.8</v>
      </c>
      <c r="F39" s="61">
        <v>989.9</v>
      </c>
      <c r="G39" s="61">
        <v>989.2</v>
      </c>
      <c r="H39" s="61">
        <v>988.4</v>
      </c>
      <c r="I39" s="61">
        <v>988.3</v>
      </c>
      <c r="J39" s="61">
        <v>988.2</v>
      </c>
      <c r="K39" s="61">
        <v>988.2</v>
      </c>
      <c r="L39" s="61">
        <v>988.9</v>
      </c>
      <c r="M39" s="61">
        <v>989.6</v>
      </c>
      <c r="N39" s="61">
        <v>990.2</v>
      </c>
      <c r="O39" s="62">
        <f t="shared" si="0"/>
        <v>991.3</v>
      </c>
      <c r="P39" s="63">
        <f t="shared" si="1"/>
        <v>988.2</v>
      </c>
      <c r="Q39" s="64">
        <f t="shared" si="2"/>
        <v>989.63076923076926</v>
      </c>
    </row>
    <row r="40" spans="1:17" ht="15.75" x14ac:dyDescent="0.2">
      <c r="A40" s="65">
        <v>27</v>
      </c>
      <c r="B40" s="61">
        <v>990.6</v>
      </c>
      <c r="C40" s="61">
        <v>991.1</v>
      </c>
      <c r="D40" s="61">
        <v>991.1</v>
      </c>
      <c r="E40" s="61">
        <v>990.6</v>
      </c>
      <c r="F40" s="61">
        <v>989.8</v>
      </c>
      <c r="G40" s="61">
        <v>988.7</v>
      </c>
      <c r="H40" s="61">
        <v>988.3</v>
      </c>
      <c r="I40" s="61">
        <v>987.6</v>
      </c>
      <c r="J40" s="61">
        <v>987.2</v>
      </c>
      <c r="K40" s="61">
        <v>987.4</v>
      </c>
      <c r="L40" s="61">
        <v>987.9</v>
      </c>
      <c r="M40" s="61">
        <v>988.7</v>
      </c>
      <c r="N40" s="61">
        <v>989.7</v>
      </c>
      <c r="O40" s="62">
        <f t="shared" si="0"/>
        <v>991.1</v>
      </c>
      <c r="P40" s="63">
        <f t="shared" si="1"/>
        <v>987.2</v>
      </c>
      <c r="Q40" s="64">
        <f t="shared" si="2"/>
        <v>989.13076923076926</v>
      </c>
    </row>
    <row r="41" spans="1:17" ht="15.75" x14ac:dyDescent="0.2">
      <c r="A41" s="65">
        <v>28</v>
      </c>
      <c r="B41" s="61">
        <v>991.4</v>
      </c>
      <c r="C41" s="61">
        <v>991.9</v>
      </c>
      <c r="D41" s="61">
        <v>992.5</v>
      </c>
      <c r="E41" s="61">
        <v>991.9</v>
      </c>
      <c r="F41" s="61">
        <v>991.2</v>
      </c>
      <c r="G41" s="61">
        <v>990.3</v>
      </c>
      <c r="H41" s="61">
        <v>989.8</v>
      </c>
      <c r="I41" s="61">
        <v>989.09</v>
      </c>
      <c r="J41" s="61">
        <v>988.53</v>
      </c>
      <c r="K41" s="61">
        <v>988.47</v>
      </c>
      <c r="L41" s="61">
        <v>988.78</v>
      </c>
      <c r="M41" s="61">
        <v>989.29</v>
      </c>
      <c r="N41" s="61">
        <v>989.77</v>
      </c>
      <c r="O41" s="62">
        <f t="shared" si="0"/>
        <v>992.5</v>
      </c>
      <c r="P41" s="63">
        <f t="shared" si="1"/>
        <v>988.47</v>
      </c>
      <c r="Q41" s="64">
        <f t="shared" si="2"/>
        <v>990.22538461538466</v>
      </c>
    </row>
    <row r="42" spans="1:17" ht="15.75" x14ac:dyDescent="0.2">
      <c r="A42" s="65">
        <v>29</v>
      </c>
      <c r="B42" s="61">
        <v>990.7</v>
      </c>
      <c r="C42" s="61">
        <v>991.3</v>
      </c>
      <c r="D42" s="61">
        <v>991.9</v>
      </c>
      <c r="E42" s="61">
        <v>992</v>
      </c>
      <c r="F42" s="61">
        <v>991.5</v>
      </c>
      <c r="G42" s="61">
        <v>990.9</v>
      </c>
      <c r="H42" s="61">
        <v>990.4</v>
      </c>
      <c r="I42" s="61">
        <v>990</v>
      </c>
      <c r="J42" s="61">
        <v>990</v>
      </c>
      <c r="K42" s="61">
        <v>990.1</v>
      </c>
      <c r="L42" s="61">
        <v>990.4</v>
      </c>
      <c r="M42" s="61">
        <v>991</v>
      </c>
      <c r="N42" s="61">
        <v>991.6</v>
      </c>
      <c r="O42" s="62">
        <f t="shared" si="0"/>
        <v>992</v>
      </c>
      <c r="P42" s="63">
        <f t="shared" si="1"/>
        <v>990</v>
      </c>
      <c r="Q42" s="64">
        <f t="shared" si="2"/>
        <v>990.90769230769229</v>
      </c>
    </row>
    <row r="43" spans="1:17" ht="15.75" x14ac:dyDescent="0.2">
      <c r="A43" s="65">
        <v>30</v>
      </c>
      <c r="B43" s="78">
        <v>991.4</v>
      </c>
      <c r="C43" s="79">
        <v>991.7</v>
      </c>
      <c r="D43" s="79">
        <v>991.6</v>
      </c>
      <c r="E43" s="79">
        <v>991.3</v>
      </c>
      <c r="F43" s="79">
        <v>990.2</v>
      </c>
      <c r="G43" s="79">
        <v>989.8</v>
      </c>
      <c r="H43" s="79">
        <v>988.9</v>
      </c>
      <c r="I43" s="79">
        <v>987.6</v>
      </c>
      <c r="J43" s="79">
        <v>987.3</v>
      </c>
      <c r="K43" s="79">
        <v>987.4</v>
      </c>
      <c r="L43" s="79">
        <v>987.9</v>
      </c>
      <c r="M43" s="79">
        <v>988.7</v>
      </c>
      <c r="N43" s="80">
        <v>989.5</v>
      </c>
      <c r="O43" s="62">
        <f t="shared" si="0"/>
        <v>991.7</v>
      </c>
      <c r="P43" s="63">
        <f t="shared" si="1"/>
        <v>987.3</v>
      </c>
      <c r="Q43" s="64">
        <f t="shared" si="2"/>
        <v>989.48461538461538</v>
      </c>
    </row>
    <row r="44" spans="1:17" ht="16.5" thickBot="1" x14ac:dyDescent="0.25">
      <c r="A44" s="65">
        <v>31</v>
      </c>
      <c r="B44" s="81">
        <v>990.46</v>
      </c>
      <c r="C44" s="82">
        <v>991.14</v>
      </c>
      <c r="D44" s="82">
        <v>990.34</v>
      </c>
      <c r="E44" s="82">
        <v>990.55</v>
      </c>
      <c r="F44" s="82">
        <v>989.84</v>
      </c>
      <c r="G44" s="82">
        <v>988.83</v>
      </c>
      <c r="H44" s="82">
        <v>988.27</v>
      </c>
      <c r="I44" s="82">
        <v>987.2</v>
      </c>
      <c r="J44" s="82">
        <v>987.3</v>
      </c>
      <c r="K44" s="82">
        <v>987.6</v>
      </c>
      <c r="L44" s="82">
        <v>987.2</v>
      </c>
      <c r="M44" s="82">
        <v>987.9</v>
      </c>
      <c r="N44" s="83">
        <v>988.9</v>
      </c>
      <c r="O44" s="62">
        <f t="shared" ref="O44" si="3">MAX(B44:N44)</f>
        <v>991.14</v>
      </c>
      <c r="P44" s="63">
        <f t="shared" ref="P44" si="4">MIN(B44:N44)</f>
        <v>987.2</v>
      </c>
      <c r="Q44" s="64">
        <f t="shared" ref="Q44" si="5">AVERAGE(B44:N44)</f>
        <v>988.88692307692315</v>
      </c>
    </row>
    <row r="45" spans="1:17" ht="16.5" thickTop="1" x14ac:dyDescent="0.2">
      <c r="A45" s="66" t="s">
        <v>23</v>
      </c>
      <c r="B45" s="67">
        <f>MAX(B14:B44)</f>
        <v>993.1</v>
      </c>
      <c r="C45" s="67">
        <f t="shared" ref="C45:N45" si="6">MAX(C14:C44)</f>
        <v>993.67</v>
      </c>
      <c r="D45" s="67">
        <f t="shared" si="6"/>
        <v>993.64</v>
      </c>
      <c r="E45" s="67">
        <f t="shared" si="6"/>
        <v>992.85</v>
      </c>
      <c r="F45" s="67">
        <f t="shared" si="6"/>
        <v>992.08</v>
      </c>
      <c r="G45" s="67">
        <f t="shared" si="6"/>
        <v>991.26</v>
      </c>
      <c r="H45" s="67">
        <f t="shared" si="6"/>
        <v>990.82</v>
      </c>
      <c r="I45" s="67">
        <f t="shared" si="6"/>
        <v>990</v>
      </c>
      <c r="J45" s="67">
        <f t="shared" si="6"/>
        <v>990</v>
      </c>
      <c r="K45" s="67">
        <f t="shared" si="6"/>
        <v>990.1</v>
      </c>
      <c r="L45" s="67">
        <f t="shared" si="6"/>
        <v>990.4</v>
      </c>
      <c r="M45" s="67">
        <f t="shared" si="6"/>
        <v>991</v>
      </c>
      <c r="N45" s="67">
        <f t="shared" si="6"/>
        <v>991.6</v>
      </c>
      <c r="O45" s="68">
        <f>MAX(O14:O44)</f>
        <v>993.67</v>
      </c>
      <c r="P45" s="68">
        <f>MAX(P14:P44)</f>
        <v>990</v>
      </c>
      <c r="Q45" s="68">
        <f t="shared" ref="Q45" si="7">MAX(Q14:Q44)</f>
        <v>991.35230769230759</v>
      </c>
    </row>
    <row r="46" spans="1:17" ht="15.75" x14ac:dyDescent="0.2">
      <c r="A46" s="69" t="s">
        <v>24</v>
      </c>
      <c r="B46" s="70">
        <f t="shared" ref="B46:N46" si="8">MIN(B14:B43)</f>
        <v>989.5</v>
      </c>
      <c r="C46" s="70">
        <f t="shared" si="8"/>
        <v>989.8</v>
      </c>
      <c r="D46" s="70">
        <f t="shared" si="8"/>
        <v>989.8</v>
      </c>
      <c r="E46" s="70">
        <f t="shared" si="8"/>
        <v>989.3</v>
      </c>
      <c r="F46" s="70">
        <f t="shared" si="8"/>
        <v>989.6</v>
      </c>
      <c r="G46" s="70">
        <f t="shared" si="8"/>
        <v>987.4</v>
      </c>
      <c r="H46" s="70">
        <f t="shared" si="8"/>
        <v>986.9</v>
      </c>
      <c r="I46" s="70">
        <f t="shared" si="8"/>
        <v>986.5</v>
      </c>
      <c r="J46" s="70">
        <f t="shared" si="8"/>
        <v>986.7</v>
      </c>
      <c r="K46" s="70">
        <f t="shared" si="8"/>
        <v>986.9</v>
      </c>
      <c r="L46" s="70">
        <f t="shared" si="8"/>
        <v>987.6</v>
      </c>
      <c r="M46" s="70">
        <f t="shared" si="8"/>
        <v>988.3</v>
      </c>
      <c r="N46" s="70">
        <f t="shared" si="8"/>
        <v>988.9</v>
      </c>
      <c r="O46" s="71">
        <f>MIN(O14:O44)</f>
        <v>989.8</v>
      </c>
      <c r="P46" s="71">
        <f t="shared" ref="P46:Q46" si="9">MIN(P14:P44)</f>
        <v>986.5</v>
      </c>
      <c r="Q46" s="71">
        <f t="shared" si="9"/>
        <v>988.26153846153829</v>
      </c>
    </row>
    <row r="47" spans="1:17" ht="16.5" thickBot="1" x14ac:dyDescent="0.25">
      <c r="A47" s="72" t="s">
        <v>25</v>
      </c>
      <c r="B47" s="73">
        <f t="shared" ref="B47:N47" si="10">AVERAGE(B14:B43)</f>
        <v>991.53100000000029</v>
      </c>
      <c r="C47" s="73">
        <f t="shared" si="10"/>
        <v>991.93366666666657</v>
      </c>
      <c r="D47" s="73">
        <f t="shared" si="10"/>
        <v>991.97866666666675</v>
      </c>
      <c r="E47" s="73">
        <f t="shared" si="10"/>
        <v>991.44933333333347</v>
      </c>
      <c r="F47" s="73">
        <f t="shared" si="10"/>
        <v>990.67200000000003</v>
      </c>
      <c r="G47" s="73">
        <f t="shared" si="10"/>
        <v>989.77066666666678</v>
      </c>
      <c r="H47" s="73">
        <f t="shared" si="10"/>
        <v>989.05433333333349</v>
      </c>
      <c r="I47" s="73">
        <f t="shared" si="10"/>
        <v>988.43133333333344</v>
      </c>
      <c r="J47" s="73">
        <f t="shared" si="10"/>
        <v>988.14800000000002</v>
      </c>
      <c r="K47" s="73">
        <f t="shared" si="10"/>
        <v>988.28066666666678</v>
      </c>
      <c r="L47" s="73">
        <f t="shared" si="10"/>
        <v>988.80666666666696</v>
      </c>
      <c r="M47" s="73">
        <f t="shared" si="10"/>
        <v>989.46566666666683</v>
      </c>
      <c r="N47" s="73">
        <f t="shared" si="10"/>
        <v>990.15166666666664</v>
      </c>
      <c r="O47" s="74">
        <f>AVERAGE(O14:O44)</f>
        <v>992.03612903225815</v>
      </c>
      <c r="P47" s="74">
        <f t="shared" ref="P47:Q47" si="11">AVERAGE(P14:P44)</f>
        <v>988.04774193548394</v>
      </c>
      <c r="Q47" s="74">
        <f t="shared" si="11"/>
        <v>989.93980148883395</v>
      </c>
    </row>
    <row r="48" spans="1:17" ht="13.5" thickTop="1" x14ac:dyDescent="0.2"/>
    <row r="49" spans="2:15" ht="15" x14ac:dyDescent="0.25">
      <c r="B49" s="75"/>
      <c r="C49" s="76" t="str">
        <f>[4]QFE!C43</f>
        <v>Mengetahui,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</row>
    <row r="50" spans="2:15" ht="15" x14ac:dyDescent="0.25">
      <c r="B50" s="75"/>
      <c r="C50" s="76" t="str">
        <f>[4]QFE!C44</f>
        <v>Kepala Stasiun Klimatologi Kelas IV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6" t="str">
        <f>[4]QFE!O44</f>
        <v>Pengolah</v>
      </c>
      <c r="O50" s="75"/>
    </row>
    <row r="51" spans="2:15" ht="15" x14ac:dyDescent="0.25">
      <c r="B51" s="75"/>
      <c r="C51" s="76" t="str">
        <f>[4]QFE!C45</f>
        <v>Sleman Yogyakarta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6"/>
      <c r="O51" s="75"/>
    </row>
    <row r="52" spans="2:15" ht="15" x14ac:dyDescent="0.25">
      <c r="B52" s="75"/>
      <c r="C52" s="76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6"/>
      <c r="O52" s="75"/>
    </row>
    <row r="53" spans="2:15" ht="15" x14ac:dyDescent="0.25">
      <c r="B53" s="75"/>
      <c r="C53" s="76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6"/>
      <c r="O53" s="75"/>
    </row>
    <row r="54" spans="2:15" ht="15" x14ac:dyDescent="0.25">
      <c r="B54" s="75"/>
      <c r="C54" s="76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6"/>
      <c r="O54" s="75"/>
    </row>
    <row r="55" spans="2:15" ht="15" x14ac:dyDescent="0.25">
      <c r="B55" s="75"/>
      <c r="C55" s="77" t="str">
        <f>[4]QFE!C50</f>
        <v>RENI KRANINGTYAS, SP, M.Si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7" t="str">
        <f>[4]QFE!O50</f>
        <v xml:space="preserve">TIM PEMBUAT LAPORAN </v>
      </c>
      <c r="O55" s="75"/>
    </row>
    <row r="56" spans="2:15" ht="15" x14ac:dyDescent="0.25">
      <c r="B56" s="75"/>
      <c r="C56" s="76" t="str">
        <f>[4]QFE!C51</f>
        <v>NIP.  19740203 199703 2 001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6" t="str">
        <f>[4]QFE!O51</f>
        <v xml:space="preserve">PETUGAS OPERASIONAL </v>
      </c>
      <c r="O56" s="75"/>
    </row>
    <row r="57" spans="2:15" ht="15" x14ac:dyDescent="0.25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</row>
  </sheetData>
  <mergeCells count="6">
    <mergeCell ref="A7:Q7"/>
    <mergeCell ref="A1:Q1"/>
    <mergeCell ref="A2:Q2"/>
    <mergeCell ref="A3:Q3"/>
    <mergeCell ref="A4:Q4"/>
    <mergeCell ref="A6:Q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Z56"/>
  <sheetViews>
    <sheetView workbookViewId="0">
      <selection activeCell="K16" sqref="K16"/>
    </sheetView>
  </sheetViews>
  <sheetFormatPr defaultRowHeight="12.75" x14ac:dyDescent="0.2"/>
  <cols>
    <col min="1" max="1" width="11.42578125" style="8" customWidth="1"/>
    <col min="2" max="16" width="11" style="1" customWidth="1"/>
    <col min="17" max="17" width="14" style="1" customWidth="1"/>
    <col min="18" max="256" width="9.140625" style="1"/>
    <col min="257" max="257" width="7.140625" style="1" customWidth="1"/>
    <col min="258" max="273" width="11" style="1" customWidth="1"/>
    <col min="274" max="512" width="9.140625" style="1"/>
    <col min="513" max="513" width="7.140625" style="1" customWidth="1"/>
    <col min="514" max="529" width="11" style="1" customWidth="1"/>
    <col min="530" max="768" width="9.140625" style="1"/>
    <col min="769" max="769" width="7.140625" style="1" customWidth="1"/>
    <col min="770" max="785" width="11" style="1" customWidth="1"/>
    <col min="786" max="1024" width="9.140625" style="1"/>
    <col min="1025" max="1025" width="7.140625" style="1" customWidth="1"/>
    <col min="1026" max="1041" width="11" style="1" customWidth="1"/>
    <col min="1042" max="1280" width="9.140625" style="1"/>
    <col min="1281" max="1281" width="7.140625" style="1" customWidth="1"/>
    <col min="1282" max="1297" width="11" style="1" customWidth="1"/>
    <col min="1298" max="1536" width="9.140625" style="1"/>
    <col min="1537" max="1537" width="7.140625" style="1" customWidth="1"/>
    <col min="1538" max="1553" width="11" style="1" customWidth="1"/>
    <col min="1554" max="1792" width="9.140625" style="1"/>
    <col min="1793" max="1793" width="7.140625" style="1" customWidth="1"/>
    <col min="1794" max="1809" width="11" style="1" customWidth="1"/>
    <col min="1810" max="2048" width="9.140625" style="1"/>
    <col min="2049" max="2049" width="7.140625" style="1" customWidth="1"/>
    <col min="2050" max="2065" width="11" style="1" customWidth="1"/>
    <col min="2066" max="2304" width="9.140625" style="1"/>
    <col min="2305" max="2305" width="7.140625" style="1" customWidth="1"/>
    <col min="2306" max="2321" width="11" style="1" customWidth="1"/>
    <col min="2322" max="2560" width="9.140625" style="1"/>
    <col min="2561" max="2561" width="7.140625" style="1" customWidth="1"/>
    <col min="2562" max="2577" width="11" style="1" customWidth="1"/>
    <col min="2578" max="2816" width="9.140625" style="1"/>
    <col min="2817" max="2817" width="7.140625" style="1" customWidth="1"/>
    <col min="2818" max="2833" width="11" style="1" customWidth="1"/>
    <col min="2834" max="3072" width="9.140625" style="1"/>
    <col min="3073" max="3073" width="7.140625" style="1" customWidth="1"/>
    <col min="3074" max="3089" width="11" style="1" customWidth="1"/>
    <col min="3090" max="3328" width="9.140625" style="1"/>
    <col min="3329" max="3329" width="7.140625" style="1" customWidth="1"/>
    <col min="3330" max="3345" width="11" style="1" customWidth="1"/>
    <col min="3346" max="3584" width="9.140625" style="1"/>
    <col min="3585" max="3585" width="7.140625" style="1" customWidth="1"/>
    <col min="3586" max="3601" width="11" style="1" customWidth="1"/>
    <col min="3602" max="3840" width="9.140625" style="1"/>
    <col min="3841" max="3841" width="7.140625" style="1" customWidth="1"/>
    <col min="3842" max="3857" width="11" style="1" customWidth="1"/>
    <col min="3858" max="4096" width="9.140625" style="1"/>
    <col min="4097" max="4097" width="7.140625" style="1" customWidth="1"/>
    <col min="4098" max="4113" width="11" style="1" customWidth="1"/>
    <col min="4114" max="4352" width="9.140625" style="1"/>
    <col min="4353" max="4353" width="7.140625" style="1" customWidth="1"/>
    <col min="4354" max="4369" width="11" style="1" customWidth="1"/>
    <col min="4370" max="4608" width="9.140625" style="1"/>
    <col min="4609" max="4609" width="7.140625" style="1" customWidth="1"/>
    <col min="4610" max="4625" width="11" style="1" customWidth="1"/>
    <col min="4626" max="4864" width="9.140625" style="1"/>
    <col min="4865" max="4865" width="7.140625" style="1" customWidth="1"/>
    <col min="4866" max="4881" width="11" style="1" customWidth="1"/>
    <col min="4882" max="5120" width="9.140625" style="1"/>
    <col min="5121" max="5121" width="7.140625" style="1" customWidth="1"/>
    <col min="5122" max="5137" width="11" style="1" customWidth="1"/>
    <col min="5138" max="5376" width="9.140625" style="1"/>
    <col min="5377" max="5377" width="7.140625" style="1" customWidth="1"/>
    <col min="5378" max="5393" width="11" style="1" customWidth="1"/>
    <col min="5394" max="5632" width="9.140625" style="1"/>
    <col min="5633" max="5633" width="7.140625" style="1" customWidth="1"/>
    <col min="5634" max="5649" width="11" style="1" customWidth="1"/>
    <col min="5650" max="5888" width="9.140625" style="1"/>
    <col min="5889" max="5889" width="7.140625" style="1" customWidth="1"/>
    <col min="5890" max="5905" width="11" style="1" customWidth="1"/>
    <col min="5906" max="6144" width="9.140625" style="1"/>
    <col min="6145" max="6145" width="7.140625" style="1" customWidth="1"/>
    <col min="6146" max="6161" width="11" style="1" customWidth="1"/>
    <col min="6162" max="6400" width="9.140625" style="1"/>
    <col min="6401" max="6401" width="7.140625" style="1" customWidth="1"/>
    <col min="6402" max="6417" width="11" style="1" customWidth="1"/>
    <col min="6418" max="6656" width="9.140625" style="1"/>
    <col min="6657" max="6657" width="7.140625" style="1" customWidth="1"/>
    <col min="6658" max="6673" width="11" style="1" customWidth="1"/>
    <col min="6674" max="6912" width="9.140625" style="1"/>
    <col min="6913" max="6913" width="7.140625" style="1" customWidth="1"/>
    <col min="6914" max="6929" width="11" style="1" customWidth="1"/>
    <col min="6930" max="7168" width="9.140625" style="1"/>
    <col min="7169" max="7169" width="7.140625" style="1" customWidth="1"/>
    <col min="7170" max="7185" width="11" style="1" customWidth="1"/>
    <col min="7186" max="7424" width="9.140625" style="1"/>
    <col min="7425" max="7425" width="7.140625" style="1" customWidth="1"/>
    <col min="7426" max="7441" width="11" style="1" customWidth="1"/>
    <col min="7442" max="7680" width="9.140625" style="1"/>
    <col min="7681" max="7681" width="7.140625" style="1" customWidth="1"/>
    <col min="7682" max="7697" width="11" style="1" customWidth="1"/>
    <col min="7698" max="7936" width="9.140625" style="1"/>
    <col min="7937" max="7937" width="7.140625" style="1" customWidth="1"/>
    <col min="7938" max="7953" width="11" style="1" customWidth="1"/>
    <col min="7954" max="8192" width="9.140625" style="1"/>
    <col min="8193" max="8193" width="7.140625" style="1" customWidth="1"/>
    <col min="8194" max="8209" width="11" style="1" customWidth="1"/>
    <col min="8210" max="8448" width="9.140625" style="1"/>
    <col min="8449" max="8449" width="7.140625" style="1" customWidth="1"/>
    <col min="8450" max="8465" width="11" style="1" customWidth="1"/>
    <col min="8466" max="8704" width="9.140625" style="1"/>
    <col min="8705" max="8705" width="7.140625" style="1" customWidth="1"/>
    <col min="8706" max="8721" width="11" style="1" customWidth="1"/>
    <col min="8722" max="8960" width="9.140625" style="1"/>
    <col min="8961" max="8961" width="7.140625" style="1" customWidth="1"/>
    <col min="8962" max="8977" width="11" style="1" customWidth="1"/>
    <col min="8978" max="9216" width="9.140625" style="1"/>
    <col min="9217" max="9217" width="7.140625" style="1" customWidth="1"/>
    <col min="9218" max="9233" width="11" style="1" customWidth="1"/>
    <col min="9234" max="9472" width="9.140625" style="1"/>
    <col min="9473" max="9473" width="7.140625" style="1" customWidth="1"/>
    <col min="9474" max="9489" width="11" style="1" customWidth="1"/>
    <col min="9490" max="9728" width="9.140625" style="1"/>
    <col min="9729" max="9729" width="7.140625" style="1" customWidth="1"/>
    <col min="9730" max="9745" width="11" style="1" customWidth="1"/>
    <col min="9746" max="9984" width="9.140625" style="1"/>
    <col min="9985" max="9985" width="7.140625" style="1" customWidth="1"/>
    <col min="9986" max="10001" width="11" style="1" customWidth="1"/>
    <col min="10002" max="10240" width="9.140625" style="1"/>
    <col min="10241" max="10241" width="7.140625" style="1" customWidth="1"/>
    <col min="10242" max="10257" width="11" style="1" customWidth="1"/>
    <col min="10258" max="10496" width="9.140625" style="1"/>
    <col min="10497" max="10497" width="7.140625" style="1" customWidth="1"/>
    <col min="10498" max="10513" width="11" style="1" customWidth="1"/>
    <col min="10514" max="10752" width="9.140625" style="1"/>
    <col min="10753" max="10753" width="7.140625" style="1" customWidth="1"/>
    <col min="10754" max="10769" width="11" style="1" customWidth="1"/>
    <col min="10770" max="11008" width="9.140625" style="1"/>
    <col min="11009" max="11009" width="7.140625" style="1" customWidth="1"/>
    <col min="11010" max="11025" width="11" style="1" customWidth="1"/>
    <col min="11026" max="11264" width="9.140625" style="1"/>
    <col min="11265" max="11265" width="7.140625" style="1" customWidth="1"/>
    <col min="11266" max="11281" width="11" style="1" customWidth="1"/>
    <col min="11282" max="11520" width="9.140625" style="1"/>
    <col min="11521" max="11521" width="7.140625" style="1" customWidth="1"/>
    <col min="11522" max="11537" width="11" style="1" customWidth="1"/>
    <col min="11538" max="11776" width="9.140625" style="1"/>
    <col min="11777" max="11777" width="7.140625" style="1" customWidth="1"/>
    <col min="11778" max="11793" width="11" style="1" customWidth="1"/>
    <col min="11794" max="12032" width="9.140625" style="1"/>
    <col min="12033" max="12033" width="7.140625" style="1" customWidth="1"/>
    <col min="12034" max="12049" width="11" style="1" customWidth="1"/>
    <col min="12050" max="12288" width="9.140625" style="1"/>
    <col min="12289" max="12289" width="7.140625" style="1" customWidth="1"/>
    <col min="12290" max="12305" width="11" style="1" customWidth="1"/>
    <col min="12306" max="12544" width="9.140625" style="1"/>
    <col min="12545" max="12545" width="7.140625" style="1" customWidth="1"/>
    <col min="12546" max="12561" width="11" style="1" customWidth="1"/>
    <col min="12562" max="12800" width="9.140625" style="1"/>
    <col min="12801" max="12801" width="7.140625" style="1" customWidth="1"/>
    <col min="12802" max="12817" width="11" style="1" customWidth="1"/>
    <col min="12818" max="13056" width="9.140625" style="1"/>
    <col min="13057" max="13057" width="7.140625" style="1" customWidth="1"/>
    <col min="13058" max="13073" width="11" style="1" customWidth="1"/>
    <col min="13074" max="13312" width="9.140625" style="1"/>
    <col min="13313" max="13313" width="7.140625" style="1" customWidth="1"/>
    <col min="13314" max="13329" width="11" style="1" customWidth="1"/>
    <col min="13330" max="13568" width="9.140625" style="1"/>
    <col min="13569" max="13569" width="7.140625" style="1" customWidth="1"/>
    <col min="13570" max="13585" width="11" style="1" customWidth="1"/>
    <col min="13586" max="13824" width="9.140625" style="1"/>
    <col min="13825" max="13825" width="7.140625" style="1" customWidth="1"/>
    <col min="13826" max="13841" width="11" style="1" customWidth="1"/>
    <col min="13842" max="14080" width="9.140625" style="1"/>
    <col min="14081" max="14081" width="7.140625" style="1" customWidth="1"/>
    <col min="14082" max="14097" width="11" style="1" customWidth="1"/>
    <col min="14098" max="14336" width="9.140625" style="1"/>
    <col min="14337" max="14337" width="7.140625" style="1" customWidth="1"/>
    <col min="14338" max="14353" width="11" style="1" customWidth="1"/>
    <col min="14354" max="14592" width="9.140625" style="1"/>
    <col min="14593" max="14593" width="7.140625" style="1" customWidth="1"/>
    <col min="14594" max="14609" width="11" style="1" customWidth="1"/>
    <col min="14610" max="14848" width="9.140625" style="1"/>
    <col min="14849" max="14849" width="7.140625" style="1" customWidth="1"/>
    <col min="14850" max="14865" width="11" style="1" customWidth="1"/>
    <col min="14866" max="15104" width="9.140625" style="1"/>
    <col min="15105" max="15105" width="7.140625" style="1" customWidth="1"/>
    <col min="15106" max="15121" width="11" style="1" customWidth="1"/>
    <col min="15122" max="15360" width="9.140625" style="1"/>
    <col min="15361" max="15361" width="7.140625" style="1" customWidth="1"/>
    <col min="15362" max="15377" width="11" style="1" customWidth="1"/>
    <col min="15378" max="15616" width="9.140625" style="1"/>
    <col min="15617" max="15617" width="7.140625" style="1" customWidth="1"/>
    <col min="15618" max="15633" width="11" style="1" customWidth="1"/>
    <col min="15634" max="15872" width="9.140625" style="1"/>
    <col min="15873" max="15873" width="7.140625" style="1" customWidth="1"/>
    <col min="15874" max="15889" width="11" style="1" customWidth="1"/>
    <col min="15890" max="16128" width="9.140625" style="1"/>
    <col min="16129" max="16129" width="7.140625" style="1" customWidth="1"/>
    <col min="16130" max="16145" width="11" style="1" customWidth="1"/>
    <col min="16146" max="16384" width="9.140625" style="1"/>
  </cols>
  <sheetData>
    <row r="1" spans="1:26" customFormat="1" ht="18.75" x14ac:dyDescent="0.3">
      <c r="A1" s="103" t="s">
        <v>33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26" customFormat="1" ht="18.75" x14ac:dyDescent="0.3">
      <c r="A2" s="103" t="s">
        <v>34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3" spans="1:26" customFormat="1" ht="15" x14ac:dyDescent="0.25">
      <c r="A3" s="104" t="s">
        <v>35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26" customFormat="1" ht="15.75" thickBot="1" x14ac:dyDescent="0.3">
      <c r="A4" s="105" t="s">
        <v>36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26" customFormat="1" ht="6" customHeight="1" x14ac:dyDescent="0.25">
      <c r="A5" s="46"/>
      <c r="B5" s="46"/>
      <c r="C5" s="46"/>
      <c r="D5" s="46"/>
      <c r="E5" s="46"/>
      <c r="F5" s="46"/>
    </row>
    <row r="6" spans="1:26" customFormat="1" ht="15" x14ac:dyDescent="0.25">
      <c r="A6" s="106" t="s">
        <v>48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26" customFormat="1" ht="15" x14ac:dyDescent="0.25">
      <c r="A7" s="102" t="s">
        <v>49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26" customFormat="1" ht="8.25" customHeight="1" x14ac:dyDescent="0.25"/>
    <row r="9" spans="1:26" customFormat="1" ht="15.75" x14ac:dyDescent="0.25">
      <c r="A9" s="47" t="s">
        <v>38</v>
      </c>
      <c r="B9" s="48" t="s">
        <v>39</v>
      </c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26" customFormat="1" ht="15.75" x14ac:dyDescent="0.25">
      <c r="A10" s="50" t="s">
        <v>40</v>
      </c>
      <c r="B10" s="50" t="s">
        <v>41</v>
      </c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26" customFormat="1" ht="15.75" x14ac:dyDescent="0.25">
      <c r="A11" s="50" t="s">
        <v>42</v>
      </c>
      <c r="B11" s="50" t="s">
        <v>43</v>
      </c>
      <c r="C11" s="49"/>
      <c r="D11" s="49"/>
      <c r="E11" s="49"/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26" ht="16.5" thickBot="1" x14ac:dyDescent="0.3">
      <c r="A12" s="51" t="s">
        <v>44</v>
      </c>
      <c r="B12" s="49" t="s">
        <v>45</v>
      </c>
      <c r="C12" s="49"/>
      <c r="D12" s="52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  <c r="P12" s="53" t="s">
        <v>46</v>
      </c>
      <c r="Q12" s="54" t="s">
        <v>47</v>
      </c>
    </row>
    <row r="13" spans="1:26" ht="17.25" thickTop="1" thickBot="1" x14ac:dyDescent="0.25">
      <c r="A13" s="55" t="s">
        <v>6</v>
      </c>
      <c r="B13" s="56" t="s">
        <v>7</v>
      </c>
      <c r="C13" s="57" t="s">
        <v>8</v>
      </c>
      <c r="D13" s="57" t="s">
        <v>9</v>
      </c>
      <c r="E13" s="57" t="s">
        <v>10</v>
      </c>
      <c r="F13" s="57" t="s">
        <v>11</v>
      </c>
      <c r="G13" s="57" t="s">
        <v>12</v>
      </c>
      <c r="H13" s="57" t="s">
        <v>13</v>
      </c>
      <c r="I13" s="57" t="s">
        <v>14</v>
      </c>
      <c r="J13" s="57" t="s">
        <v>15</v>
      </c>
      <c r="K13" s="57" t="s">
        <v>16</v>
      </c>
      <c r="L13" s="57" t="s">
        <v>17</v>
      </c>
      <c r="M13" s="57" t="s">
        <v>18</v>
      </c>
      <c r="N13" s="57" t="s">
        <v>19</v>
      </c>
      <c r="O13" s="58" t="s">
        <v>20</v>
      </c>
      <c r="P13" s="57" t="s">
        <v>21</v>
      </c>
      <c r="Q13" s="59" t="s">
        <v>22</v>
      </c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6.5" thickTop="1" x14ac:dyDescent="0.2">
      <c r="A14" s="60">
        <v>1</v>
      </c>
      <c r="B14" s="61">
        <v>990.8</v>
      </c>
      <c r="C14" s="61">
        <v>991.4</v>
      </c>
      <c r="D14" s="61">
        <v>991.4</v>
      </c>
      <c r="E14" s="61">
        <v>990.7</v>
      </c>
      <c r="F14" s="61">
        <v>989.8</v>
      </c>
      <c r="G14" s="61">
        <v>989.3</v>
      </c>
      <c r="H14" s="61">
        <v>988.1</v>
      </c>
      <c r="I14" s="61">
        <v>987.7</v>
      </c>
      <c r="J14" s="61">
        <v>987.3</v>
      </c>
      <c r="K14" s="61">
        <v>987</v>
      </c>
      <c r="L14" s="61">
        <v>987.7</v>
      </c>
      <c r="M14" s="61">
        <v>988.6</v>
      </c>
      <c r="N14" s="61">
        <v>989.3</v>
      </c>
      <c r="O14" s="62">
        <f>MAX(B14:N14)</f>
        <v>991.4</v>
      </c>
      <c r="P14" s="63">
        <f>MIN(B14:N14)</f>
        <v>987</v>
      </c>
      <c r="Q14" s="64">
        <f>AVERAGE(B14:N14)</f>
        <v>989.1615384615385</v>
      </c>
    </row>
    <row r="15" spans="1:26" ht="15.75" x14ac:dyDescent="0.2">
      <c r="A15" s="65">
        <v>2</v>
      </c>
      <c r="B15" s="61">
        <v>991.7</v>
      </c>
      <c r="C15" s="61">
        <v>991.9</v>
      </c>
      <c r="D15" s="61">
        <v>991.7</v>
      </c>
      <c r="E15" s="61">
        <v>991.1</v>
      </c>
      <c r="F15" s="61">
        <v>990</v>
      </c>
      <c r="G15" s="61">
        <v>989.5</v>
      </c>
      <c r="H15" s="61">
        <v>988.7</v>
      </c>
      <c r="I15" s="61">
        <v>987.9</v>
      </c>
      <c r="J15" s="61">
        <v>987.8</v>
      </c>
      <c r="K15" s="61">
        <v>988.2</v>
      </c>
      <c r="L15" s="61">
        <v>988.7</v>
      </c>
      <c r="M15" s="61">
        <v>989.5</v>
      </c>
      <c r="N15" s="61">
        <v>990.7</v>
      </c>
      <c r="O15" s="62">
        <f t="shared" ref="O15:O43" si="0">MAX(B15:N15)</f>
        <v>991.9</v>
      </c>
      <c r="P15" s="63">
        <f t="shared" ref="P15:P43" si="1">MIN(B15:N15)</f>
        <v>987.8</v>
      </c>
      <c r="Q15" s="64">
        <f t="shared" ref="Q15:Q43" si="2">AVERAGE(B15:N15)</f>
        <v>989.80000000000007</v>
      </c>
    </row>
    <row r="16" spans="1:26" ht="15.75" x14ac:dyDescent="0.2">
      <c r="A16" s="65">
        <v>3</v>
      </c>
      <c r="B16" s="61">
        <v>992.2</v>
      </c>
      <c r="C16" s="61">
        <v>992.7</v>
      </c>
      <c r="D16" s="61">
        <v>991.9</v>
      </c>
      <c r="E16" s="61">
        <v>991.1</v>
      </c>
      <c r="F16" s="61">
        <v>990.7</v>
      </c>
      <c r="G16" s="61">
        <v>989.9</v>
      </c>
      <c r="H16" s="61">
        <v>989.4</v>
      </c>
      <c r="I16" s="61">
        <v>988.7</v>
      </c>
      <c r="J16" s="61">
        <v>988.6</v>
      </c>
      <c r="K16" s="61">
        <v>988.8</v>
      </c>
      <c r="L16" s="61">
        <v>989.4</v>
      </c>
      <c r="M16" s="61">
        <v>990</v>
      </c>
      <c r="N16" s="61">
        <v>991</v>
      </c>
      <c r="O16" s="62">
        <f t="shared" si="0"/>
        <v>992.7</v>
      </c>
      <c r="P16" s="63">
        <f t="shared" si="1"/>
        <v>988.6</v>
      </c>
      <c r="Q16" s="64">
        <f t="shared" si="2"/>
        <v>990.33846153846139</v>
      </c>
    </row>
    <row r="17" spans="1:17" ht="15.75" x14ac:dyDescent="0.2">
      <c r="A17" s="65">
        <v>4</v>
      </c>
      <c r="B17" s="61">
        <v>992.6</v>
      </c>
      <c r="C17" s="61">
        <v>993</v>
      </c>
      <c r="D17" s="61">
        <v>993</v>
      </c>
      <c r="E17" s="61">
        <v>992.3</v>
      </c>
      <c r="F17" s="61">
        <v>991.1</v>
      </c>
      <c r="G17" s="61">
        <v>990.1</v>
      </c>
      <c r="H17" s="61">
        <v>989.4</v>
      </c>
      <c r="I17" s="61">
        <v>988.6</v>
      </c>
      <c r="J17" s="61">
        <v>988.5</v>
      </c>
      <c r="K17" s="61">
        <v>988.8</v>
      </c>
      <c r="L17" s="61">
        <v>989.1</v>
      </c>
      <c r="M17" s="61">
        <v>989.5</v>
      </c>
      <c r="N17" s="61">
        <v>990.4</v>
      </c>
      <c r="O17" s="62">
        <f t="shared" si="0"/>
        <v>993</v>
      </c>
      <c r="P17" s="63">
        <f t="shared" si="1"/>
        <v>988.5</v>
      </c>
      <c r="Q17" s="64">
        <f t="shared" si="2"/>
        <v>990.49230769230769</v>
      </c>
    </row>
    <row r="18" spans="1:17" ht="15.75" x14ac:dyDescent="0.2">
      <c r="A18" s="65">
        <v>5</v>
      </c>
      <c r="B18" s="61">
        <v>992.7</v>
      </c>
      <c r="C18" s="61">
        <v>993</v>
      </c>
      <c r="D18" s="61">
        <v>993.3</v>
      </c>
      <c r="E18" s="61">
        <v>992.7</v>
      </c>
      <c r="F18" s="61">
        <v>991.6</v>
      </c>
      <c r="G18" s="61">
        <v>990.4</v>
      </c>
      <c r="H18" s="61">
        <v>989.1</v>
      </c>
      <c r="I18" s="61">
        <v>988.2</v>
      </c>
      <c r="J18" s="61">
        <v>987.9</v>
      </c>
      <c r="K18" s="61">
        <v>988.5</v>
      </c>
      <c r="L18" s="61">
        <v>989.1</v>
      </c>
      <c r="M18" s="61">
        <v>989.6</v>
      </c>
      <c r="N18" s="61">
        <v>990.8</v>
      </c>
      <c r="O18" s="62">
        <f t="shared" si="0"/>
        <v>993.3</v>
      </c>
      <c r="P18" s="63">
        <f t="shared" si="1"/>
        <v>987.9</v>
      </c>
      <c r="Q18" s="64">
        <f t="shared" si="2"/>
        <v>990.53076923076924</v>
      </c>
    </row>
    <row r="19" spans="1:17" ht="15.75" x14ac:dyDescent="0.2">
      <c r="A19" s="65">
        <v>6</v>
      </c>
      <c r="B19" s="61">
        <v>991.4</v>
      </c>
      <c r="C19" s="61">
        <v>992.1</v>
      </c>
      <c r="D19" s="61">
        <v>992.2</v>
      </c>
      <c r="E19" s="61">
        <v>991.7</v>
      </c>
      <c r="F19" s="61">
        <v>991</v>
      </c>
      <c r="G19" s="61">
        <v>989.7</v>
      </c>
      <c r="H19" s="61">
        <v>988.4</v>
      </c>
      <c r="I19" s="61">
        <v>987.73</v>
      </c>
      <c r="J19" s="61">
        <v>987.36</v>
      </c>
      <c r="K19" s="61">
        <v>987.74</v>
      </c>
      <c r="L19" s="61">
        <v>988.87</v>
      </c>
      <c r="M19" s="61">
        <v>989.46</v>
      </c>
      <c r="N19" s="61">
        <v>990.06</v>
      </c>
      <c r="O19" s="62">
        <f t="shared" si="0"/>
        <v>992.2</v>
      </c>
      <c r="P19" s="63">
        <f t="shared" si="1"/>
        <v>987.36</v>
      </c>
      <c r="Q19" s="64">
        <f t="shared" si="2"/>
        <v>989.8246153846153</v>
      </c>
    </row>
    <row r="20" spans="1:17" ht="15.75" x14ac:dyDescent="0.2">
      <c r="A20" s="65">
        <v>7</v>
      </c>
      <c r="B20" s="61">
        <v>992.2</v>
      </c>
      <c r="C20" s="61">
        <v>992.5</v>
      </c>
      <c r="D20" s="61">
        <v>992.5</v>
      </c>
      <c r="E20" s="61">
        <v>992.1</v>
      </c>
      <c r="F20" s="61">
        <v>991.1</v>
      </c>
      <c r="G20" s="61">
        <v>990.2</v>
      </c>
      <c r="H20" s="61">
        <v>989</v>
      </c>
      <c r="I20" s="61">
        <v>988.3</v>
      </c>
      <c r="J20" s="61">
        <v>988.3</v>
      </c>
      <c r="K20" s="61">
        <v>988.3</v>
      </c>
      <c r="L20" s="61">
        <v>988.3</v>
      </c>
      <c r="M20" s="61">
        <v>989.4</v>
      </c>
      <c r="N20" s="61">
        <v>990.8</v>
      </c>
      <c r="O20" s="62">
        <f t="shared" si="0"/>
        <v>992.5</v>
      </c>
      <c r="P20" s="63">
        <f t="shared" si="1"/>
        <v>988.3</v>
      </c>
      <c r="Q20" s="64">
        <f t="shared" si="2"/>
        <v>990.23076923076894</v>
      </c>
    </row>
    <row r="21" spans="1:17" ht="15.75" x14ac:dyDescent="0.2">
      <c r="A21" s="65">
        <v>8</v>
      </c>
      <c r="B21" s="61">
        <v>992.7</v>
      </c>
      <c r="C21" s="61">
        <v>993.4</v>
      </c>
      <c r="D21" s="61">
        <v>993.4</v>
      </c>
      <c r="E21" s="61">
        <v>993.1</v>
      </c>
      <c r="F21" s="61">
        <v>992.4</v>
      </c>
      <c r="G21" s="61">
        <v>991.4</v>
      </c>
      <c r="H21" s="61">
        <v>990.2</v>
      </c>
      <c r="I21" s="61">
        <v>989.3</v>
      </c>
      <c r="J21" s="61">
        <v>989.2</v>
      </c>
      <c r="K21" s="61">
        <v>990.2</v>
      </c>
      <c r="L21" s="61">
        <v>991.2</v>
      </c>
      <c r="M21" s="61">
        <v>991.5</v>
      </c>
      <c r="N21" s="61">
        <v>991.9</v>
      </c>
      <c r="O21" s="62">
        <f t="shared" si="0"/>
        <v>993.4</v>
      </c>
      <c r="P21" s="63">
        <f t="shared" si="1"/>
        <v>989.2</v>
      </c>
      <c r="Q21" s="64">
        <f t="shared" si="2"/>
        <v>991.53076923076935</v>
      </c>
    </row>
    <row r="22" spans="1:17" ht="15.75" x14ac:dyDescent="0.2">
      <c r="A22" s="65">
        <v>9</v>
      </c>
      <c r="B22" s="61">
        <v>993.35</v>
      </c>
      <c r="C22" s="61">
        <v>993.48</v>
      </c>
      <c r="D22" s="61">
        <v>993.68</v>
      </c>
      <c r="E22" s="61">
        <v>993.56</v>
      </c>
      <c r="F22" s="61">
        <v>992.45</v>
      </c>
      <c r="G22" s="61">
        <v>991.76</v>
      </c>
      <c r="H22" s="61">
        <v>990.68</v>
      </c>
      <c r="I22" s="61">
        <v>990.2</v>
      </c>
      <c r="J22" s="61">
        <v>990.6</v>
      </c>
      <c r="K22" s="61">
        <v>991.6</v>
      </c>
      <c r="L22" s="61">
        <v>991.8</v>
      </c>
      <c r="M22" s="61">
        <v>992.6</v>
      </c>
      <c r="N22" s="61">
        <v>993.4</v>
      </c>
      <c r="O22" s="62">
        <f t="shared" si="0"/>
        <v>993.68</v>
      </c>
      <c r="P22" s="63">
        <f t="shared" si="1"/>
        <v>990.2</v>
      </c>
      <c r="Q22" s="64">
        <f t="shared" si="2"/>
        <v>992.24307692307696</v>
      </c>
    </row>
    <row r="23" spans="1:17" ht="15.75" x14ac:dyDescent="0.2">
      <c r="A23" s="65">
        <v>10</v>
      </c>
      <c r="B23" s="61">
        <v>992.6</v>
      </c>
      <c r="C23" s="61">
        <v>993.1</v>
      </c>
      <c r="D23" s="61">
        <v>993.4</v>
      </c>
      <c r="E23" s="61">
        <v>992.8</v>
      </c>
      <c r="F23" s="61">
        <v>991.9</v>
      </c>
      <c r="G23" s="61">
        <v>990.9</v>
      </c>
      <c r="H23" s="61">
        <v>989.6</v>
      </c>
      <c r="I23" s="61">
        <v>989.8</v>
      </c>
      <c r="J23" s="61">
        <v>989.9</v>
      </c>
      <c r="K23" s="61">
        <v>990</v>
      </c>
      <c r="L23" s="61">
        <v>990.8</v>
      </c>
      <c r="M23" s="61">
        <v>991.6</v>
      </c>
      <c r="N23" s="61">
        <v>992.2</v>
      </c>
      <c r="O23" s="62">
        <f t="shared" si="0"/>
        <v>993.4</v>
      </c>
      <c r="P23" s="63">
        <f t="shared" si="1"/>
        <v>989.6</v>
      </c>
      <c r="Q23" s="64">
        <f t="shared" si="2"/>
        <v>991.43076923076922</v>
      </c>
    </row>
    <row r="24" spans="1:17" ht="15.75" x14ac:dyDescent="0.2">
      <c r="A24" s="65">
        <v>11</v>
      </c>
      <c r="B24" s="61">
        <v>992</v>
      </c>
      <c r="C24" s="61">
        <v>992.2</v>
      </c>
      <c r="D24" s="61">
        <v>992.4</v>
      </c>
      <c r="E24" s="61">
        <v>992.2</v>
      </c>
      <c r="F24" s="61">
        <v>991.5</v>
      </c>
      <c r="G24" s="61">
        <v>990.4</v>
      </c>
      <c r="H24" s="61">
        <v>989.8</v>
      </c>
      <c r="I24" s="61">
        <v>988.48</v>
      </c>
      <c r="J24" s="61">
        <v>980.01</v>
      </c>
      <c r="K24" s="61">
        <v>988.18</v>
      </c>
      <c r="L24" s="61">
        <v>988.51</v>
      </c>
      <c r="M24" s="61">
        <v>988.97</v>
      </c>
      <c r="N24" s="61">
        <v>989.59</v>
      </c>
      <c r="O24" s="62">
        <f t="shared" si="0"/>
        <v>992.4</v>
      </c>
      <c r="P24" s="63">
        <f t="shared" si="1"/>
        <v>980.01</v>
      </c>
      <c r="Q24" s="64">
        <f t="shared" si="2"/>
        <v>989.55692307692311</v>
      </c>
    </row>
    <row r="25" spans="1:17" ht="15.75" x14ac:dyDescent="0.2">
      <c r="A25" s="65">
        <v>12</v>
      </c>
      <c r="B25" s="61">
        <v>990.7</v>
      </c>
      <c r="C25" s="61">
        <v>990.9</v>
      </c>
      <c r="D25" s="61">
        <v>990.9</v>
      </c>
      <c r="E25" s="61">
        <v>990.5</v>
      </c>
      <c r="F25" s="61">
        <v>989.8</v>
      </c>
      <c r="G25" s="61">
        <v>989.2</v>
      </c>
      <c r="H25" s="61">
        <v>988.4</v>
      </c>
      <c r="I25" s="61">
        <v>988</v>
      </c>
      <c r="J25" s="61">
        <v>988.1</v>
      </c>
      <c r="K25" s="61">
        <v>988.4</v>
      </c>
      <c r="L25" s="61">
        <v>989</v>
      </c>
      <c r="M25" s="61">
        <v>989.8</v>
      </c>
      <c r="N25" s="61">
        <v>990.6</v>
      </c>
      <c r="O25" s="62">
        <f t="shared" si="0"/>
        <v>990.9</v>
      </c>
      <c r="P25" s="63">
        <f t="shared" si="1"/>
        <v>988</v>
      </c>
      <c r="Q25" s="64">
        <f t="shared" si="2"/>
        <v>989.56153846153836</v>
      </c>
    </row>
    <row r="26" spans="1:17" ht="15.75" x14ac:dyDescent="0.2">
      <c r="A26" s="65">
        <v>13</v>
      </c>
      <c r="B26" s="61">
        <v>992.9</v>
      </c>
      <c r="C26" s="61">
        <v>993.5</v>
      </c>
      <c r="D26" s="61">
        <v>993.8</v>
      </c>
      <c r="E26" s="61">
        <v>993.1</v>
      </c>
      <c r="F26" s="61">
        <v>992.3</v>
      </c>
      <c r="G26" s="61">
        <v>991.4</v>
      </c>
      <c r="H26" s="61">
        <v>991</v>
      </c>
      <c r="I26" s="61">
        <v>990.6</v>
      </c>
      <c r="J26" s="61">
        <v>990.2</v>
      </c>
      <c r="K26" s="61">
        <v>990.2</v>
      </c>
      <c r="L26" s="61">
        <v>991.3</v>
      </c>
      <c r="M26" s="61">
        <v>992.1</v>
      </c>
      <c r="N26" s="61">
        <v>992.8</v>
      </c>
      <c r="O26" s="62">
        <f t="shared" si="0"/>
        <v>993.8</v>
      </c>
      <c r="P26" s="63">
        <f t="shared" si="1"/>
        <v>990.2</v>
      </c>
      <c r="Q26" s="64">
        <f t="shared" si="2"/>
        <v>991.93846153846141</v>
      </c>
    </row>
    <row r="27" spans="1:17" ht="15.75" x14ac:dyDescent="0.2">
      <c r="A27" s="65">
        <v>14</v>
      </c>
      <c r="B27" s="61">
        <v>994.7</v>
      </c>
      <c r="C27" s="61">
        <v>995.1</v>
      </c>
      <c r="D27" s="61">
        <v>995</v>
      </c>
      <c r="E27" s="61">
        <v>994.5</v>
      </c>
      <c r="F27" s="61">
        <v>993.5</v>
      </c>
      <c r="G27" s="61">
        <v>992.7</v>
      </c>
      <c r="H27" s="61">
        <v>991.9</v>
      </c>
      <c r="I27" s="61">
        <v>991.2</v>
      </c>
      <c r="J27" s="61">
        <v>991.1</v>
      </c>
      <c r="K27" s="61">
        <v>990.9</v>
      </c>
      <c r="L27" s="61">
        <v>991.5</v>
      </c>
      <c r="M27" s="61">
        <v>992.4</v>
      </c>
      <c r="N27" s="61">
        <v>993.4</v>
      </c>
      <c r="O27" s="62">
        <f t="shared" si="0"/>
        <v>995.1</v>
      </c>
      <c r="P27" s="63">
        <f t="shared" si="1"/>
        <v>990.9</v>
      </c>
      <c r="Q27" s="64">
        <f t="shared" si="2"/>
        <v>992.91538461538448</v>
      </c>
    </row>
    <row r="28" spans="1:17" ht="15.75" x14ac:dyDescent="0.2">
      <c r="A28" s="65">
        <v>15</v>
      </c>
      <c r="B28" s="61">
        <v>993.7</v>
      </c>
      <c r="C28" s="61">
        <v>994.1</v>
      </c>
      <c r="D28" s="61">
        <v>994</v>
      </c>
      <c r="E28" s="61">
        <v>993.4</v>
      </c>
      <c r="F28" s="61">
        <v>992.5</v>
      </c>
      <c r="G28" s="61">
        <v>991.6</v>
      </c>
      <c r="H28" s="61">
        <v>990.6</v>
      </c>
      <c r="I28" s="61">
        <v>990.2</v>
      </c>
      <c r="J28" s="61">
        <v>989.8</v>
      </c>
      <c r="K28" s="61">
        <v>990</v>
      </c>
      <c r="L28" s="61">
        <v>990.7</v>
      </c>
      <c r="M28" s="61">
        <v>991.4</v>
      </c>
      <c r="N28" s="61">
        <v>992.1</v>
      </c>
      <c r="O28" s="62">
        <f t="shared" si="0"/>
        <v>994.1</v>
      </c>
      <c r="P28" s="63">
        <f t="shared" si="1"/>
        <v>989.8</v>
      </c>
      <c r="Q28" s="64">
        <f t="shared" si="2"/>
        <v>991.85384615384635</v>
      </c>
    </row>
    <row r="29" spans="1:17" ht="15.75" x14ac:dyDescent="0.2">
      <c r="A29" s="65">
        <v>16</v>
      </c>
      <c r="B29" s="61">
        <v>993.1</v>
      </c>
      <c r="C29" s="61">
        <v>993.3</v>
      </c>
      <c r="D29" s="61">
        <v>993.4</v>
      </c>
      <c r="E29" s="61">
        <v>992.4</v>
      </c>
      <c r="F29" s="61">
        <v>991.4</v>
      </c>
      <c r="G29" s="61">
        <v>990.2</v>
      </c>
      <c r="H29" s="61">
        <v>989.2</v>
      </c>
      <c r="I29" s="61">
        <v>988.56</v>
      </c>
      <c r="J29" s="61">
        <v>988.42</v>
      </c>
      <c r="K29" s="61">
        <v>988.93</v>
      </c>
      <c r="L29" s="61">
        <v>989.33</v>
      </c>
      <c r="M29" s="61">
        <v>989.91</v>
      </c>
      <c r="N29" s="61">
        <v>990.52</v>
      </c>
      <c r="O29" s="62">
        <f t="shared" si="0"/>
        <v>993.4</v>
      </c>
      <c r="P29" s="63">
        <f t="shared" si="1"/>
        <v>988.42</v>
      </c>
      <c r="Q29" s="64">
        <f t="shared" si="2"/>
        <v>990.66692307692313</v>
      </c>
    </row>
    <row r="30" spans="1:17" ht="15.75" x14ac:dyDescent="0.2">
      <c r="A30" s="65">
        <v>17</v>
      </c>
      <c r="B30" s="61">
        <v>992.3</v>
      </c>
      <c r="C30" s="61">
        <v>992.7</v>
      </c>
      <c r="D30" s="61">
        <v>992.5</v>
      </c>
      <c r="E30" s="61">
        <v>992</v>
      </c>
      <c r="F30" s="61">
        <v>991.4</v>
      </c>
      <c r="G30" s="61">
        <v>988.8</v>
      </c>
      <c r="H30" s="61">
        <v>988.3</v>
      </c>
      <c r="I30" s="61">
        <v>988.2</v>
      </c>
      <c r="J30" s="61">
        <v>988</v>
      </c>
      <c r="K30" s="61">
        <v>988</v>
      </c>
      <c r="L30" s="61">
        <v>988.9</v>
      </c>
      <c r="M30" s="61">
        <v>989.9</v>
      </c>
      <c r="N30" s="61">
        <v>990.9</v>
      </c>
      <c r="O30" s="62">
        <f t="shared" si="0"/>
        <v>992.7</v>
      </c>
      <c r="P30" s="63">
        <f t="shared" si="1"/>
        <v>988</v>
      </c>
      <c r="Q30" s="64">
        <f t="shared" si="2"/>
        <v>990.14615384615377</v>
      </c>
    </row>
    <row r="31" spans="1:17" ht="15.75" x14ac:dyDescent="0.2">
      <c r="A31" s="65">
        <v>18</v>
      </c>
      <c r="B31" s="61">
        <v>992.8</v>
      </c>
      <c r="C31" s="61">
        <v>993.2</v>
      </c>
      <c r="D31" s="61">
        <v>993.5</v>
      </c>
      <c r="E31" s="61">
        <v>992.8</v>
      </c>
      <c r="F31" s="61">
        <v>991.5</v>
      </c>
      <c r="G31" s="61">
        <v>990.5</v>
      </c>
      <c r="H31" s="61">
        <v>989.8</v>
      </c>
      <c r="I31" s="61">
        <v>989.2</v>
      </c>
      <c r="J31" s="61">
        <v>989.2</v>
      </c>
      <c r="K31" s="61">
        <v>989.1</v>
      </c>
      <c r="L31" s="61">
        <v>989.8</v>
      </c>
      <c r="M31" s="61">
        <v>990.4</v>
      </c>
      <c r="N31" s="61">
        <v>991.1</v>
      </c>
      <c r="O31" s="62">
        <f t="shared" si="0"/>
        <v>993.5</v>
      </c>
      <c r="P31" s="63">
        <f t="shared" si="1"/>
        <v>989.1</v>
      </c>
      <c r="Q31" s="64">
        <f t="shared" si="2"/>
        <v>990.99230769230769</v>
      </c>
    </row>
    <row r="32" spans="1:17" ht="15.75" x14ac:dyDescent="0.2">
      <c r="A32" s="65">
        <v>19</v>
      </c>
      <c r="B32" s="61">
        <v>993.3</v>
      </c>
      <c r="C32" s="61">
        <v>993.5</v>
      </c>
      <c r="D32" s="61">
        <v>993.3</v>
      </c>
      <c r="E32" s="61">
        <v>992.6</v>
      </c>
      <c r="F32" s="61">
        <v>991.3</v>
      </c>
      <c r="G32" s="61">
        <v>990.4</v>
      </c>
      <c r="H32" s="61">
        <v>989.9</v>
      </c>
      <c r="I32" s="61">
        <v>989.16</v>
      </c>
      <c r="J32" s="61">
        <v>989.3</v>
      </c>
      <c r="K32" s="61">
        <v>989.67</v>
      </c>
      <c r="L32" s="61">
        <v>990.42</v>
      </c>
      <c r="M32" s="61">
        <v>991.55</v>
      </c>
      <c r="N32" s="61">
        <v>992.68</v>
      </c>
      <c r="O32" s="62">
        <f t="shared" si="0"/>
        <v>993.5</v>
      </c>
      <c r="P32" s="63">
        <f t="shared" si="1"/>
        <v>989.16</v>
      </c>
      <c r="Q32" s="64">
        <f t="shared" si="2"/>
        <v>991.31384615384604</v>
      </c>
    </row>
    <row r="33" spans="1:17" ht="15.75" x14ac:dyDescent="0.2">
      <c r="A33" s="65">
        <v>20</v>
      </c>
      <c r="B33" s="61">
        <v>993.3</v>
      </c>
      <c r="C33" s="61">
        <v>993.9</v>
      </c>
      <c r="D33" s="61">
        <v>993.7</v>
      </c>
      <c r="E33" s="61">
        <v>992.9</v>
      </c>
      <c r="F33" s="61">
        <v>991.8</v>
      </c>
      <c r="G33" s="61">
        <v>990.9</v>
      </c>
      <c r="H33" s="61">
        <v>990.2</v>
      </c>
      <c r="I33" s="61">
        <v>989.5</v>
      </c>
      <c r="J33" s="61">
        <v>989.1</v>
      </c>
      <c r="K33" s="61">
        <v>989</v>
      </c>
      <c r="L33" s="61">
        <v>989.4</v>
      </c>
      <c r="M33" s="61">
        <v>990.3</v>
      </c>
      <c r="N33" s="61">
        <v>991.1</v>
      </c>
      <c r="O33" s="62">
        <f t="shared" si="0"/>
        <v>993.9</v>
      </c>
      <c r="P33" s="63">
        <f t="shared" si="1"/>
        <v>989</v>
      </c>
      <c r="Q33" s="64">
        <f t="shared" si="2"/>
        <v>991.16153846153838</v>
      </c>
    </row>
    <row r="34" spans="1:17" ht="15.75" x14ac:dyDescent="0.2">
      <c r="A34" s="65">
        <v>21</v>
      </c>
      <c r="B34" s="61">
        <v>992.35</v>
      </c>
      <c r="C34" s="61">
        <v>992.66</v>
      </c>
      <c r="D34" s="61">
        <v>992.68</v>
      </c>
      <c r="E34" s="61">
        <v>992.22</v>
      </c>
      <c r="F34" s="61">
        <v>991.16</v>
      </c>
      <c r="G34" s="61">
        <v>990.33</v>
      </c>
      <c r="H34" s="61">
        <v>989.6</v>
      </c>
      <c r="I34" s="61">
        <v>988.9</v>
      </c>
      <c r="J34" s="61">
        <v>988.9</v>
      </c>
      <c r="K34" s="61">
        <v>989.1</v>
      </c>
      <c r="L34" s="61">
        <v>989.9</v>
      </c>
      <c r="M34" s="61">
        <v>990.7</v>
      </c>
      <c r="N34" s="61">
        <v>991.6</v>
      </c>
      <c r="O34" s="62">
        <f t="shared" si="0"/>
        <v>992.68</v>
      </c>
      <c r="P34" s="63">
        <f t="shared" si="1"/>
        <v>988.9</v>
      </c>
      <c r="Q34" s="64">
        <f t="shared" si="2"/>
        <v>990.77692307692314</v>
      </c>
    </row>
    <row r="35" spans="1:17" ht="15.75" x14ac:dyDescent="0.2">
      <c r="A35" s="65">
        <v>22</v>
      </c>
      <c r="B35" s="61">
        <v>991.8</v>
      </c>
      <c r="C35" s="61">
        <v>991.8</v>
      </c>
      <c r="D35" s="61">
        <v>992.79</v>
      </c>
      <c r="E35" s="61">
        <v>992.3</v>
      </c>
      <c r="F35" s="61">
        <v>991.2</v>
      </c>
      <c r="G35" s="61">
        <v>990.33</v>
      </c>
      <c r="H35" s="61">
        <v>988.93</v>
      </c>
      <c r="I35" s="61">
        <v>987.9</v>
      </c>
      <c r="J35" s="61">
        <v>987.7</v>
      </c>
      <c r="K35" s="61">
        <v>988.1</v>
      </c>
      <c r="L35" s="61">
        <v>988.4</v>
      </c>
      <c r="M35" s="61">
        <v>989.9</v>
      </c>
      <c r="N35" s="61">
        <v>990.4</v>
      </c>
      <c r="O35" s="62">
        <f t="shared" si="0"/>
        <v>992.79</v>
      </c>
      <c r="P35" s="63">
        <f t="shared" si="1"/>
        <v>987.7</v>
      </c>
      <c r="Q35" s="64">
        <f t="shared" si="2"/>
        <v>990.11923076923074</v>
      </c>
    </row>
    <row r="36" spans="1:17" ht="15.75" x14ac:dyDescent="0.2">
      <c r="A36" s="65">
        <v>23</v>
      </c>
      <c r="B36" s="61">
        <v>991.6</v>
      </c>
      <c r="C36" s="61">
        <v>992</v>
      </c>
      <c r="D36" s="61">
        <v>992.1</v>
      </c>
      <c r="E36" s="61">
        <v>991.2</v>
      </c>
      <c r="F36" s="61">
        <v>990.2</v>
      </c>
      <c r="G36" s="61">
        <v>989</v>
      </c>
      <c r="H36" s="61">
        <v>988.2</v>
      </c>
      <c r="I36" s="61">
        <v>987.4</v>
      </c>
      <c r="J36" s="61">
        <v>987.5</v>
      </c>
      <c r="K36" s="61">
        <v>988.1</v>
      </c>
      <c r="L36" s="61">
        <v>988.2</v>
      </c>
      <c r="M36" s="61">
        <v>989.5</v>
      </c>
      <c r="N36" s="61">
        <v>990.6</v>
      </c>
      <c r="O36" s="62">
        <f t="shared" si="0"/>
        <v>992.1</v>
      </c>
      <c r="P36" s="63">
        <f t="shared" si="1"/>
        <v>987.4</v>
      </c>
      <c r="Q36" s="64">
        <f t="shared" si="2"/>
        <v>989.6615384615385</v>
      </c>
    </row>
    <row r="37" spans="1:17" ht="15.75" x14ac:dyDescent="0.2">
      <c r="A37" s="65">
        <v>24</v>
      </c>
      <c r="B37" s="61">
        <v>991.9</v>
      </c>
      <c r="C37" s="61">
        <v>992.6</v>
      </c>
      <c r="D37" s="61">
        <v>992.3</v>
      </c>
      <c r="E37" s="61">
        <v>991.5</v>
      </c>
      <c r="F37" s="61">
        <v>990.4</v>
      </c>
      <c r="G37" s="61">
        <v>989.7</v>
      </c>
      <c r="H37" s="61">
        <v>989</v>
      </c>
      <c r="I37" s="61">
        <v>988.4</v>
      </c>
      <c r="J37" s="61">
        <v>987.8</v>
      </c>
      <c r="K37" s="61">
        <v>998.3</v>
      </c>
      <c r="L37" s="61">
        <v>988.7</v>
      </c>
      <c r="M37" s="61">
        <v>989.4</v>
      </c>
      <c r="N37" s="61">
        <v>990.4</v>
      </c>
      <c r="O37" s="62">
        <f t="shared" si="0"/>
        <v>998.3</v>
      </c>
      <c r="P37" s="63">
        <f t="shared" si="1"/>
        <v>987.8</v>
      </c>
      <c r="Q37" s="64">
        <f t="shared" si="2"/>
        <v>990.79999999999984</v>
      </c>
    </row>
    <row r="38" spans="1:17" ht="15.75" x14ac:dyDescent="0.2">
      <c r="A38" s="65">
        <v>25</v>
      </c>
      <c r="B38" s="61">
        <v>992.67</v>
      </c>
      <c r="C38" s="61">
        <v>992.93</v>
      </c>
      <c r="D38" s="61">
        <v>992.81</v>
      </c>
      <c r="E38" s="61">
        <v>992.81</v>
      </c>
      <c r="F38" s="61">
        <v>990.82</v>
      </c>
      <c r="G38" s="61">
        <v>989.88</v>
      </c>
      <c r="H38" s="61">
        <v>989.3</v>
      </c>
      <c r="I38" s="61">
        <v>988.7</v>
      </c>
      <c r="J38" s="61">
        <v>988.1</v>
      </c>
      <c r="K38" s="61">
        <v>988.1</v>
      </c>
      <c r="L38" s="61">
        <v>988.6</v>
      </c>
      <c r="M38" s="61">
        <v>989.1</v>
      </c>
      <c r="N38" s="61">
        <v>990.5</v>
      </c>
      <c r="O38" s="62">
        <f t="shared" si="0"/>
        <v>992.93</v>
      </c>
      <c r="P38" s="63">
        <f t="shared" si="1"/>
        <v>988.1</v>
      </c>
      <c r="Q38" s="64">
        <f t="shared" si="2"/>
        <v>990.33230769230784</v>
      </c>
    </row>
    <row r="39" spans="1:17" ht="15.75" x14ac:dyDescent="0.2">
      <c r="A39" s="65">
        <v>26</v>
      </c>
      <c r="B39" s="61">
        <v>992.6</v>
      </c>
      <c r="C39" s="61">
        <v>993</v>
      </c>
      <c r="D39" s="61">
        <v>992.9</v>
      </c>
      <c r="E39" s="61">
        <v>992.6</v>
      </c>
      <c r="F39" s="61">
        <v>991.7</v>
      </c>
      <c r="G39" s="61">
        <v>991.1</v>
      </c>
      <c r="H39" s="61">
        <v>989.9</v>
      </c>
      <c r="I39" s="61">
        <v>988.9</v>
      </c>
      <c r="J39" s="61">
        <v>988.5</v>
      </c>
      <c r="K39" s="61">
        <v>988.6</v>
      </c>
      <c r="L39" s="61">
        <v>988.9</v>
      </c>
      <c r="M39" s="61">
        <v>989.6</v>
      </c>
      <c r="N39" s="61">
        <v>990.5</v>
      </c>
      <c r="O39" s="62">
        <f t="shared" si="0"/>
        <v>993</v>
      </c>
      <c r="P39" s="63">
        <f t="shared" si="1"/>
        <v>988.5</v>
      </c>
      <c r="Q39" s="64">
        <f t="shared" si="2"/>
        <v>990.67692307692312</v>
      </c>
    </row>
    <row r="40" spans="1:17" ht="15.75" x14ac:dyDescent="0.2">
      <c r="A40" s="65">
        <v>27</v>
      </c>
      <c r="B40" s="61">
        <v>991.4</v>
      </c>
      <c r="C40" s="61">
        <v>991.7</v>
      </c>
      <c r="D40" s="61">
        <v>991.4</v>
      </c>
      <c r="E40" s="61">
        <v>990.5</v>
      </c>
      <c r="F40" s="61">
        <v>989.2</v>
      </c>
      <c r="G40" s="61">
        <v>988.2</v>
      </c>
      <c r="H40" s="61">
        <v>987.5</v>
      </c>
      <c r="I40" s="61">
        <v>987.18</v>
      </c>
      <c r="J40" s="61">
        <v>986.74</v>
      </c>
      <c r="K40" s="61">
        <v>987.07</v>
      </c>
      <c r="L40" s="61">
        <v>987.7</v>
      </c>
      <c r="M40" s="61">
        <v>988.45</v>
      </c>
      <c r="N40" s="61">
        <v>989.12</v>
      </c>
      <c r="O40" s="62">
        <f t="shared" si="0"/>
        <v>991.7</v>
      </c>
      <c r="P40" s="63">
        <f t="shared" si="1"/>
        <v>986.74</v>
      </c>
      <c r="Q40" s="64">
        <f t="shared" si="2"/>
        <v>988.93538461538469</v>
      </c>
    </row>
    <row r="41" spans="1:17" ht="15.75" x14ac:dyDescent="0.2">
      <c r="A41" s="65">
        <v>28</v>
      </c>
      <c r="B41" s="61">
        <v>990.8</v>
      </c>
      <c r="C41" s="61">
        <v>991</v>
      </c>
      <c r="D41" s="61">
        <v>990.7</v>
      </c>
      <c r="E41" s="61">
        <v>990.1</v>
      </c>
      <c r="F41" s="61">
        <v>988.7</v>
      </c>
      <c r="G41" s="61">
        <v>987.5</v>
      </c>
      <c r="H41" s="61">
        <v>986.7</v>
      </c>
      <c r="I41" s="61">
        <v>986.2</v>
      </c>
      <c r="J41" s="61">
        <v>986</v>
      </c>
      <c r="K41" s="61">
        <v>986.2</v>
      </c>
      <c r="L41" s="61">
        <v>986.4</v>
      </c>
      <c r="M41" s="61">
        <v>987.7</v>
      </c>
      <c r="N41" s="61">
        <v>988.5</v>
      </c>
      <c r="O41" s="62">
        <f t="shared" si="0"/>
        <v>991</v>
      </c>
      <c r="P41" s="63">
        <f t="shared" si="1"/>
        <v>986</v>
      </c>
      <c r="Q41" s="64">
        <f t="shared" si="2"/>
        <v>988.19230769230785</v>
      </c>
    </row>
    <row r="42" spans="1:17" ht="15.75" x14ac:dyDescent="0.2">
      <c r="A42" s="65">
        <v>29</v>
      </c>
      <c r="B42" s="61">
        <v>990.4</v>
      </c>
      <c r="C42" s="61">
        <v>990.6</v>
      </c>
      <c r="D42" s="61">
        <v>990.7</v>
      </c>
      <c r="E42" s="61">
        <v>990.1</v>
      </c>
      <c r="F42" s="61">
        <v>989.1</v>
      </c>
      <c r="G42" s="61">
        <v>988.1</v>
      </c>
      <c r="H42" s="61">
        <v>987.6</v>
      </c>
      <c r="I42" s="61">
        <v>987</v>
      </c>
      <c r="J42" s="61">
        <v>987.1</v>
      </c>
      <c r="K42" s="61">
        <v>987.3</v>
      </c>
      <c r="L42" s="61">
        <v>988.2</v>
      </c>
      <c r="M42" s="61">
        <v>989</v>
      </c>
      <c r="N42" s="61">
        <v>989.6</v>
      </c>
      <c r="O42" s="62">
        <f t="shared" si="0"/>
        <v>990.7</v>
      </c>
      <c r="P42" s="63">
        <f t="shared" si="1"/>
        <v>987</v>
      </c>
      <c r="Q42" s="64">
        <f t="shared" si="2"/>
        <v>988.83076923076931</v>
      </c>
    </row>
    <row r="43" spans="1:17" ht="16.5" thickBot="1" x14ac:dyDescent="0.25">
      <c r="A43" s="65">
        <v>30</v>
      </c>
      <c r="B43" s="78">
        <v>991.5</v>
      </c>
      <c r="C43" s="79">
        <v>991.8</v>
      </c>
      <c r="D43" s="79">
        <v>991.6</v>
      </c>
      <c r="E43" s="79">
        <v>991.2</v>
      </c>
      <c r="F43" s="79">
        <v>990.2</v>
      </c>
      <c r="G43" s="79">
        <v>989.2</v>
      </c>
      <c r="H43" s="79">
        <v>988.4</v>
      </c>
      <c r="I43" s="79">
        <v>988.2</v>
      </c>
      <c r="J43" s="79">
        <v>988.3</v>
      </c>
      <c r="K43" s="79">
        <v>988.8</v>
      </c>
      <c r="L43" s="79">
        <v>989.4</v>
      </c>
      <c r="M43" s="79">
        <v>989.8</v>
      </c>
      <c r="N43" s="80">
        <v>990.5</v>
      </c>
      <c r="O43" s="62">
        <f t="shared" si="0"/>
        <v>991.8</v>
      </c>
      <c r="P43" s="63">
        <f t="shared" si="1"/>
        <v>988.2</v>
      </c>
      <c r="Q43" s="64">
        <f t="shared" si="2"/>
        <v>989.91538461538448</v>
      </c>
    </row>
    <row r="44" spans="1:17" ht="16.5" thickTop="1" x14ac:dyDescent="0.2">
      <c r="A44" s="66" t="s">
        <v>23</v>
      </c>
      <c r="B44" s="67">
        <f t="shared" ref="B44:Q44" si="3">MAX(B14:B43)</f>
        <v>994.7</v>
      </c>
      <c r="C44" s="67">
        <f t="shared" si="3"/>
        <v>995.1</v>
      </c>
      <c r="D44" s="67">
        <f t="shared" si="3"/>
        <v>995</v>
      </c>
      <c r="E44" s="67">
        <f t="shared" si="3"/>
        <v>994.5</v>
      </c>
      <c r="F44" s="67">
        <f t="shared" si="3"/>
        <v>993.5</v>
      </c>
      <c r="G44" s="67">
        <f t="shared" si="3"/>
        <v>992.7</v>
      </c>
      <c r="H44" s="67">
        <f t="shared" si="3"/>
        <v>991.9</v>
      </c>
      <c r="I44" s="67">
        <f t="shared" si="3"/>
        <v>991.2</v>
      </c>
      <c r="J44" s="67">
        <f t="shared" si="3"/>
        <v>991.1</v>
      </c>
      <c r="K44" s="67">
        <f t="shared" si="3"/>
        <v>998.3</v>
      </c>
      <c r="L44" s="67">
        <f t="shared" si="3"/>
        <v>991.8</v>
      </c>
      <c r="M44" s="67">
        <f t="shared" si="3"/>
        <v>992.6</v>
      </c>
      <c r="N44" s="67">
        <f t="shared" si="3"/>
        <v>993.4</v>
      </c>
      <c r="O44" s="68">
        <f t="shared" si="3"/>
        <v>998.3</v>
      </c>
      <c r="P44" s="68">
        <f t="shared" si="3"/>
        <v>990.9</v>
      </c>
      <c r="Q44" s="68">
        <f t="shared" si="3"/>
        <v>992.91538461538448</v>
      </c>
    </row>
    <row r="45" spans="1:17" ht="15.75" x14ac:dyDescent="0.2">
      <c r="A45" s="69" t="s">
        <v>24</v>
      </c>
      <c r="B45" s="70">
        <f t="shared" ref="B45:Q45" si="4">MIN(B14:B43)</f>
        <v>990.4</v>
      </c>
      <c r="C45" s="70">
        <f t="shared" si="4"/>
        <v>990.6</v>
      </c>
      <c r="D45" s="70">
        <f t="shared" si="4"/>
        <v>990.7</v>
      </c>
      <c r="E45" s="70">
        <f t="shared" si="4"/>
        <v>990.1</v>
      </c>
      <c r="F45" s="70">
        <f t="shared" si="4"/>
        <v>988.7</v>
      </c>
      <c r="G45" s="70">
        <f t="shared" si="4"/>
        <v>987.5</v>
      </c>
      <c r="H45" s="70">
        <f t="shared" si="4"/>
        <v>986.7</v>
      </c>
      <c r="I45" s="70">
        <f t="shared" si="4"/>
        <v>986.2</v>
      </c>
      <c r="J45" s="70">
        <f t="shared" si="4"/>
        <v>980.01</v>
      </c>
      <c r="K45" s="70">
        <f t="shared" si="4"/>
        <v>986.2</v>
      </c>
      <c r="L45" s="70">
        <f t="shared" si="4"/>
        <v>986.4</v>
      </c>
      <c r="M45" s="70">
        <f t="shared" si="4"/>
        <v>987.7</v>
      </c>
      <c r="N45" s="70">
        <f t="shared" si="4"/>
        <v>988.5</v>
      </c>
      <c r="O45" s="71">
        <f t="shared" si="4"/>
        <v>990.7</v>
      </c>
      <c r="P45" s="71">
        <f t="shared" si="4"/>
        <v>980.01</v>
      </c>
      <c r="Q45" s="71">
        <f t="shared" si="4"/>
        <v>988.19230769230785</v>
      </c>
    </row>
    <row r="46" spans="1:17" ht="16.5" thickBot="1" x14ac:dyDescent="0.25">
      <c r="A46" s="72" t="s">
        <v>25</v>
      </c>
      <c r="B46" s="73">
        <f t="shared" ref="B46:Q46" si="5">AVERAGE(B14:B43)</f>
        <v>992.26899999999989</v>
      </c>
      <c r="C46" s="73">
        <f t="shared" si="5"/>
        <v>992.63566666666668</v>
      </c>
      <c r="D46" s="73">
        <f t="shared" si="5"/>
        <v>992.63199999999995</v>
      </c>
      <c r="E46" s="73">
        <f t="shared" si="5"/>
        <v>992.06966666666665</v>
      </c>
      <c r="F46" s="73">
        <f t="shared" si="5"/>
        <v>991.05766666666671</v>
      </c>
      <c r="G46" s="73">
        <f t="shared" si="5"/>
        <v>990.08666666666682</v>
      </c>
      <c r="H46" s="73">
        <f t="shared" si="5"/>
        <v>989.22700000000009</v>
      </c>
      <c r="I46" s="73">
        <f t="shared" si="5"/>
        <v>988.61033333333376</v>
      </c>
      <c r="J46" s="73">
        <f t="shared" si="5"/>
        <v>988.1776666666666</v>
      </c>
      <c r="K46" s="73">
        <f t="shared" si="5"/>
        <v>989.03966666666622</v>
      </c>
      <c r="L46" s="73">
        <f t="shared" si="5"/>
        <v>989.27433333333352</v>
      </c>
      <c r="M46" s="73">
        <f t="shared" si="5"/>
        <v>990.05466666666666</v>
      </c>
      <c r="N46" s="73">
        <f t="shared" si="5"/>
        <v>990.90233333333322</v>
      </c>
      <c r="O46" s="74">
        <f t="shared" si="5"/>
        <v>992.92599999999993</v>
      </c>
      <c r="P46" s="74">
        <f t="shared" si="5"/>
        <v>988.11300000000006</v>
      </c>
      <c r="Q46" s="74">
        <f t="shared" si="5"/>
        <v>990.46435897435913</v>
      </c>
    </row>
    <row r="47" spans="1:17" ht="13.5" thickTop="1" x14ac:dyDescent="0.2"/>
    <row r="48" spans="1:17" ht="15" x14ac:dyDescent="0.25">
      <c r="B48" s="75"/>
      <c r="C48" s="76" t="str">
        <f>[4]QFE!C43</f>
        <v>Mengetahui,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</row>
    <row r="49" spans="2:15" ht="15" x14ac:dyDescent="0.25">
      <c r="B49" s="75"/>
      <c r="C49" s="76" t="str">
        <f>[4]QFE!C44</f>
        <v>Kepala Stasiun Klimatologi Kelas IV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6" t="str">
        <f>[4]QFE!O44</f>
        <v>Pengolah</v>
      </c>
      <c r="O49" s="75"/>
    </row>
    <row r="50" spans="2:15" ht="15" x14ac:dyDescent="0.25">
      <c r="B50" s="75"/>
      <c r="C50" s="76" t="str">
        <f>[4]QFE!C45</f>
        <v>Sleman Yogyakarta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6"/>
      <c r="O50" s="75"/>
    </row>
    <row r="51" spans="2:15" ht="15" x14ac:dyDescent="0.25">
      <c r="B51" s="75"/>
      <c r="C51" s="76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6"/>
      <c r="O51" s="75"/>
    </row>
    <row r="52" spans="2:15" ht="15" x14ac:dyDescent="0.25">
      <c r="B52" s="75"/>
      <c r="C52" s="76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6"/>
      <c r="O52" s="75"/>
    </row>
    <row r="53" spans="2:15" ht="15" x14ac:dyDescent="0.25">
      <c r="B53" s="75"/>
      <c r="C53" s="76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6"/>
      <c r="O53" s="75"/>
    </row>
    <row r="54" spans="2:15" ht="15" x14ac:dyDescent="0.25">
      <c r="B54" s="75"/>
      <c r="C54" s="77" t="str">
        <f>[4]QFE!C50</f>
        <v>RENI KRANINGTYAS, SP, M.Si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7" t="str">
        <f>[4]QFE!O50</f>
        <v xml:space="preserve">TIM PEMBUAT LAPORAN </v>
      </c>
      <c r="O54" s="75"/>
    </row>
    <row r="55" spans="2:15" ht="15" x14ac:dyDescent="0.25">
      <c r="B55" s="75"/>
      <c r="C55" s="76" t="str">
        <f>[4]QFE!C51</f>
        <v>NIP.  19740203 199703 2 001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6" t="str">
        <f>[4]QFE!O51</f>
        <v xml:space="preserve">PETUGAS OPERASIONAL </v>
      </c>
      <c r="O55" s="75"/>
    </row>
    <row r="56" spans="2:15" ht="15" x14ac:dyDescent="0.25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</row>
  </sheetData>
  <mergeCells count="6">
    <mergeCell ref="A7:Q7"/>
    <mergeCell ref="A1:Q1"/>
    <mergeCell ref="A2:Q2"/>
    <mergeCell ref="A3:Q3"/>
    <mergeCell ref="A4:Q4"/>
    <mergeCell ref="A6:Q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A716-E5A9-4560-8572-21823DA68204}">
  <sheetPr>
    <tabColor rgb="FF92D050"/>
  </sheetPr>
  <dimension ref="A1:Z57"/>
  <sheetViews>
    <sheetView topLeftCell="A43" workbookViewId="0">
      <selection activeCell="Q61" sqref="Q61"/>
    </sheetView>
  </sheetViews>
  <sheetFormatPr defaultRowHeight="12.75" x14ac:dyDescent="0.2"/>
  <cols>
    <col min="1" max="1" width="11.42578125" style="8" customWidth="1"/>
    <col min="2" max="16" width="11" style="1" customWidth="1"/>
    <col min="17" max="17" width="14" style="1" customWidth="1"/>
    <col min="18" max="256" width="9.140625" style="1"/>
    <col min="257" max="257" width="7.140625" style="1" customWidth="1"/>
    <col min="258" max="273" width="11" style="1" customWidth="1"/>
    <col min="274" max="512" width="9.140625" style="1"/>
    <col min="513" max="513" width="7.140625" style="1" customWidth="1"/>
    <col min="514" max="529" width="11" style="1" customWidth="1"/>
    <col min="530" max="768" width="9.140625" style="1"/>
    <col min="769" max="769" width="7.140625" style="1" customWidth="1"/>
    <col min="770" max="785" width="11" style="1" customWidth="1"/>
    <col min="786" max="1024" width="9.140625" style="1"/>
    <col min="1025" max="1025" width="7.140625" style="1" customWidth="1"/>
    <col min="1026" max="1041" width="11" style="1" customWidth="1"/>
    <col min="1042" max="1280" width="9.140625" style="1"/>
    <col min="1281" max="1281" width="7.140625" style="1" customWidth="1"/>
    <col min="1282" max="1297" width="11" style="1" customWidth="1"/>
    <col min="1298" max="1536" width="9.140625" style="1"/>
    <col min="1537" max="1537" width="7.140625" style="1" customWidth="1"/>
    <col min="1538" max="1553" width="11" style="1" customWidth="1"/>
    <col min="1554" max="1792" width="9.140625" style="1"/>
    <col min="1793" max="1793" width="7.140625" style="1" customWidth="1"/>
    <col min="1794" max="1809" width="11" style="1" customWidth="1"/>
    <col min="1810" max="2048" width="9.140625" style="1"/>
    <col min="2049" max="2049" width="7.140625" style="1" customWidth="1"/>
    <col min="2050" max="2065" width="11" style="1" customWidth="1"/>
    <col min="2066" max="2304" width="9.140625" style="1"/>
    <col min="2305" max="2305" width="7.140625" style="1" customWidth="1"/>
    <col min="2306" max="2321" width="11" style="1" customWidth="1"/>
    <col min="2322" max="2560" width="9.140625" style="1"/>
    <col min="2561" max="2561" width="7.140625" style="1" customWidth="1"/>
    <col min="2562" max="2577" width="11" style="1" customWidth="1"/>
    <col min="2578" max="2816" width="9.140625" style="1"/>
    <col min="2817" max="2817" width="7.140625" style="1" customWidth="1"/>
    <col min="2818" max="2833" width="11" style="1" customWidth="1"/>
    <col min="2834" max="3072" width="9.140625" style="1"/>
    <col min="3073" max="3073" width="7.140625" style="1" customWidth="1"/>
    <col min="3074" max="3089" width="11" style="1" customWidth="1"/>
    <col min="3090" max="3328" width="9.140625" style="1"/>
    <col min="3329" max="3329" width="7.140625" style="1" customWidth="1"/>
    <col min="3330" max="3345" width="11" style="1" customWidth="1"/>
    <col min="3346" max="3584" width="9.140625" style="1"/>
    <col min="3585" max="3585" width="7.140625" style="1" customWidth="1"/>
    <col min="3586" max="3601" width="11" style="1" customWidth="1"/>
    <col min="3602" max="3840" width="9.140625" style="1"/>
    <col min="3841" max="3841" width="7.140625" style="1" customWidth="1"/>
    <col min="3842" max="3857" width="11" style="1" customWidth="1"/>
    <col min="3858" max="4096" width="9.140625" style="1"/>
    <col min="4097" max="4097" width="7.140625" style="1" customWidth="1"/>
    <col min="4098" max="4113" width="11" style="1" customWidth="1"/>
    <col min="4114" max="4352" width="9.140625" style="1"/>
    <col min="4353" max="4353" width="7.140625" style="1" customWidth="1"/>
    <col min="4354" max="4369" width="11" style="1" customWidth="1"/>
    <col min="4370" max="4608" width="9.140625" style="1"/>
    <col min="4609" max="4609" width="7.140625" style="1" customWidth="1"/>
    <col min="4610" max="4625" width="11" style="1" customWidth="1"/>
    <col min="4626" max="4864" width="9.140625" style="1"/>
    <col min="4865" max="4865" width="7.140625" style="1" customWidth="1"/>
    <col min="4866" max="4881" width="11" style="1" customWidth="1"/>
    <col min="4882" max="5120" width="9.140625" style="1"/>
    <col min="5121" max="5121" width="7.140625" style="1" customWidth="1"/>
    <col min="5122" max="5137" width="11" style="1" customWidth="1"/>
    <col min="5138" max="5376" width="9.140625" style="1"/>
    <col min="5377" max="5377" width="7.140625" style="1" customWidth="1"/>
    <col min="5378" max="5393" width="11" style="1" customWidth="1"/>
    <col min="5394" max="5632" width="9.140625" style="1"/>
    <col min="5633" max="5633" width="7.140625" style="1" customWidth="1"/>
    <col min="5634" max="5649" width="11" style="1" customWidth="1"/>
    <col min="5650" max="5888" width="9.140625" style="1"/>
    <col min="5889" max="5889" width="7.140625" style="1" customWidth="1"/>
    <col min="5890" max="5905" width="11" style="1" customWidth="1"/>
    <col min="5906" max="6144" width="9.140625" style="1"/>
    <col min="6145" max="6145" width="7.140625" style="1" customWidth="1"/>
    <col min="6146" max="6161" width="11" style="1" customWidth="1"/>
    <col min="6162" max="6400" width="9.140625" style="1"/>
    <col min="6401" max="6401" width="7.140625" style="1" customWidth="1"/>
    <col min="6402" max="6417" width="11" style="1" customWidth="1"/>
    <col min="6418" max="6656" width="9.140625" style="1"/>
    <col min="6657" max="6657" width="7.140625" style="1" customWidth="1"/>
    <col min="6658" max="6673" width="11" style="1" customWidth="1"/>
    <col min="6674" max="6912" width="9.140625" style="1"/>
    <col min="6913" max="6913" width="7.140625" style="1" customWidth="1"/>
    <col min="6914" max="6929" width="11" style="1" customWidth="1"/>
    <col min="6930" max="7168" width="9.140625" style="1"/>
    <col min="7169" max="7169" width="7.140625" style="1" customWidth="1"/>
    <col min="7170" max="7185" width="11" style="1" customWidth="1"/>
    <col min="7186" max="7424" width="9.140625" style="1"/>
    <col min="7425" max="7425" width="7.140625" style="1" customWidth="1"/>
    <col min="7426" max="7441" width="11" style="1" customWidth="1"/>
    <col min="7442" max="7680" width="9.140625" style="1"/>
    <col min="7681" max="7681" width="7.140625" style="1" customWidth="1"/>
    <col min="7682" max="7697" width="11" style="1" customWidth="1"/>
    <col min="7698" max="7936" width="9.140625" style="1"/>
    <col min="7937" max="7937" width="7.140625" style="1" customWidth="1"/>
    <col min="7938" max="7953" width="11" style="1" customWidth="1"/>
    <col min="7954" max="8192" width="9.140625" style="1"/>
    <col min="8193" max="8193" width="7.140625" style="1" customWidth="1"/>
    <col min="8194" max="8209" width="11" style="1" customWidth="1"/>
    <col min="8210" max="8448" width="9.140625" style="1"/>
    <col min="8449" max="8449" width="7.140625" style="1" customWidth="1"/>
    <col min="8450" max="8465" width="11" style="1" customWidth="1"/>
    <col min="8466" max="8704" width="9.140625" style="1"/>
    <col min="8705" max="8705" width="7.140625" style="1" customWidth="1"/>
    <col min="8706" max="8721" width="11" style="1" customWidth="1"/>
    <col min="8722" max="8960" width="9.140625" style="1"/>
    <col min="8961" max="8961" width="7.140625" style="1" customWidth="1"/>
    <col min="8962" max="8977" width="11" style="1" customWidth="1"/>
    <col min="8978" max="9216" width="9.140625" style="1"/>
    <col min="9217" max="9217" width="7.140625" style="1" customWidth="1"/>
    <col min="9218" max="9233" width="11" style="1" customWidth="1"/>
    <col min="9234" max="9472" width="9.140625" style="1"/>
    <col min="9473" max="9473" width="7.140625" style="1" customWidth="1"/>
    <col min="9474" max="9489" width="11" style="1" customWidth="1"/>
    <col min="9490" max="9728" width="9.140625" style="1"/>
    <col min="9729" max="9729" width="7.140625" style="1" customWidth="1"/>
    <col min="9730" max="9745" width="11" style="1" customWidth="1"/>
    <col min="9746" max="9984" width="9.140625" style="1"/>
    <col min="9985" max="9985" width="7.140625" style="1" customWidth="1"/>
    <col min="9986" max="10001" width="11" style="1" customWidth="1"/>
    <col min="10002" max="10240" width="9.140625" style="1"/>
    <col min="10241" max="10241" width="7.140625" style="1" customWidth="1"/>
    <col min="10242" max="10257" width="11" style="1" customWidth="1"/>
    <col min="10258" max="10496" width="9.140625" style="1"/>
    <col min="10497" max="10497" width="7.140625" style="1" customWidth="1"/>
    <col min="10498" max="10513" width="11" style="1" customWidth="1"/>
    <col min="10514" max="10752" width="9.140625" style="1"/>
    <col min="10753" max="10753" width="7.140625" style="1" customWidth="1"/>
    <col min="10754" max="10769" width="11" style="1" customWidth="1"/>
    <col min="10770" max="11008" width="9.140625" style="1"/>
    <col min="11009" max="11009" width="7.140625" style="1" customWidth="1"/>
    <col min="11010" max="11025" width="11" style="1" customWidth="1"/>
    <col min="11026" max="11264" width="9.140625" style="1"/>
    <col min="11265" max="11265" width="7.140625" style="1" customWidth="1"/>
    <col min="11266" max="11281" width="11" style="1" customWidth="1"/>
    <col min="11282" max="11520" width="9.140625" style="1"/>
    <col min="11521" max="11521" width="7.140625" style="1" customWidth="1"/>
    <col min="11522" max="11537" width="11" style="1" customWidth="1"/>
    <col min="11538" max="11776" width="9.140625" style="1"/>
    <col min="11777" max="11777" width="7.140625" style="1" customWidth="1"/>
    <col min="11778" max="11793" width="11" style="1" customWidth="1"/>
    <col min="11794" max="12032" width="9.140625" style="1"/>
    <col min="12033" max="12033" width="7.140625" style="1" customWidth="1"/>
    <col min="12034" max="12049" width="11" style="1" customWidth="1"/>
    <col min="12050" max="12288" width="9.140625" style="1"/>
    <col min="12289" max="12289" width="7.140625" style="1" customWidth="1"/>
    <col min="12290" max="12305" width="11" style="1" customWidth="1"/>
    <col min="12306" max="12544" width="9.140625" style="1"/>
    <col min="12545" max="12545" width="7.140625" style="1" customWidth="1"/>
    <col min="12546" max="12561" width="11" style="1" customWidth="1"/>
    <col min="12562" max="12800" width="9.140625" style="1"/>
    <col min="12801" max="12801" width="7.140625" style="1" customWidth="1"/>
    <col min="12802" max="12817" width="11" style="1" customWidth="1"/>
    <col min="12818" max="13056" width="9.140625" style="1"/>
    <col min="13057" max="13057" width="7.140625" style="1" customWidth="1"/>
    <col min="13058" max="13073" width="11" style="1" customWidth="1"/>
    <col min="13074" max="13312" width="9.140625" style="1"/>
    <col min="13313" max="13313" width="7.140625" style="1" customWidth="1"/>
    <col min="13314" max="13329" width="11" style="1" customWidth="1"/>
    <col min="13330" max="13568" width="9.140625" style="1"/>
    <col min="13569" max="13569" width="7.140625" style="1" customWidth="1"/>
    <col min="13570" max="13585" width="11" style="1" customWidth="1"/>
    <col min="13586" max="13824" width="9.140625" style="1"/>
    <col min="13825" max="13825" width="7.140625" style="1" customWidth="1"/>
    <col min="13826" max="13841" width="11" style="1" customWidth="1"/>
    <col min="13842" max="14080" width="9.140625" style="1"/>
    <col min="14081" max="14081" width="7.140625" style="1" customWidth="1"/>
    <col min="14082" max="14097" width="11" style="1" customWidth="1"/>
    <col min="14098" max="14336" width="9.140625" style="1"/>
    <col min="14337" max="14337" width="7.140625" style="1" customWidth="1"/>
    <col min="14338" max="14353" width="11" style="1" customWidth="1"/>
    <col min="14354" max="14592" width="9.140625" style="1"/>
    <col min="14593" max="14593" width="7.140625" style="1" customWidth="1"/>
    <col min="14594" max="14609" width="11" style="1" customWidth="1"/>
    <col min="14610" max="14848" width="9.140625" style="1"/>
    <col min="14849" max="14849" width="7.140625" style="1" customWidth="1"/>
    <col min="14850" max="14865" width="11" style="1" customWidth="1"/>
    <col min="14866" max="15104" width="9.140625" style="1"/>
    <col min="15105" max="15105" width="7.140625" style="1" customWidth="1"/>
    <col min="15106" max="15121" width="11" style="1" customWidth="1"/>
    <col min="15122" max="15360" width="9.140625" style="1"/>
    <col min="15361" max="15361" width="7.140625" style="1" customWidth="1"/>
    <col min="15362" max="15377" width="11" style="1" customWidth="1"/>
    <col min="15378" max="15616" width="9.140625" style="1"/>
    <col min="15617" max="15617" width="7.140625" style="1" customWidth="1"/>
    <col min="15618" max="15633" width="11" style="1" customWidth="1"/>
    <col min="15634" max="15872" width="9.140625" style="1"/>
    <col min="15873" max="15873" width="7.140625" style="1" customWidth="1"/>
    <col min="15874" max="15889" width="11" style="1" customWidth="1"/>
    <col min="15890" max="16128" width="9.140625" style="1"/>
    <col min="16129" max="16129" width="7.140625" style="1" customWidth="1"/>
    <col min="16130" max="16145" width="11" style="1" customWidth="1"/>
    <col min="16146" max="16384" width="9.140625" style="1"/>
  </cols>
  <sheetData>
    <row r="1" spans="1:26" customFormat="1" ht="18.75" x14ac:dyDescent="0.3">
      <c r="A1" s="103" t="s">
        <v>33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26" customFormat="1" ht="18.75" x14ac:dyDescent="0.3">
      <c r="A2" s="103" t="s">
        <v>54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3" spans="1:26" customFormat="1" ht="15" x14ac:dyDescent="0.25">
      <c r="A3" s="104" t="s">
        <v>35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26" customFormat="1" ht="15.75" thickBot="1" x14ac:dyDescent="0.3">
      <c r="A4" s="105" t="s">
        <v>36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26" customFormat="1" ht="6" customHeight="1" x14ac:dyDescent="0.25">
      <c r="A5" s="46"/>
      <c r="B5" s="46"/>
      <c r="C5" s="46"/>
      <c r="D5" s="46"/>
      <c r="E5" s="46"/>
      <c r="F5" s="46"/>
    </row>
    <row r="6" spans="1:26" customFormat="1" ht="15" x14ac:dyDescent="0.25">
      <c r="A6" s="106" t="s">
        <v>48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26" customFormat="1" ht="15" x14ac:dyDescent="0.25">
      <c r="A7" s="102" t="s">
        <v>50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26" customFormat="1" ht="8.25" customHeight="1" x14ac:dyDescent="0.25"/>
    <row r="9" spans="1:26" customFormat="1" ht="15.75" x14ac:dyDescent="0.25">
      <c r="A9" s="47" t="s">
        <v>38</v>
      </c>
      <c r="B9" s="48" t="s">
        <v>39</v>
      </c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26" customFormat="1" ht="15.75" x14ac:dyDescent="0.25">
      <c r="A10" s="50" t="s">
        <v>40</v>
      </c>
      <c r="B10" s="50" t="s">
        <v>41</v>
      </c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26" customFormat="1" ht="15.75" x14ac:dyDescent="0.25">
      <c r="A11" s="50" t="s">
        <v>42</v>
      </c>
      <c r="B11" s="50" t="s">
        <v>43</v>
      </c>
      <c r="C11" s="49"/>
      <c r="D11" s="49"/>
      <c r="E11" s="49"/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26" ht="16.5" thickBot="1" x14ac:dyDescent="0.3">
      <c r="A12" s="51" t="s">
        <v>44</v>
      </c>
      <c r="B12" s="49" t="s">
        <v>45</v>
      </c>
      <c r="C12" s="49"/>
      <c r="D12" s="52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  <c r="P12" s="53" t="s">
        <v>46</v>
      </c>
      <c r="Q12" s="54" t="s">
        <v>47</v>
      </c>
    </row>
    <row r="13" spans="1:26" ht="17.25" thickTop="1" thickBot="1" x14ac:dyDescent="0.25">
      <c r="A13" s="55" t="s">
        <v>6</v>
      </c>
      <c r="B13" s="56" t="s">
        <v>7</v>
      </c>
      <c r="C13" s="57" t="s">
        <v>8</v>
      </c>
      <c r="D13" s="57" t="s">
        <v>9</v>
      </c>
      <c r="E13" s="57" t="s">
        <v>10</v>
      </c>
      <c r="F13" s="57" t="s">
        <v>11</v>
      </c>
      <c r="G13" s="57" t="s">
        <v>12</v>
      </c>
      <c r="H13" s="57" t="s">
        <v>13</v>
      </c>
      <c r="I13" s="57" t="s">
        <v>14</v>
      </c>
      <c r="J13" s="57" t="s">
        <v>15</v>
      </c>
      <c r="K13" s="57" t="s">
        <v>16</v>
      </c>
      <c r="L13" s="57" t="s">
        <v>17</v>
      </c>
      <c r="M13" s="57" t="s">
        <v>18</v>
      </c>
      <c r="N13" s="57" t="s">
        <v>19</v>
      </c>
      <c r="O13" s="58" t="s">
        <v>20</v>
      </c>
      <c r="P13" s="57" t="s">
        <v>21</v>
      </c>
      <c r="Q13" s="59" t="s">
        <v>22</v>
      </c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6.5" thickTop="1" x14ac:dyDescent="0.2">
      <c r="A14" s="60">
        <v>1</v>
      </c>
      <c r="B14" s="61">
        <v>991.22</v>
      </c>
      <c r="C14" s="61">
        <v>991</v>
      </c>
      <c r="D14" s="61">
        <v>991.23</v>
      </c>
      <c r="E14" s="61">
        <v>990.86</v>
      </c>
      <c r="F14" s="61">
        <v>990.14</v>
      </c>
      <c r="G14" s="61">
        <v>988.98</v>
      </c>
      <c r="H14" s="61">
        <v>988.44</v>
      </c>
      <c r="I14" s="61">
        <v>987.6</v>
      </c>
      <c r="J14" s="61">
        <v>987.6</v>
      </c>
      <c r="K14" s="61">
        <v>987.8</v>
      </c>
      <c r="L14" s="61">
        <v>988.5</v>
      </c>
      <c r="M14" s="61">
        <v>989.2</v>
      </c>
      <c r="N14" s="61">
        <v>989.8</v>
      </c>
      <c r="O14" s="62">
        <f>MAX(B14:N14)</f>
        <v>991.23</v>
      </c>
      <c r="P14" s="63">
        <f>MIN(B14:N14)</f>
        <v>987.6</v>
      </c>
      <c r="Q14" s="64">
        <f>AVERAGE(B14:N14)</f>
        <v>989.41307692307703</v>
      </c>
    </row>
    <row r="15" spans="1:26" ht="15.75" x14ac:dyDescent="0.2">
      <c r="A15" s="65">
        <v>2</v>
      </c>
      <c r="B15" s="61">
        <v>990.3</v>
      </c>
      <c r="C15" s="61">
        <v>990.6</v>
      </c>
      <c r="D15" s="61">
        <v>990.2</v>
      </c>
      <c r="E15" s="61">
        <v>990.1</v>
      </c>
      <c r="F15" s="61">
        <v>989</v>
      </c>
      <c r="G15" s="61">
        <v>988.2</v>
      </c>
      <c r="H15" s="61">
        <v>987.2</v>
      </c>
      <c r="I15" s="61">
        <v>986.36</v>
      </c>
      <c r="J15" s="61">
        <v>988.62</v>
      </c>
      <c r="K15" s="61">
        <v>987.6</v>
      </c>
      <c r="L15" s="61">
        <v>988.32</v>
      </c>
      <c r="M15" s="61">
        <v>989.3</v>
      </c>
      <c r="N15" s="61">
        <v>989.72</v>
      </c>
      <c r="O15" s="62">
        <f t="shared" ref="O15:O44" si="0">MAX(B15:N15)</f>
        <v>990.6</v>
      </c>
      <c r="P15" s="63">
        <f t="shared" ref="P15:P44" si="1">MIN(B15:N15)</f>
        <v>986.36</v>
      </c>
      <c r="Q15" s="64">
        <f t="shared" ref="Q15:Q44" si="2">AVERAGE(B15:N15)</f>
        <v>988.88615384615377</v>
      </c>
    </row>
    <row r="16" spans="1:26" ht="15.75" x14ac:dyDescent="0.2">
      <c r="A16" s="65">
        <v>3</v>
      </c>
      <c r="B16" s="61">
        <v>990.9</v>
      </c>
      <c r="C16" s="61">
        <v>991</v>
      </c>
      <c r="D16" s="61">
        <v>991.3</v>
      </c>
      <c r="E16" s="61">
        <v>990.8</v>
      </c>
      <c r="F16" s="61">
        <v>990.1</v>
      </c>
      <c r="G16" s="61">
        <v>989</v>
      </c>
      <c r="H16" s="61">
        <v>988.2</v>
      </c>
      <c r="I16" s="61">
        <v>987.27</v>
      </c>
      <c r="J16" s="61">
        <v>986.95</v>
      </c>
      <c r="K16" s="61">
        <v>987.39</v>
      </c>
      <c r="L16" s="61">
        <v>988.68</v>
      </c>
      <c r="M16" s="61">
        <v>989.35</v>
      </c>
      <c r="N16" s="61">
        <v>990.16</v>
      </c>
      <c r="O16" s="62">
        <f t="shared" si="0"/>
        <v>991.3</v>
      </c>
      <c r="P16" s="63">
        <f t="shared" si="1"/>
        <v>986.95</v>
      </c>
      <c r="Q16" s="64">
        <f t="shared" si="2"/>
        <v>989.31538461538469</v>
      </c>
    </row>
    <row r="17" spans="1:17" ht="15.75" x14ac:dyDescent="0.2">
      <c r="A17" s="65">
        <v>4</v>
      </c>
      <c r="B17" s="61">
        <v>991.5</v>
      </c>
      <c r="C17" s="61">
        <v>992</v>
      </c>
      <c r="D17" s="61">
        <v>992.2</v>
      </c>
      <c r="E17" s="61">
        <v>991.6</v>
      </c>
      <c r="F17" s="61">
        <v>990.7</v>
      </c>
      <c r="G17" s="61">
        <v>989.2</v>
      </c>
      <c r="H17" s="61">
        <v>988.3</v>
      </c>
      <c r="I17" s="61">
        <v>988</v>
      </c>
      <c r="J17" s="61">
        <v>987.7</v>
      </c>
      <c r="K17" s="61">
        <v>987.3</v>
      </c>
      <c r="L17" s="61">
        <v>988.1</v>
      </c>
      <c r="M17" s="61">
        <v>988.9</v>
      </c>
      <c r="N17" s="61">
        <v>989.7</v>
      </c>
      <c r="O17" s="62">
        <f t="shared" si="0"/>
        <v>992.2</v>
      </c>
      <c r="P17" s="63">
        <f t="shared" si="1"/>
        <v>987.3</v>
      </c>
      <c r="Q17" s="64">
        <f t="shared" si="2"/>
        <v>989.63076923076926</v>
      </c>
    </row>
    <row r="18" spans="1:17" ht="15.75" x14ac:dyDescent="0.2">
      <c r="A18" s="65">
        <v>5</v>
      </c>
      <c r="B18" s="61">
        <v>991.5</v>
      </c>
      <c r="C18" s="61">
        <v>992.2</v>
      </c>
      <c r="D18" s="61">
        <v>992.4</v>
      </c>
      <c r="E18" s="61">
        <v>991.6</v>
      </c>
      <c r="F18" s="61">
        <v>991.1</v>
      </c>
      <c r="G18" s="61">
        <v>990.2</v>
      </c>
      <c r="H18" s="61">
        <v>989.3</v>
      </c>
      <c r="I18" s="61">
        <v>988.7</v>
      </c>
      <c r="J18" s="61">
        <v>988.3</v>
      </c>
      <c r="K18" s="61">
        <v>988.8</v>
      </c>
      <c r="L18" s="61">
        <v>989.5</v>
      </c>
      <c r="M18" s="61">
        <v>990.3</v>
      </c>
      <c r="N18" s="61">
        <v>990.8</v>
      </c>
      <c r="O18" s="62">
        <f t="shared" si="0"/>
        <v>992.4</v>
      </c>
      <c r="P18" s="63">
        <f t="shared" si="1"/>
        <v>988.3</v>
      </c>
      <c r="Q18" s="64">
        <f t="shared" si="2"/>
        <v>990.3615384615382</v>
      </c>
    </row>
    <row r="19" spans="1:17" ht="15.75" x14ac:dyDescent="0.2">
      <c r="A19" s="65">
        <v>6</v>
      </c>
      <c r="B19" s="61">
        <v>991.9</v>
      </c>
      <c r="C19" s="61">
        <v>992.5</v>
      </c>
      <c r="D19" s="61">
        <v>992.3</v>
      </c>
      <c r="E19" s="61">
        <v>992.2</v>
      </c>
      <c r="F19" s="61">
        <v>991.6</v>
      </c>
      <c r="G19" s="61">
        <v>990.6</v>
      </c>
      <c r="H19" s="61">
        <v>989.5</v>
      </c>
      <c r="I19" s="61">
        <v>988.8</v>
      </c>
      <c r="J19" s="61">
        <v>988.7</v>
      </c>
      <c r="K19" s="61">
        <v>989.1</v>
      </c>
      <c r="L19" s="61">
        <v>990</v>
      </c>
      <c r="M19" s="61">
        <v>990.6</v>
      </c>
      <c r="N19" s="61">
        <v>991.5</v>
      </c>
      <c r="O19" s="62">
        <f t="shared" si="0"/>
        <v>992.5</v>
      </c>
      <c r="P19" s="63">
        <f t="shared" si="1"/>
        <v>988.7</v>
      </c>
      <c r="Q19" s="64">
        <f t="shared" si="2"/>
        <v>990.71538461538466</v>
      </c>
    </row>
    <row r="20" spans="1:17" ht="15.75" x14ac:dyDescent="0.2">
      <c r="A20" s="65">
        <v>7</v>
      </c>
      <c r="B20" s="61">
        <v>991.1</v>
      </c>
      <c r="C20" s="61">
        <v>991.5</v>
      </c>
      <c r="D20" s="61">
        <v>991.6</v>
      </c>
      <c r="E20" s="61">
        <v>991.3</v>
      </c>
      <c r="F20" s="61">
        <v>990.3</v>
      </c>
      <c r="G20" s="61">
        <v>989.7</v>
      </c>
      <c r="H20" s="61">
        <v>989.3</v>
      </c>
      <c r="I20" s="61">
        <v>988.8</v>
      </c>
      <c r="J20" s="61">
        <v>988.2</v>
      </c>
      <c r="K20" s="61">
        <v>988.7</v>
      </c>
      <c r="L20" s="61">
        <v>989.3</v>
      </c>
      <c r="M20" s="61">
        <v>990.2</v>
      </c>
      <c r="N20" s="61">
        <v>990.6</v>
      </c>
      <c r="O20" s="62">
        <f t="shared" si="0"/>
        <v>991.6</v>
      </c>
      <c r="P20" s="63">
        <f t="shared" si="1"/>
        <v>988.2</v>
      </c>
      <c r="Q20" s="64">
        <f t="shared" si="2"/>
        <v>990.04615384615397</v>
      </c>
    </row>
    <row r="21" spans="1:17" ht="15.75" x14ac:dyDescent="0.2">
      <c r="A21" s="65">
        <v>8</v>
      </c>
      <c r="B21" s="61">
        <v>992.3</v>
      </c>
      <c r="C21" s="61">
        <v>992.7</v>
      </c>
      <c r="D21" s="61">
        <v>992.6</v>
      </c>
      <c r="E21" s="61">
        <v>991.8</v>
      </c>
      <c r="F21" s="61">
        <v>991.2</v>
      </c>
      <c r="G21" s="61">
        <v>990</v>
      </c>
      <c r="H21" s="61">
        <v>989.4</v>
      </c>
      <c r="I21" s="61">
        <v>988.35</v>
      </c>
      <c r="J21" s="61">
        <v>988.44</v>
      </c>
      <c r="K21" s="61">
        <v>988.59</v>
      </c>
      <c r="L21" s="61">
        <v>989.4</v>
      </c>
      <c r="M21" s="61">
        <v>991.12</v>
      </c>
      <c r="N21" s="61">
        <v>991.57</v>
      </c>
      <c r="O21" s="62">
        <f t="shared" si="0"/>
        <v>992.7</v>
      </c>
      <c r="P21" s="63">
        <f t="shared" si="1"/>
        <v>988.35</v>
      </c>
      <c r="Q21" s="64">
        <f t="shared" si="2"/>
        <v>990.5746153846153</v>
      </c>
    </row>
    <row r="22" spans="1:17" ht="15.75" x14ac:dyDescent="0.2">
      <c r="A22" s="65">
        <v>9</v>
      </c>
      <c r="B22" s="61">
        <v>992.5</v>
      </c>
      <c r="C22" s="61">
        <v>993.2</v>
      </c>
      <c r="D22" s="61">
        <v>993</v>
      </c>
      <c r="E22" s="61">
        <v>992.3</v>
      </c>
      <c r="F22" s="61">
        <v>991.7</v>
      </c>
      <c r="G22" s="61">
        <v>990.4</v>
      </c>
      <c r="H22" s="61">
        <v>989.6</v>
      </c>
      <c r="I22" s="61">
        <v>989</v>
      </c>
      <c r="J22" s="61">
        <v>988.9</v>
      </c>
      <c r="K22" s="61">
        <v>988.9</v>
      </c>
      <c r="L22" s="61">
        <v>989.9</v>
      </c>
      <c r="M22" s="61">
        <v>990.5</v>
      </c>
      <c r="N22" s="61">
        <v>991.4</v>
      </c>
      <c r="O22" s="62">
        <f t="shared" si="0"/>
        <v>993.2</v>
      </c>
      <c r="P22" s="63">
        <f t="shared" si="1"/>
        <v>988.9</v>
      </c>
      <c r="Q22" s="64">
        <f t="shared" si="2"/>
        <v>990.86923076923074</v>
      </c>
    </row>
    <row r="23" spans="1:17" ht="15.75" x14ac:dyDescent="0.2">
      <c r="A23" s="65">
        <v>10</v>
      </c>
      <c r="B23" s="61">
        <v>993.2</v>
      </c>
      <c r="C23" s="61">
        <v>993.6</v>
      </c>
      <c r="D23" s="61">
        <v>993.3</v>
      </c>
      <c r="E23" s="61">
        <v>992.8</v>
      </c>
      <c r="F23" s="61">
        <v>991.7</v>
      </c>
      <c r="G23" s="61">
        <v>990.8</v>
      </c>
      <c r="H23" s="61">
        <v>990.3</v>
      </c>
      <c r="I23" s="61">
        <v>989.49</v>
      </c>
      <c r="J23" s="61">
        <v>989.54</v>
      </c>
      <c r="K23" s="61">
        <v>989.98</v>
      </c>
      <c r="L23" s="61">
        <v>990.38</v>
      </c>
      <c r="M23" s="61">
        <v>991.22</v>
      </c>
      <c r="N23" s="61">
        <v>991.43</v>
      </c>
      <c r="O23" s="62">
        <f t="shared" si="0"/>
        <v>993.6</v>
      </c>
      <c r="P23" s="63">
        <f t="shared" si="1"/>
        <v>989.49</v>
      </c>
      <c r="Q23" s="64">
        <f t="shared" si="2"/>
        <v>991.36461538461526</v>
      </c>
    </row>
    <row r="24" spans="1:17" ht="15.75" x14ac:dyDescent="0.2">
      <c r="A24" s="65">
        <v>11</v>
      </c>
      <c r="B24" s="61">
        <v>992.24</v>
      </c>
      <c r="C24" s="61">
        <v>992.8</v>
      </c>
      <c r="D24" s="61">
        <v>992.62</v>
      </c>
      <c r="E24" s="61">
        <v>992.19</v>
      </c>
      <c r="F24" s="61">
        <v>991.27</v>
      </c>
      <c r="G24" s="61">
        <v>989.87</v>
      </c>
      <c r="H24" s="61">
        <v>989.51</v>
      </c>
      <c r="I24" s="61">
        <v>989.6</v>
      </c>
      <c r="J24" s="61">
        <v>990.4</v>
      </c>
      <c r="K24" s="61">
        <v>989.7</v>
      </c>
      <c r="L24" s="61">
        <v>989.9</v>
      </c>
      <c r="M24" s="61">
        <v>989.9</v>
      </c>
      <c r="N24" s="61">
        <v>990.5</v>
      </c>
      <c r="O24" s="62">
        <f t="shared" si="0"/>
        <v>992.8</v>
      </c>
      <c r="P24" s="63">
        <f t="shared" si="1"/>
        <v>989.51</v>
      </c>
      <c r="Q24" s="64">
        <f t="shared" si="2"/>
        <v>990.80769230769226</v>
      </c>
    </row>
    <row r="25" spans="1:17" ht="15.75" x14ac:dyDescent="0.2">
      <c r="A25" s="65">
        <v>12</v>
      </c>
      <c r="B25" s="61">
        <v>992.2</v>
      </c>
      <c r="C25" s="61">
        <v>992.5</v>
      </c>
      <c r="D25" s="61">
        <v>992.4</v>
      </c>
      <c r="E25" s="61">
        <v>991.8</v>
      </c>
      <c r="F25" s="61">
        <v>991.2</v>
      </c>
      <c r="G25" s="61">
        <v>990.1</v>
      </c>
      <c r="H25" s="61">
        <v>989.8</v>
      </c>
      <c r="I25" s="61">
        <v>989.3</v>
      </c>
      <c r="J25" s="61">
        <v>989.1</v>
      </c>
      <c r="K25" s="61">
        <v>988.9</v>
      </c>
      <c r="L25" s="61">
        <v>989.5</v>
      </c>
      <c r="M25" s="61">
        <v>990.1</v>
      </c>
      <c r="N25" s="61">
        <v>990.7</v>
      </c>
      <c r="O25" s="62">
        <f t="shared" si="0"/>
        <v>992.5</v>
      </c>
      <c r="P25" s="63">
        <f t="shared" si="1"/>
        <v>988.9</v>
      </c>
      <c r="Q25" s="64">
        <f t="shared" si="2"/>
        <v>990.5846153846154</v>
      </c>
    </row>
    <row r="26" spans="1:17" ht="15.75" x14ac:dyDescent="0.2">
      <c r="A26" s="65">
        <v>13</v>
      </c>
      <c r="B26" s="61">
        <v>991.6</v>
      </c>
      <c r="C26" s="61">
        <v>992</v>
      </c>
      <c r="D26" s="61">
        <v>991.7</v>
      </c>
      <c r="E26" s="61">
        <v>991.2</v>
      </c>
      <c r="F26" s="61">
        <v>990.5</v>
      </c>
      <c r="G26" s="61">
        <v>989.8</v>
      </c>
      <c r="H26" s="61">
        <v>988.6</v>
      </c>
      <c r="I26" s="61">
        <v>988.2</v>
      </c>
      <c r="J26" s="61">
        <v>988.1</v>
      </c>
      <c r="K26" s="61">
        <v>988.1</v>
      </c>
      <c r="L26" s="61">
        <v>988.6</v>
      </c>
      <c r="M26" s="61">
        <v>989.8</v>
      </c>
      <c r="N26" s="61">
        <v>990.1</v>
      </c>
      <c r="O26" s="62">
        <f t="shared" si="0"/>
        <v>992</v>
      </c>
      <c r="P26" s="63">
        <f t="shared" si="1"/>
        <v>988.1</v>
      </c>
      <c r="Q26" s="64">
        <f t="shared" si="2"/>
        <v>989.86923076923085</v>
      </c>
    </row>
    <row r="27" spans="1:17" ht="15.75" x14ac:dyDescent="0.2">
      <c r="A27" s="65">
        <v>14</v>
      </c>
      <c r="B27" s="61">
        <v>990.5</v>
      </c>
      <c r="C27" s="61">
        <v>990.9</v>
      </c>
      <c r="D27" s="61">
        <v>990.8</v>
      </c>
      <c r="E27" s="61">
        <v>990.5</v>
      </c>
      <c r="F27" s="61">
        <v>989.6</v>
      </c>
      <c r="G27" s="61">
        <v>989.1</v>
      </c>
      <c r="H27" s="61">
        <v>987.8</v>
      </c>
      <c r="I27" s="61">
        <v>987.4</v>
      </c>
      <c r="J27" s="61">
        <v>987</v>
      </c>
      <c r="K27" s="61">
        <v>986.7</v>
      </c>
      <c r="L27" s="61">
        <v>987.4</v>
      </c>
      <c r="M27" s="61">
        <v>988.1</v>
      </c>
      <c r="N27" s="61">
        <v>988.9</v>
      </c>
      <c r="O27" s="62">
        <f t="shared" si="0"/>
        <v>990.9</v>
      </c>
      <c r="P27" s="63">
        <f t="shared" si="1"/>
        <v>986.7</v>
      </c>
      <c r="Q27" s="64">
        <f t="shared" si="2"/>
        <v>988.823076923077</v>
      </c>
    </row>
    <row r="28" spans="1:17" ht="15.75" x14ac:dyDescent="0.2">
      <c r="A28" s="65">
        <v>15</v>
      </c>
      <c r="B28" s="61">
        <v>990.92</v>
      </c>
      <c r="C28" s="61">
        <v>991.29</v>
      </c>
      <c r="D28" s="61">
        <v>991.31</v>
      </c>
      <c r="E28" s="61">
        <v>990.75</v>
      </c>
      <c r="F28" s="61">
        <v>989.96</v>
      </c>
      <c r="G28" s="61">
        <v>989.29</v>
      </c>
      <c r="H28" s="61">
        <v>988.76</v>
      </c>
      <c r="I28" s="61">
        <v>988</v>
      </c>
      <c r="J28" s="61">
        <v>987.9</v>
      </c>
      <c r="K28" s="61">
        <v>987.9</v>
      </c>
      <c r="L28" s="61">
        <v>988.5</v>
      </c>
      <c r="M28" s="61">
        <v>989.4</v>
      </c>
      <c r="N28" s="61">
        <v>989.9</v>
      </c>
      <c r="O28" s="62">
        <f t="shared" si="0"/>
        <v>991.31</v>
      </c>
      <c r="P28" s="63">
        <f t="shared" si="1"/>
        <v>987.9</v>
      </c>
      <c r="Q28" s="64">
        <f t="shared" si="2"/>
        <v>989.52923076923071</v>
      </c>
    </row>
    <row r="29" spans="1:17" ht="15.75" x14ac:dyDescent="0.2">
      <c r="A29" s="65">
        <v>16</v>
      </c>
      <c r="B29" s="61">
        <v>992.2</v>
      </c>
      <c r="C29" s="61">
        <v>992.4</v>
      </c>
      <c r="D29" s="61">
        <v>992.7</v>
      </c>
      <c r="E29" s="61">
        <v>992.2</v>
      </c>
      <c r="F29" s="61">
        <v>991.5</v>
      </c>
      <c r="G29" s="61">
        <v>990.9</v>
      </c>
      <c r="H29" s="61">
        <v>989.9</v>
      </c>
      <c r="I29" s="61">
        <v>989</v>
      </c>
      <c r="J29" s="61">
        <v>988.8</v>
      </c>
      <c r="K29" s="61">
        <v>989.2</v>
      </c>
      <c r="L29" s="61">
        <v>989.9</v>
      </c>
      <c r="M29" s="61">
        <v>990.7</v>
      </c>
      <c r="N29" s="61">
        <v>991.6</v>
      </c>
      <c r="O29" s="62">
        <f t="shared" si="0"/>
        <v>992.7</v>
      </c>
      <c r="P29" s="63">
        <f t="shared" si="1"/>
        <v>988.8</v>
      </c>
      <c r="Q29" s="64">
        <f t="shared" si="2"/>
        <v>990.84615384615381</v>
      </c>
    </row>
    <row r="30" spans="1:17" ht="15.75" x14ac:dyDescent="0.2">
      <c r="A30" s="65">
        <v>17</v>
      </c>
      <c r="B30" s="61">
        <v>992.6</v>
      </c>
      <c r="C30" s="61">
        <v>992.9</v>
      </c>
      <c r="D30" s="61">
        <v>992.5</v>
      </c>
      <c r="E30" s="61">
        <v>992.4</v>
      </c>
      <c r="F30" s="61">
        <v>991.7</v>
      </c>
      <c r="G30" s="61">
        <v>990.4</v>
      </c>
      <c r="H30" s="61">
        <v>990.2</v>
      </c>
      <c r="I30" s="61">
        <v>989.85</v>
      </c>
      <c r="J30" s="61">
        <v>989.64</v>
      </c>
      <c r="K30" s="61">
        <v>989.84</v>
      </c>
      <c r="L30" s="61">
        <v>990.01</v>
      </c>
      <c r="M30" s="61">
        <v>990.36</v>
      </c>
      <c r="N30" s="61">
        <v>990.53</v>
      </c>
      <c r="O30" s="62">
        <f t="shared" si="0"/>
        <v>992.9</v>
      </c>
      <c r="P30" s="63">
        <f t="shared" si="1"/>
        <v>989.64</v>
      </c>
      <c r="Q30" s="64">
        <f t="shared" si="2"/>
        <v>990.9946153846156</v>
      </c>
    </row>
    <row r="31" spans="1:17" ht="15.75" x14ac:dyDescent="0.2">
      <c r="A31" s="65">
        <v>18</v>
      </c>
      <c r="B31" s="61">
        <v>991.43</v>
      </c>
      <c r="C31" s="61">
        <v>991.92</v>
      </c>
      <c r="D31" s="61">
        <v>991.68</v>
      </c>
      <c r="E31" s="61">
        <v>991.58</v>
      </c>
      <c r="F31" s="61">
        <v>991.18</v>
      </c>
      <c r="G31" s="61">
        <v>990.3</v>
      </c>
      <c r="H31" s="61">
        <v>989.54</v>
      </c>
      <c r="I31" s="61">
        <v>988.7</v>
      </c>
      <c r="J31" s="61">
        <v>988.4</v>
      </c>
      <c r="K31" s="61">
        <v>988.7</v>
      </c>
      <c r="L31" s="61">
        <v>989</v>
      </c>
      <c r="M31" s="61">
        <v>989.3</v>
      </c>
      <c r="N31" s="61">
        <v>989.6</v>
      </c>
      <c r="O31" s="62">
        <f t="shared" si="0"/>
        <v>991.92</v>
      </c>
      <c r="P31" s="63">
        <f t="shared" si="1"/>
        <v>988.4</v>
      </c>
      <c r="Q31" s="64">
        <f t="shared" si="2"/>
        <v>990.1023076923077</v>
      </c>
    </row>
    <row r="32" spans="1:17" ht="15.75" x14ac:dyDescent="0.2">
      <c r="A32" s="65">
        <v>19</v>
      </c>
      <c r="B32" s="61">
        <v>990.7</v>
      </c>
      <c r="C32" s="61">
        <v>991.1</v>
      </c>
      <c r="D32" s="61">
        <v>991.4</v>
      </c>
      <c r="E32" s="61">
        <v>990.8</v>
      </c>
      <c r="F32" s="61">
        <v>989.9</v>
      </c>
      <c r="G32" s="61">
        <v>989</v>
      </c>
      <c r="H32" s="61">
        <v>988.4</v>
      </c>
      <c r="I32" s="61">
        <v>988.1</v>
      </c>
      <c r="J32" s="61">
        <v>988.4</v>
      </c>
      <c r="K32" s="61">
        <v>989</v>
      </c>
      <c r="L32" s="61">
        <v>989.2</v>
      </c>
      <c r="M32" s="61">
        <v>989.9</v>
      </c>
      <c r="N32" s="61">
        <v>990.5</v>
      </c>
      <c r="O32" s="62">
        <f t="shared" si="0"/>
        <v>991.4</v>
      </c>
      <c r="P32" s="63">
        <f t="shared" si="1"/>
        <v>988.1</v>
      </c>
      <c r="Q32" s="64">
        <f t="shared" si="2"/>
        <v>989.72307692307686</v>
      </c>
    </row>
    <row r="33" spans="1:17" ht="15.75" x14ac:dyDescent="0.2">
      <c r="A33" s="65">
        <v>20</v>
      </c>
      <c r="B33" s="61">
        <v>991.9</v>
      </c>
      <c r="C33" s="61">
        <v>992.1</v>
      </c>
      <c r="D33" s="61">
        <v>991.9</v>
      </c>
      <c r="E33" s="61">
        <v>990</v>
      </c>
      <c r="F33" s="61">
        <v>990.4</v>
      </c>
      <c r="G33" s="61">
        <v>989.5</v>
      </c>
      <c r="H33" s="61">
        <v>989</v>
      </c>
      <c r="I33" s="61">
        <v>988.7</v>
      </c>
      <c r="J33" s="61">
        <v>988.4</v>
      </c>
      <c r="K33" s="61">
        <v>988.2</v>
      </c>
      <c r="L33" s="61">
        <v>989.2</v>
      </c>
      <c r="M33" s="61">
        <v>990.2</v>
      </c>
      <c r="N33" s="61">
        <v>991.1</v>
      </c>
      <c r="O33" s="62">
        <f t="shared" si="0"/>
        <v>992.1</v>
      </c>
      <c r="P33" s="63">
        <f t="shared" si="1"/>
        <v>988.2</v>
      </c>
      <c r="Q33" s="64">
        <f t="shared" si="2"/>
        <v>990.04615384615397</v>
      </c>
    </row>
    <row r="34" spans="1:17" ht="15.75" x14ac:dyDescent="0.2">
      <c r="A34" s="65">
        <v>21</v>
      </c>
      <c r="B34" s="61">
        <v>992.4</v>
      </c>
      <c r="C34" s="61">
        <v>993.2</v>
      </c>
      <c r="D34" s="61">
        <v>993</v>
      </c>
      <c r="E34" s="61">
        <v>992.5</v>
      </c>
      <c r="F34" s="61">
        <v>991.8</v>
      </c>
      <c r="G34" s="61">
        <v>991.3</v>
      </c>
      <c r="H34" s="61">
        <v>990.2</v>
      </c>
      <c r="I34" s="61">
        <v>989.6</v>
      </c>
      <c r="J34" s="61">
        <v>990</v>
      </c>
      <c r="K34" s="61">
        <v>990.7</v>
      </c>
      <c r="L34" s="61">
        <v>991.6</v>
      </c>
      <c r="M34" s="61">
        <v>992.1</v>
      </c>
      <c r="N34" s="61">
        <v>992.2</v>
      </c>
      <c r="O34" s="62">
        <f t="shared" si="0"/>
        <v>993.2</v>
      </c>
      <c r="P34" s="63">
        <f t="shared" si="1"/>
        <v>989.6</v>
      </c>
      <c r="Q34" s="64">
        <f t="shared" si="2"/>
        <v>991.58461538461552</v>
      </c>
    </row>
    <row r="35" spans="1:17" ht="15.75" x14ac:dyDescent="0.2">
      <c r="A35" s="65">
        <v>22</v>
      </c>
      <c r="B35" s="61">
        <v>992.5</v>
      </c>
      <c r="C35" s="61">
        <v>992.5</v>
      </c>
      <c r="D35" s="61">
        <v>992.7</v>
      </c>
      <c r="E35" s="61">
        <v>992.3</v>
      </c>
      <c r="F35" s="61">
        <v>991.8</v>
      </c>
      <c r="G35" s="61">
        <v>991</v>
      </c>
      <c r="H35" s="61">
        <v>989.3</v>
      </c>
      <c r="I35" s="61">
        <v>988.4</v>
      </c>
      <c r="J35" s="61">
        <v>987.8</v>
      </c>
      <c r="K35" s="61">
        <v>987.9</v>
      </c>
      <c r="L35" s="61">
        <v>989.4</v>
      </c>
      <c r="M35" s="61">
        <v>990.6</v>
      </c>
      <c r="N35" s="61">
        <v>991.7</v>
      </c>
      <c r="O35" s="62">
        <f t="shared" si="0"/>
        <v>992.7</v>
      </c>
      <c r="P35" s="63">
        <f t="shared" si="1"/>
        <v>987.8</v>
      </c>
      <c r="Q35" s="64">
        <f t="shared" si="2"/>
        <v>990.60769230769233</v>
      </c>
    </row>
    <row r="36" spans="1:17" ht="15.75" x14ac:dyDescent="0.2">
      <c r="A36" s="65">
        <v>23</v>
      </c>
      <c r="B36" s="61">
        <v>992</v>
      </c>
      <c r="C36" s="61">
        <v>992.4</v>
      </c>
      <c r="D36" s="61">
        <v>992.3</v>
      </c>
      <c r="E36" s="61">
        <v>991.7</v>
      </c>
      <c r="F36" s="61">
        <v>991.1</v>
      </c>
      <c r="G36" s="61">
        <v>990</v>
      </c>
      <c r="H36" s="61">
        <v>988.8</v>
      </c>
      <c r="I36" s="61">
        <v>988.1</v>
      </c>
      <c r="J36" s="61">
        <v>988.3</v>
      </c>
      <c r="K36" s="61">
        <v>988.6</v>
      </c>
      <c r="L36" s="61">
        <v>989.8</v>
      </c>
      <c r="M36" s="61">
        <v>990.6</v>
      </c>
      <c r="N36" s="61">
        <v>991.8</v>
      </c>
      <c r="O36" s="62">
        <f t="shared" si="0"/>
        <v>992.4</v>
      </c>
      <c r="P36" s="63">
        <f t="shared" si="1"/>
        <v>988.1</v>
      </c>
      <c r="Q36" s="64">
        <f t="shared" si="2"/>
        <v>990.42307692307691</v>
      </c>
    </row>
    <row r="37" spans="1:17" ht="15.75" x14ac:dyDescent="0.2">
      <c r="A37" s="65">
        <v>24</v>
      </c>
      <c r="B37" s="61">
        <v>991.3</v>
      </c>
      <c r="C37" s="61">
        <v>991.9</v>
      </c>
      <c r="D37" s="61">
        <v>992</v>
      </c>
      <c r="E37" s="61">
        <v>991.8</v>
      </c>
      <c r="F37" s="61">
        <v>990.8</v>
      </c>
      <c r="G37" s="61">
        <v>989.9</v>
      </c>
      <c r="H37" s="61">
        <v>989.1</v>
      </c>
      <c r="I37" s="61">
        <v>989.52</v>
      </c>
      <c r="J37" s="61">
        <v>989.38</v>
      </c>
      <c r="K37" s="61">
        <v>989.69</v>
      </c>
      <c r="L37" s="61">
        <v>989.88</v>
      </c>
      <c r="M37" s="61">
        <v>990.7</v>
      </c>
      <c r="N37" s="61">
        <v>991.22</v>
      </c>
      <c r="O37" s="62">
        <f t="shared" si="0"/>
        <v>992</v>
      </c>
      <c r="P37" s="63">
        <f t="shared" si="1"/>
        <v>989.1</v>
      </c>
      <c r="Q37" s="64">
        <f t="shared" si="2"/>
        <v>990.55307692307679</v>
      </c>
    </row>
    <row r="38" spans="1:17" ht="15.75" x14ac:dyDescent="0.2">
      <c r="A38" s="65">
        <v>25</v>
      </c>
      <c r="B38" s="61">
        <v>991.5</v>
      </c>
      <c r="C38" s="61">
        <v>991.8</v>
      </c>
      <c r="D38" s="61">
        <v>991.7</v>
      </c>
      <c r="E38" s="61">
        <v>991.3</v>
      </c>
      <c r="F38" s="61">
        <v>990.6</v>
      </c>
      <c r="G38" s="61">
        <v>989.8</v>
      </c>
      <c r="H38" s="61">
        <v>989.1</v>
      </c>
      <c r="I38" s="61">
        <v>988.6</v>
      </c>
      <c r="J38" s="61">
        <v>988.9</v>
      </c>
      <c r="K38" s="61">
        <v>989.2</v>
      </c>
      <c r="L38" s="61">
        <v>989.7</v>
      </c>
      <c r="M38" s="61">
        <v>990.4</v>
      </c>
      <c r="N38" s="61">
        <v>991.1</v>
      </c>
      <c r="O38" s="62">
        <f t="shared" si="0"/>
        <v>991.8</v>
      </c>
      <c r="P38" s="63">
        <f t="shared" si="1"/>
        <v>988.6</v>
      </c>
      <c r="Q38" s="64">
        <f t="shared" si="2"/>
        <v>990.28461538461556</v>
      </c>
    </row>
    <row r="39" spans="1:17" ht="15.75" x14ac:dyDescent="0.2">
      <c r="A39" s="65">
        <v>26</v>
      </c>
      <c r="B39" s="61">
        <v>991.9</v>
      </c>
      <c r="C39" s="61">
        <v>992.5</v>
      </c>
      <c r="D39" s="61">
        <v>992.4</v>
      </c>
      <c r="E39" s="61">
        <v>992.1</v>
      </c>
      <c r="F39" s="61">
        <v>991.2</v>
      </c>
      <c r="G39" s="61">
        <v>990</v>
      </c>
      <c r="H39" s="61">
        <v>989.1</v>
      </c>
      <c r="I39" s="61">
        <v>988.3</v>
      </c>
      <c r="J39" s="61">
        <v>988.4</v>
      </c>
      <c r="K39" s="61">
        <v>988.6</v>
      </c>
      <c r="L39" s="61">
        <v>989.6</v>
      </c>
      <c r="M39" s="61">
        <v>990.2</v>
      </c>
      <c r="N39" s="61">
        <v>991.1</v>
      </c>
      <c r="O39" s="62">
        <f t="shared" si="0"/>
        <v>992.5</v>
      </c>
      <c r="P39" s="63">
        <f t="shared" si="1"/>
        <v>988.3</v>
      </c>
      <c r="Q39" s="64">
        <f t="shared" si="2"/>
        <v>990.41538461538482</v>
      </c>
    </row>
    <row r="40" spans="1:17" ht="15.75" x14ac:dyDescent="0.2">
      <c r="A40" s="65">
        <v>27</v>
      </c>
      <c r="B40" s="61">
        <v>990.34</v>
      </c>
      <c r="C40" s="61">
        <v>990.75</v>
      </c>
      <c r="D40" s="61">
        <v>990.69</v>
      </c>
      <c r="E40" s="61">
        <v>990.26</v>
      </c>
      <c r="F40" s="61">
        <v>990.02</v>
      </c>
      <c r="G40" s="61">
        <v>989.4</v>
      </c>
      <c r="H40" s="61">
        <v>988.16</v>
      </c>
      <c r="I40" s="61">
        <v>987.7</v>
      </c>
      <c r="J40" s="61">
        <v>987.6</v>
      </c>
      <c r="K40" s="61">
        <v>987.8</v>
      </c>
      <c r="L40" s="61">
        <v>988.1</v>
      </c>
      <c r="M40" s="61">
        <v>988.8</v>
      </c>
      <c r="N40" s="61">
        <v>989.1</v>
      </c>
      <c r="O40" s="62">
        <f t="shared" si="0"/>
        <v>990.75</v>
      </c>
      <c r="P40" s="63">
        <f t="shared" si="1"/>
        <v>987.6</v>
      </c>
      <c r="Q40" s="64">
        <f t="shared" si="2"/>
        <v>989.13230769230745</v>
      </c>
    </row>
    <row r="41" spans="1:17" ht="15.75" x14ac:dyDescent="0.2">
      <c r="A41" s="65">
        <v>28</v>
      </c>
      <c r="B41" s="61">
        <v>990.2</v>
      </c>
      <c r="C41" s="61">
        <v>990.8</v>
      </c>
      <c r="D41" s="61">
        <v>990.5</v>
      </c>
      <c r="E41" s="61">
        <v>990.3</v>
      </c>
      <c r="F41" s="61">
        <v>989.6</v>
      </c>
      <c r="G41" s="61">
        <v>988.3</v>
      </c>
      <c r="H41" s="61">
        <v>987.7</v>
      </c>
      <c r="I41" s="61">
        <v>987</v>
      </c>
      <c r="J41" s="61">
        <v>986.8</v>
      </c>
      <c r="K41" s="61">
        <v>986.7</v>
      </c>
      <c r="L41" s="61">
        <v>987.3</v>
      </c>
      <c r="M41" s="61">
        <v>987.8</v>
      </c>
      <c r="N41" s="61">
        <v>988.6</v>
      </c>
      <c r="O41" s="62">
        <f t="shared" si="0"/>
        <v>990.8</v>
      </c>
      <c r="P41" s="63">
        <f t="shared" si="1"/>
        <v>986.7</v>
      </c>
      <c r="Q41" s="64">
        <f t="shared" si="2"/>
        <v>988.5846153846154</v>
      </c>
    </row>
    <row r="42" spans="1:17" ht="15.75" x14ac:dyDescent="0.2">
      <c r="A42" s="65">
        <v>29</v>
      </c>
      <c r="B42" s="61">
        <v>989.5</v>
      </c>
      <c r="C42" s="61">
        <v>989.9</v>
      </c>
      <c r="D42" s="61">
        <v>989.9</v>
      </c>
      <c r="E42" s="61">
        <v>989.6</v>
      </c>
      <c r="F42" s="61">
        <v>988.6</v>
      </c>
      <c r="G42" s="61">
        <v>988.6</v>
      </c>
      <c r="H42" s="61">
        <v>988.1</v>
      </c>
      <c r="I42" s="61">
        <v>987.6</v>
      </c>
      <c r="J42" s="61">
        <v>987.5</v>
      </c>
      <c r="K42" s="61">
        <v>987.8</v>
      </c>
      <c r="L42" s="61">
        <v>988.3</v>
      </c>
      <c r="M42" s="61">
        <v>988.9</v>
      </c>
      <c r="N42" s="61">
        <v>989.4</v>
      </c>
      <c r="O42" s="62">
        <f t="shared" ref="O42" si="3">MAX(B42:N42)</f>
        <v>989.9</v>
      </c>
      <c r="P42" s="63">
        <f t="shared" ref="P42" si="4">MIN(B42:N42)</f>
        <v>987.5</v>
      </c>
      <c r="Q42" s="64">
        <f t="shared" ref="Q42" si="5">AVERAGE(B42:N42)</f>
        <v>988.74615384615379</v>
      </c>
    </row>
    <row r="43" spans="1:17" ht="15.75" x14ac:dyDescent="0.2">
      <c r="A43" s="65">
        <v>30</v>
      </c>
      <c r="B43" s="61">
        <v>990.7</v>
      </c>
      <c r="C43" s="61">
        <v>991.2</v>
      </c>
      <c r="D43" s="61">
        <v>991.2</v>
      </c>
      <c r="E43" s="61">
        <v>990.8</v>
      </c>
      <c r="F43" s="61">
        <v>990.2</v>
      </c>
      <c r="G43" s="61">
        <v>989.5</v>
      </c>
      <c r="H43" s="61">
        <v>988.7</v>
      </c>
      <c r="I43" s="61">
        <v>988.4</v>
      </c>
      <c r="J43" s="61">
        <v>988</v>
      </c>
      <c r="K43" s="61">
        <v>987.6</v>
      </c>
      <c r="L43" s="61">
        <v>987.9</v>
      </c>
      <c r="M43" s="61">
        <v>988.1</v>
      </c>
      <c r="N43" s="61">
        <v>988.1</v>
      </c>
      <c r="O43" s="62">
        <f t="shared" si="0"/>
        <v>991.2</v>
      </c>
      <c r="P43" s="63">
        <f t="shared" si="1"/>
        <v>987.6</v>
      </c>
      <c r="Q43" s="64">
        <f t="shared" si="2"/>
        <v>989.26153846153852</v>
      </c>
    </row>
    <row r="44" spans="1:17" ht="16.5" thickBot="1" x14ac:dyDescent="0.25">
      <c r="A44" s="65">
        <v>31</v>
      </c>
      <c r="B44" s="78">
        <v>990.7</v>
      </c>
      <c r="C44" s="79">
        <v>991</v>
      </c>
      <c r="D44" s="79">
        <v>991</v>
      </c>
      <c r="E44" s="79">
        <v>990.4</v>
      </c>
      <c r="F44" s="79">
        <v>989.8</v>
      </c>
      <c r="G44" s="79">
        <v>988.9</v>
      </c>
      <c r="H44" s="79">
        <v>988</v>
      </c>
      <c r="I44" s="79">
        <v>987.6</v>
      </c>
      <c r="J44" s="79">
        <v>987.6</v>
      </c>
      <c r="K44" s="79">
        <v>987.9</v>
      </c>
      <c r="L44" s="79">
        <v>988.7</v>
      </c>
      <c r="M44" s="79">
        <v>989.6</v>
      </c>
      <c r="N44" s="80">
        <v>990.3</v>
      </c>
      <c r="O44" s="62">
        <f t="shared" si="0"/>
        <v>991</v>
      </c>
      <c r="P44" s="63">
        <f t="shared" si="1"/>
        <v>987.6</v>
      </c>
      <c r="Q44" s="64">
        <f t="shared" si="2"/>
        <v>989.34615384615381</v>
      </c>
    </row>
    <row r="45" spans="1:17" ht="16.5" thickTop="1" x14ac:dyDescent="0.2">
      <c r="A45" s="66" t="s">
        <v>23</v>
      </c>
      <c r="B45" s="67">
        <f t="shared" ref="B45:Q45" si="6">MAX(B14:B44)</f>
        <v>993.2</v>
      </c>
      <c r="C45" s="67">
        <f t="shared" si="6"/>
        <v>993.6</v>
      </c>
      <c r="D45" s="67">
        <f t="shared" si="6"/>
        <v>993.3</v>
      </c>
      <c r="E45" s="67">
        <f t="shared" si="6"/>
        <v>992.8</v>
      </c>
      <c r="F45" s="67">
        <f t="shared" si="6"/>
        <v>991.8</v>
      </c>
      <c r="G45" s="67">
        <f t="shared" si="6"/>
        <v>991.3</v>
      </c>
      <c r="H45" s="67">
        <f t="shared" si="6"/>
        <v>990.3</v>
      </c>
      <c r="I45" s="67">
        <f t="shared" si="6"/>
        <v>989.85</v>
      </c>
      <c r="J45" s="67">
        <f t="shared" si="6"/>
        <v>990.4</v>
      </c>
      <c r="K45" s="67">
        <f t="shared" si="6"/>
        <v>990.7</v>
      </c>
      <c r="L45" s="67">
        <f t="shared" si="6"/>
        <v>991.6</v>
      </c>
      <c r="M45" s="67">
        <f t="shared" si="6"/>
        <v>992.1</v>
      </c>
      <c r="N45" s="67">
        <f t="shared" si="6"/>
        <v>992.2</v>
      </c>
      <c r="O45" s="68">
        <f t="shared" si="6"/>
        <v>993.6</v>
      </c>
      <c r="P45" s="68">
        <f t="shared" si="6"/>
        <v>989.64</v>
      </c>
      <c r="Q45" s="68">
        <f t="shared" si="6"/>
        <v>991.58461538461552</v>
      </c>
    </row>
    <row r="46" spans="1:17" ht="15.75" x14ac:dyDescent="0.2">
      <c r="A46" s="69" t="s">
        <v>24</v>
      </c>
      <c r="B46" s="70">
        <f t="shared" ref="B46:Q46" si="7">MIN(B14:B44)</f>
        <v>989.5</v>
      </c>
      <c r="C46" s="70">
        <f t="shared" si="7"/>
        <v>989.9</v>
      </c>
      <c r="D46" s="70">
        <f t="shared" si="7"/>
        <v>989.9</v>
      </c>
      <c r="E46" s="70">
        <f t="shared" si="7"/>
        <v>989.6</v>
      </c>
      <c r="F46" s="70">
        <f t="shared" si="7"/>
        <v>988.6</v>
      </c>
      <c r="G46" s="70">
        <f t="shared" si="7"/>
        <v>988.2</v>
      </c>
      <c r="H46" s="70">
        <f t="shared" si="7"/>
        <v>987.2</v>
      </c>
      <c r="I46" s="70">
        <f t="shared" si="7"/>
        <v>986.36</v>
      </c>
      <c r="J46" s="70">
        <f t="shared" si="7"/>
        <v>986.8</v>
      </c>
      <c r="K46" s="70">
        <f t="shared" si="7"/>
        <v>986.7</v>
      </c>
      <c r="L46" s="70">
        <f t="shared" si="7"/>
        <v>987.3</v>
      </c>
      <c r="M46" s="70">
        <f t="shared" si="7"/>
        <v>987.8</v>
      </c>
      <c r="N46" s="70">
        <f t="shared" si="7"/>
        <v>988.1</v>
      </c>
      <c r="O46" s="71">
        <f t="shared" si="7"/>
        <v>989.9</v>
      </c>
      <c r="P46" s="71">
        <f t="shared" si="7"/>
        <v>986.36</v>
      </c>
      <c r="Q46" s="71">
        <f t="shared" si="7"/>
        <v>988.5846153846154</v>
      </c>
    </row>
    <row r="47" spans="1:17" ht="16.5" thickBot="1" x14ac:dyDescent="0.25">
      <c r="A47" s="72" t="s">
        <v>25</v>
      </c>
      <c r="B47" s="73">
        <f t="shared" ref="B47:P47" si="8">AVERAGE(B14:B44)</f>
        <v>991.47580645161327</v>
      </c>
      <c r="C47" s="73">
        <f t="shared" si="8"/>
        <v>991.87612903225806</v>
      </c>
      <c r="D47" s="73">
        <f t="shared" si="8"/>
        <v>991.82354838709705</v>
      </c>
      <c r="E47" s="73">
        <f t="shared" si="8"/>
        <v>991.34967741935475</v>
      </c>
      <c r="F47" s="73">
        <f t="shared" si="8"/>
        <v>990.65387096774191</v>
      </c>
      <c r="G47" s="73">
        <f t="shared" si="8"/>
        <v>989.74322580645162</v>
      </c>
      <c r="H47" s="73">
        <f t="shared" si="8"/>
        <v>988.94548387096756</v>
      </c>
      <c r="I47" s="73">
        <f t="shared" si="8"/>
        <v>988.38838709677407</v>
      </c>
      <c r="J47" s="73">
        <f t="shared" si="8"/>
        <v>988.36677419354851</v>
      </c>
      <c r="K47" s="73">
        <f t="shared" si="8"/>
        <v>988.48032258064518</v>
      </c>
      <c r="L47" s="73">
        <f t="shared" si="8"/>
        <v>989.14741935483869</v>
      </c>
      <c r="M47" s="73">
        <f t="shared" si="8"/>
        <v>989.8790322580644</v>
      </c>
      <c r="N47" s="73">
        <f t="shared" si="8"/>
        <v>990.47516129032238</v>
      </c>
      <c r="O47" s="74">
        <f t="shared" si="8"/>
        <v>991.93903225806457</v>
      </c>
      <c r="P47" s="74">
        <f t="shared" si="8"/>
        <v>988.15806451612877</v>
      </c>
      <c r="Q47" s="74">
        <f>AVERAGE(Q14:Q44)</f>
        <v>990.04652605459034</v>
      </c>
    </row>
    <row r="48" spans="1:17" ht="13.5" thickTop="1" x14ac:dyDescent="0.2"/>
    <row r="49" spans="2:15" ht="15" x14ac:dyDescent="0.25">
      <c r="B49" s="75"/>
      <c r="C49" s="76" t="str">
        <f>[4]QFE!C43</f>
        <v>Mengetahui,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</row>
    <row r="50" spans="2:15" ht="15" x14ac:dyDescent="0.25">
      <c r="B50" s="75"/>
      <c r="C50" s="76" t="str">
        <f>[4]QFE!C44</f>
        <v>Kepala Stasiun Klimatologi Kelas IV</v>
      </c>
      <c r="D50" s="75"/>
      <c r="E50" s="75"/>
      <c r="F50" s="75"/>
      <c r="G50" s="75"/>
      <c r="H50" s="75"/>
      <c r="I50" s="75"/>
      <c r="J50" s="75"/>
      <c r="K50" s="75"/>
      <c r="L50" s="75"/>
      <c r="M50" s="107" t="s">
        <v>53</v>
      </c>
      <c r="N50" s="107"/>
      <c r="O50" s="107"/>
    </row>
    <row r="51" spans="2:15" ht="15" x14ac:dyDescent="0.25">
      <c r="B51" s="75"/>
      <c r="C51" s="76" t="str">
        <f>[4]QFE!C45</f>
        <v>Sleman Yogyakarta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6" t="str">
        <f>[4]QFE!O44</f>
        <v>Pengolah</v>
      </c>
      <c r="O51" s="75"/>
    </row>
    <row r="52" spans="2:15" ht="15" x14ac:dyDescent="0.25">
      <c r="B52" s="75"/>
      <c r="C52" s="76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6"/>
      <c r="O52" s="75"/>
    </row>
    <row r="53" spans="2:15" ht="15" x14ac:dyDescent="0.25">
      <c r="B53" s="75"/>
      <c r="C53" s="76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6"/>
      <c r="O53" s="75"/>
    </row>
    <row r="54" spans="2:15" ht="15" x14ac:dyDescent="0.25">
      <c r="B54" s="75"/>
      <c r="C54" s="76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6"/>
      <c r="O54" s="75"/>
    </row>
    <row r="55" spans="2:15" ht="15" x14ac:dyDescent="0.25">
      <c r="B55" s="75"/>
      <c r="C55" s="77" t="str">
        <f>[4]QFE!C50</f>
        <v>RENI KRANINGTYAS, SP, M.Si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7" t="str">
        <f>[4]QFE!O50</f>
        <v xml:space="preserve">TIM PEMBUAT LAPORAN </v>
      </c>
      <c r="O55" s="75"/>
    </row>
    <row r="56" spans="2:15" ht="15" x14ac:dyDescent="0.25">
      <c r="B56" s="75"/>
      <c r="C56" s="76" t="str">
        <f>[4]QFE!C51</f>
        <v>NIP.  19740203 199703 2 001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6" t="str">
        <f>[4]QFE!O51</f>
        <v xml:space="preserve">PETUGAS OPERASIONAL </v>
      </c>
      <c r="O56" s="75"/>
    </row>
    <row r="57" spans="2:15" ht="15" x14ac:dyDescent="0.25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</row>
  </sheetData>
  <mergeCells count="7">
    <mergeCell ref="A7:Q7"/>
    <mergeCell ref="M50:O50"/>
    <mergeCell ref="A1:Q1"/>
    <mergeCell ref="A2:Q2"/>
    <mergeCell ref="A3:Q3"/>
    <mergeCell ref="A4:Q4"/>
    <mergeCell ref="A6:Q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E977-E6FE-448A-B21F-4FC608B55E93}">
  <sheetPr>
    <tabColor rgb="FF92D050"/>
  </sheetPr>
  <dimension ref="A1:Z56"/>
  <sheetViews>
    <sheetView topLeftCell="A13" workbookViewId="0">
      <selection activeCell="M14" activeCellId="2" sqref="B14:B43 H14:H43 M14:M43"/>
    </sheetView>
  </sheetViews>
  <sheetFormatPr defaultRowHeight="12.75" x14ac:dyDescent="0.2"/>
  <cols>
    <col min="1" max="1" width="11.42578125" style="8" customWidth="1"/>
    <col min="2" max="16" width="11" style="1" customWidth="1"/>
    <col min="17" max="17" width="14" style="1" customWidth="1"/>
    <col min="18" max="256" width="9.140625" style="1"/>
    <col min="257" max="257" width="7.140625" style="1" customWidth="1"/>
    <col min="258" max="273" width="11" style="1" customWidth="1"/>
    <col min="274" max="512" width="9.140625" style="1"/>
    <col min="513" max="513" width="7.140625" style="1" customWidth="1"/>
    <col min="514" max="529" width="11" style="1" customWidth="1"/>
    <col min="530" max="768" width="9.140625" style="1"/>
    <col min="769" max="769" width="7.140625" style="1" customWidth="1"/>
    <col min="770" max="785" width="11" style="1" customWidth="1"/>
    <col min="786" max="1024" width="9.140625" style="1"/>
    <col min="1025" max="1025" width="7.140625" style="1" customWidth="1"/>
    <col min="1026" max="1041" width="11" style="1" customWidth="1"/>
    <col min="1042" max="1280" width="9.140625" style="1"/>
    <col min="1281" max="1281" width="7.140625" style="1" customWidth="1"/>
    <col min="1282" max="1297" width="11" style="1" customWidth="1"/>
    <col min="1298" max="1536" width="9.140625" style="1"/>
    <col min="1537" max="1537" width="7.140625" style="1" customWidth="1"/>
    <col min="1538" max="1553" width="11" style="1" customWidth="1"/>
    <col min="1554" max="1792" width="9.140625" style="1"/>
    <col min="1793" max="1793" width="7.140625" style="1" customWidth="1"/>
    <col min="1794" max="1809" width="11" style="1" customWidth="1"/>
    <col min="1810" max="2048" width="9.140625" style="1"/>
    <col min="2049" max="2049" width="7.140625" style="1" customWidth="1"/>
    <col min="2050" max="2065" width="11" style="1" customWidth="1"/>
    <col min="2066" max="2304" width="9.140625" style="1"/>
    <col min="2305" max="2305" width="7.140625" style="1" customWidth="1"/>
    <col min="2306" max="2321" width="11" style="1" customWidth="1"/>
    <col min="2322" max="2560" width="9.140625" style="1"/>
    <col min="2561" max="2561" width="7.140625" style="1" customWidth="1"/>
    <col min="2562" max="2577" width="11" style="1" customWidth="1"/>
    <col min="2578" max="2816" width="9.140625" style="1"/>
    <col min="2817" max="2817" width="7.140625" style="1" customWidth="1"/>
    <col min="2818" max="2833" width="11" style="1" customWidth="1"/>
    <col min="2834" max="3072" width="9.140625" style="1"/>
    <col min="3073" max="3073" width="7.140625" style="1" customWidth="1"/>
    <col min="3074" max="3089" width="11" style="1" customWidth="1"/>
    <col min="3090" max="3328" width="9.140625" style="1"/>
    <col min="3329" max="3329" width="7.140625" style="1" customWidth="1"/>
    <col min="3330" max="3345" width="11" style="1" customWidth="1"/>
    <col min="3346" max="3584" width="9.140625" style="1"/>
    <col min="3585" max="3585" width="7.140625" style="1" customWidth="1"/>
    <col min="3586" max="3601" width="11" style="1" customWidth="1"/>
    <col min="3602" max="3840" width="9.140625" style="1"/>
    <col min="3841" max="3841" width="7.140625" style="1" customWidth="1"/>
    <col min="3842" max="3857" width="11" style="1" customWidth="1"/>
    <col min="3858" max="4096" width="9.140625" style="1"/>
    <col min="4097" max="4097" width="7.140625" style="1" customWidth="1"/>
    <col min="4098" max="4113" width="11" style="1" customWidth="1"/>
    <col min="4114" max="4352" width="9.140625" style="1"/>
    <col min="4353" max="4353" width="7.140625" style="1" customWidth="1"/>
    <col min="4354" max="4369" width="11" style="1" customWidth="1"/>
    <col min="4370" max="4608" width="9.140625" style="1"/>
    <col min="4609" max="4609" width="7.140625" style="1" customWidth="1"/>
    <col min="4610" max="4625" width="11" style="1" customWidth="1"/>
    <col min="4626" max="4864" width="9.140625" style="1"/>
    <col min="4865" max="4865" width="7.140625" style="1" customWidth="1"/>
    <col min="4866" max="4881" width="11" style="1" customWidth="1"/>
    <col min="4882" max="5120" width="9.140625" style="1"/>
    <col min="5121" max="5121" width="7.140625" style="1" customWidth="1"/>
    <col min="5122" max="5137" width="11" style="1" customWidth="1"/>
    <col min="5138" max="5376" width="9.140625" style="1"/>
    <col min="5377" max="5377" width="7.140625" style="1" customWidth="1"/>
    <col min="5378" max="5393" width="11" style="1" customWidth="1"/>
    <col min="5394" max="5632" width="9.140625" style="1"/>
    <col min="5633" max="5633" width="7.140625" style="1" customWidth="1"/>
    <col min="5634" max="5649" width="11" style="1" customWidth="1"/>
    <col min="5650" max="5888" width="9.140625" style="1"/>
    <col min="5889" max="5889" width="7.140625" style="1" customWidth="1"/>
    <col min="5890" max="5905" width="11" style="1" customWidth="1"/>
    <col min="5906" max="6144" width="9.140625" style="1"/>
    <col min="6145" max="6145" width="7.140625" style="1" customWidth="1"/>
    <col min="6146" max="6161" width="11" style="1" customWidth="1"/>
    <col min="6162" max="6400" width="9.140625" style="1"/>
    <col min="6401" max="6401" width="7.140625" style="1" customWidth="1"/>
    <col min="6402" max="6417" width="11" style="1" customWidth="1"/>
    <col min="6418" max="6656" width="9.140625" style="1"/>
    <col min="6657" max="6657" width="7.140625" style="1" customWidth="1"/>
    <col min="6658" max="6673" width="11" style="1" customWidth="1"/>
    <col min="6674" max="6912" width="9.140625" style="1"/>
    <col min="6913" max="6913" width="7.140625" style="1" customWidth="1"/>
    <col min="6914" max="6929" width="11" style="1" customWidth="1"/>
    <col min="6930" max="7168" width="9.140625" style="1"/>
    <col min="7169" max="7169" width="7.140625" style="1" customWidth="1"/>
    <col min="7170" max="7185" width="11" style="1" customWidth="1"/>
    <col min="7186" max="7424" width="9.140625" style="1"/>
    <col min="7425" max="7425" width="7.140625" style="1" customWidth="1"/>
    <col min="7426" max="7441" width="11" style="1" customWidth="1"/>
    <col min="7442" max="7680" width="9.140625" style="1"/>
    <col min="7681" max="7681" width="7.140625" style="1" customWidth="1"/>
    <col min="7682" max="7697" width="11" style="1" customWidth="1"/>
    <col min="7698" max="7936" width="9.140625" style="1"/>
    <col min="7937" max="7937" width="7.140625" style="1" customWidth="1"/>
    <col min="7938" max="7953" width="11" style="1" customWidth="1"/>
    <col min="7954" max="8192" width="9.140625" style="1"/>
    <col min="8193" max="8193" width="7.140625" style="1" customWidth="1"/>
    <col min="8194" max="8209" width="11" style="1" customWidth="1"/>
    <col min="8210" max="8448" width="9.140625" style="1"/>
    <col min="8449" max="8449" width="7.140625" style="1" customWidth="1"/>
    <col min="8450" max="8465" width="11" style="1" customWidth="1"/>
    <col min="8466" max="8704" width="9.140625" style="1"/>
    <col min="8705" max="8705" width="7.140625" style="1" customWidth="1"/>
    <col min="8706" max="8721" width="11" style="1" customWidth="1"/>
    <col min="8722" max="8960" width="9.140625" style="1"/>
    <col min="8961" max="8961" width="7.140625" style="1" customWidth="1"/>
    <col min="8962" max="8977" width="11" style="1" customWidth="1"/>
    <col min="8978" max="9216" width="9.140625" style="1"/>
    <col min="9217" max="9217" width="7.140625" style="1" customWidth="1"/>
    <col min="9218" max="9233" width="11" style="1" customWidth="1"/>
    <col min="9234" max="9472" width="9.140625" style="1"/>
    <col min="9473" max="9473" width="7.140625" style="1" customWidth="1"/>
    <col min="9474" max="9489" width="11" style="1" customWidth="1"/>
    <col min="9490" max="9728" width="9.140625" style="1"/>
    <col min="9729" max="9729" width="7.140625" style="1" customWidth="1"/>
    <col min="9730" max="9745" width="11" style="1" customWidth="1"/>
    <col min="9746" max="9984" width="9.140625" style="1"/>
    <col min="9985" max="9985" width="7.140625" style="1" customWidth="1"/>
    <col min="9986" max="10001" width="11" style="1" customWidth="1"/>
    <col min="10002" max="10240" width="9.140625" style="1"/>
    <col min="10241" max="10241" width="7.140625" style="1" customWidth="1"/>
    <col min="10242" max="10257" width="11" style="1" customWidth="1"/>
    <col min="10258" max="10496" width="9.140625" style="1"/>
    <col min="10497" max="10497" width="7.140625" style="1" customWidth="1"/>
    <col min="10498" max="10513" width="11" style="1" customWidth="1"/>
    <col min="10514" max="10752" width="9.140625" style="1"/>
    <col min="10753" max="10753" width="7.140625" style="1" customWidth="1"/>
    <col min="10754" max="10769" width="11" style="1" customWidth="1"/>
    <col min="10770" max="11008" width="9.140625" style="1"/>
    <col min="11009" max="11009" width="7.140625" style="1" customWidth="1"/>
    <col min="11010" max="11025" width="11" style="1" customWidth="1"/>
    <col min="11026" max="11264" width="9.140625" style="1"/>
    <col min="11265" max="11265" width="7.140625" style="1" customWidth="1"/>
    <col min="11266" max="11281" width="11" style="1" customWidth="1"/>
    <col min="11282" max="11520" width="9.140625" style="1"/>
    <col min="11521" max="11521" width="7.140625" style="1" customWidth="1"/>
    <col min="11522" max="11537" width="11" style="1" customWidth="1"/>
    <col min="11538" max="11776" width="9.140625" style="1"/>
    <col min="11777" max="11777" width="7.140625" style="1" customWidth="1"/>
    <col min="11778" max="11793" width="11" style="1" customWidth="1"/>
    <col min="11794" max="12032" width="9.140625" style="1"/>
    <col min="12033" max="12033" width="7.140625" style="1" customWidth="1"/>
    <col min="12034" max="12049" width="11" style="1" customWidth="1"/>
    <col min="12050" max="12288" width="9.140625" style="1"/>
    <col min="12289" max="12289" width="7.140625" style="1" customWidth="1"/>
    <col min="12290" max="12305" width="11" style="1" customWidth="1"/>
    <col min="12306" max="12544" width="9.140625" style="1"/>
    <col min="12545" max="12545" width="7.140625" style="1" customWidth="1"/>
    <col min="12546" max="12561" width="11" style="1" customWidth="1"/>
    <col min="12562" max="12800" width="9.140625" style="1"/>
    <col min="12801" max="12801" width="7.140625" style="1" customWidth="1"/>
    <col min="12802" max="12817" width="11" style="1" customWidth="1"/>
    <col min="12818" max="13056" width="9.140625" style="1"/>
    <col min="13057" max="13057" width="7.140625" style="1" customWidth="1"/>
    <col min="13058" max="13073" width="11" style="1" customWidth="1"/>
    <col min="13074" max="13312" width="9.140625" style="1"/>
    <col min="13313" max="13313" width="7.140625" style="1" customWidth="1"/>
    <col min="13314" max="13329" width="11" style="1" customWidth="1"/>
    <col min="13330" max="13568" width="9.140625" style="1"/>
    <col min="13569" max="13569" width="7.140625" style="1" customWidth="1"/>
    <col min="13570" max="13585" width="11" style="1" customWidth="1"/>
    <col min="13586" max="13824" width="9.140625" style="1"/>
    <col min="13825" max="13825" width="7.140625" style="1" customWidth="1"/>
    <col min="13826" max="13841" width="11" style="1" customWidth="1"/>
    <col min="13842" max="14080" width="9.140625" style="1"/>
    <col min="14081" max="14081" width="7.140625" style="1" customWidth="1"/>
    <col min="14082" max="14097" width="11" style="1" customWidth="1"/>
    <col min="14098" max="14336" width="9.140625" style="1"/>
    <col min="14337" max="14337" width="7.140625" style="1" customWidth="1"/>
    <col min="14338" max="14353" width="11" style="1" customWidth="1"/>
    <col min="14354" max="14592" width="9.140625" style="1"/>
    <col min="14593" max="14593" width="7.140625" style="1" customWidth="1"/>
    <col min="14594" max="14609" width="11" style="1" customWidth="1"/>
    <col min="14610" max="14848" width="9.140625" style="1"/>
    <col min="14849" max="14849" width="7.140625" style="1" customWidth="1"/>
    <col min="14850" max="14865" width="11" style="1" customWidth="1"/>
    <col min="14866" max="15104" width="9.140625" style="1"/>
    <col min="15105" max="15105" width="7.140625" style="1" customWidth="1"/>
    <col min="15106" max="15121" width="11" style="1" customWidth="1"/>
    <col min="15122" max="15360" width="9.140625" style="1"/>
    <col min="15361" max="15361" width="7.140625" style="1" customWidth="1"/>
    <col min="15362" max="15377" width="11" style="1" customWidth="1"/>
    <col min="15378" max="15616" width="9.140625" style="1"/>
    <col min="15617" max="15617" width="7.140625" style="1" customWidth="1"/>
    <col min="15618" max="15633" width="11" style="1" customWidth="1"/>
    <col min="15634" max="15872" width="9.140625" style="1"/>
    <col min="15873" max="15873" width="7.140625" style="1" customWidth="1"/>
    <col min="15874" max="15889" width="11" style="1" customWidth="1"/>
    <col min="15890" max="16128" width="9.140625" style="1"/>
    <col min="16129" max="16129" width="7.140625" style="1" customWidth="1"/>
    <col min="16130" max="16145" width="11" style="1" customWidth="1"/>
    <col min="16146" max="16384" width="9.140625" style="1"/>
  </cols>
  <sheetData>
    <row r="1" spans="1:26" customFormat="1" ht="18.75" x14ac:dyDescent="0.3">
      <c r="A1" s="103" t="s">
        <v>33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26" customFormat="1" ht="18.75" x14ac:dyDescent="0.3">
      <c r="A2" s="103" t="s">
        <v>34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3" spans="1:26" customFormat="1" ht="15" x14ac:dyDescent="0.25">
      <c r="A3" s="104" t="s">
        <v>35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26" customFormat="1" ht="15.75" thickBot="1" x14ac:dyDescent="0.3">
      <c r="A4" s="105" t="s">
        <v>36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26" customFormat="1" ht="6" customHeight="1" x14ac:dyDescent="0.25">
      <c r="A5" s="46"/>
      <c r="B5" s="46"/>
      <c r="C5" s="46"/>
      <c r="D5" s="46"/>
      <c r="E5" s="46"/>
      <c r="F5" s="46"/>
    </row>
    <row r="6" spans="1:26" customFormat="1" ht="15" x14ac:dyDescent="0.25">
      <c r="A6" s="106" t="s">
        <v>48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26" customFormat="1" ht="15" x14ac:dyDescent="0.25">
      <c r="A7" s="102" t="s">
        <v>52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26" customFormat="1" ht="8.25" customHeight="1" x14ac:dyDescent="0.25"/>
    <row r="9" spans="1:26" customFormat="1" ht="15.75" x14ac:dyDescent="0.25">
      <c r="A9" s="47" t="s">
        <v>38</v>
      </c>
      <c r="B9" s="48" t="s">
        <v>39</v>
      </c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26" customFormat="1" ht="15.75" x14ac:dyDescent="0.25">
      <c r="A10" s="50" t="s">
        <v>40</v>
      </c>
      <c r="B10" s="50" t="s">
        <v>41</v>
      </c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26" customFormat="1" ht="15.75" x14ac:dyDescent="0.25">
      <c r="A11" s="50" t="s">
        <v>42</v>
      </c>
      <c r="B11" s="50" t="s">
        <v>43</v>
      </c>
      <c r="C11" s="49"/>
      <c r="D11" s="49"/>
      <c r="E11" s="49"/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26" ht="16.5" thickBot="1" x14ac:dyDescent="0.3">
      <c r="A12" s="51" t="s">
        <v>44</v>
      </c>
      <c r="B12" s="49" t="s">
        <v>45</v>
      </c>
      <c r="C12" s="49"/>
      <c r="D12" s="52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  <c r="P12" s="53" t="s">
        <v>46</v>
      </c>
      <c r="Q12" s="54" t="s">
        <v>47</v>
      </c>
    </row>
    <row r="13" spans="1:26" ht="17.25" thickTop="1" thickBot="1" x14ac:dyDescent="0.25">
      <c r="A13" s="55" t="s">
        <v>6</v>
      </c>
      <c r="B13" s="56" t="s">
        <v>7</v>
      </c>
      <c r="C13" s="57" t="s">
        <v>8</v>
      </c>
      <c r="D13" s="57" t="s">
        <v>9</v>
      </c>
      <c r="E13" s="57" t="s">
        <v>10</v>
      </c>
      <c r="F13" s="57" t="s">
        <v>11</v>
      </c>
      <c r="G13" s="57" t="s">
        <v>12</v>
      </c>
      <c r="H13" s="57" t="s">
        <v>13</v>
      </c>
      <c r="I13" s="57" t="s">
        <v>14</v>
      </c>
      <c r="J13" s="57" t="s">
        <v>15</v>
      </c>
      <c r="K13" s="57" t="s">
        <v>16</v>
      </c>
      <c r="L13" s="57" t="s">
        <v>17</v>
      </c>
      <c r="M13" s="57" t="s">
        <v>18</v>
      </c>
      <c r="N13" s="57" t="s">
        <v>19</v>
      </c>
      <c r="O13" s="58" t="s">
        <v>20</v>
      </c>
      <c r="P13" s="57" t="s">
        <v>21</v>
      </c>
      <c r="Q13" s="59" t="s">
        <v>22</v>
      </c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6.5" thickTop="1" x14ac:dyDescent="0.2">
      <c r="A14" s="60">
        <v>1</v>
      </c>
      <c r="B14" s="61">
        <v>991.4</v>
      </c>
      <c r="C14" s="61">
        <v>991.6</v>
      </c>
      <c r="D14" s="61">
        <v>991.5</v>
      </c>
      <c r="E14" s="61">
        <v>991.3</v>
      </c>
      <c r="F14" s="61">
        <v>990.4</v>
      </c>
      <c r="G14" s="61">
        <v>989.8</v>
      </c>
      <c r="H14" s="61">
        <v>989</v>
      </c>
      <c r="I14" s="61">
        <v>988.6</v>
      </c>
      <c r="J14" s="61">
        <v>988.1</v>
      </c>
      <c r="K14" s="61">
        <v>988.5</v>
      </c>
      <c r="L14" s="61">
        <v>988.8</v>
      </c>
      <c r="M14" s="61">
        <v>989.5</v>
      </c>
      <c r="N14" s="61">
        <v>990.4</v>
      </c>
      <c r="O14" s="62">
        <f>MAX(B14:N14)</f>
        <v>991.6</v>
      </c>
      <c r="P14" s="63">
        <f>MIN(B14:N14)</f>
        <v>988.1</v>
      </c>
      <c r="Q14" s="64">
        <f>AVERAGE(B14:N14)</f>
        <v>989.9153846153846</v>
      </c>
    </row>
    <row r="15" spans="1:26" ht="15.75" x14ac:dyDescent="0.2">
      <c r="A15" s="65">
        <v>2</v>
      </c>
      <c r="B15" s="61">
        <v>992.1</v>
      </c>
      <c r="C15" s="61">
        <v>992.2</v>
      </c>
      <c r="D15" s="61">
        <v>992</v>
      </c>
      <c r="E15" s="61">
        <v>991.4</v>
      </c>
      <c r="F15" s="61">
        <v>990.27</v>
      </c>
      <c r="G15" s="61">
        <v>989.1</v>
      </c>
      <c r="H15" s="61">
        <v>988.1</v>
      </c>
      <c r="I15" s="61">
        <v>987.4</v>
      </c>
      <c r="J15" s="61">
        <v>986.9</v>
      </c>
      <c r="K15" s="61">
        <v>987.3</v>
      </c>
      <c r="L15" s="61">
        <v>988.2</v>
      </c>
      <c r="M15" s="61">
        <v>988.8</v>
      </c>
      <c r="N15" s="61">
        <v>989.2</v>
      </c>
      <c r="O15" s="62">
        <f t="shared" ref="O15:O43" si="0">MAX(B15:N15)</f>
        <v>992.2</v>
      </c>
      <c r="P15" s="63">
        <f t="shared" ref="P15:P43" si="1">MIN(B15:N15)</f>
        <v>986.9</v>
      </c>
      <c r="Q15" s="64">
        <f t="shared" ref="Q15:Q43" si="2">AVERAGE(B15:N15)</f>
        <v>989.45923076923089</v>
      </c>
    </row>
    <row r="16" spans="1:26" ht="15.75" x14ac:dyDescent="0.2">
      <c r="A16" s="65">
        <v>3</v>
      </c>
      <c r="B16" s="61">
        <v>991</v>
      </c>
      <c r="C16" s="61">
        <v>991.2</v>
      </c>
      <c r="D16" s="61">
        <v>991.2</v>
      </c>
      <c r="E16" s="61">
        <v>990.7</v>
      </c>
      <c r="F16" s="61">
        <v>989.9</v>
      </c>
      <c r="G16" s="61">
        <v>988.7</v>
      </c>
      <c r="H16" s="61">
        <v>988.1</v>
      </c>
      <c r="I16" s="61">
        <v>987.7</v>
      </c>
      <c r="J16" s="61">
        <v>987.6</v>
      </c>
      <c r="K16" s="61">
        <v>988.2</v>
      </c>
      <c r="L16" s="61">
        <v>989.1</v>
      </c>
      <c r="M16" s="61">
        <v>989.6</v>
      </c>
      <c r="N16" s="61">
        <v>990.25</v>
      </c>
      <c r="O16" s="62">
        <f t="shared" si="0"/>
        <v>991.2</v>
      </c>
      <c r="P16" s="63">
        <f t="shared" si="1"/>
        <v>987.6</v>
      </c>
      <c r="Q16" s="64">
        <f t="shared" si="2"/>
        <v>989.4807692307694</v>
      </c>
    </row>
    <row r="17" spans="1:17" ht="15.75" x14ac:dyDescent="0.2">
      <c r="A17" s="65">
        <v>4</v>
      </c>
      <c r="B17" s="61">
        <v>993.5</v>
      </c>
      <c r="C17" s="61">
        <v>993.7</v>
      </c>
      <c r="D17" s="61">
        <v>993.5</v>
      </c>
      <c r="E17" s="61">
        <v>992.9</v>
      </c>
      <c r="F17" s="61">
        <v>992</v>
      </c>
      <c r="G17" s="61">
        <v>991</v>
      </c>
      <c r="H17" s="61">
        <v>989.9</v>
      </c>
      <c r="I17" s="61">
        <v>989.4</v>
      </c>
      <c r="J17" s="61">
        <v>989.3</v>
      </c>
      <c r="K17" s="61">
        <v>989.9</v>
      </c>
      <c r="L17" s="61">
        <v>990.7</v>
      </c>
      <c r="M17" s="61">
        <v>991.3</v>
      </c>
      <c r="N17" s="61">
        <v>992.4</v>
      </c>
      <c r="O17" s="62">
        <f t="shared" si="0"/>
        <v>993.7</v>
      </c>
      <c r="P17" s="63">
        <f t="shared" si="1"/>
        <v>989.3</v>
      </c>
      <c r="Q17" s="64">
        <f t="shared" si="2"/>
        <v>991.49999999999989</v>
      </c>
    </row>
    <row r="18" spans="1:17" ht="15.75" x14ac:dyDescent="0.2">
      <c r="A18" s="65">
        <v>5</v>
      </c>
      <c r="B18" s="61">
        <v>992.6</v>
      </c>
      <c r="C18" s="61">
        <v>993</v>
      </c>
      <c r="D18" s="61">
        <v>992.6</v>
      </c>
      <c r="E18" s="61">
        <v>991.9</v>
      </c>
      <c r="F18" s="61">
        <v>991.2</v>
      </c>
      <c r="G18" s="61">
        <v>990.6</v>
      </c>
      <c r="H18" s="61">
        <v>989.8</v>
      </c>
      <c r="I18" s="61">
        <v>989.1</v>
      </c>
      <c r="J18" s="61">
        <v>989.6</v>
      </c>
      <c r="K18" s="61">
        <v>989.6</v>
      </c>
      <c r="L18" s="61">
        <v>990.1</v>
      </c>
      <c r="M18" s="61">
        <v>991</v>
      </c>
      <c r="N18" s="61">
        <v>991.6</v>
      </c>
      <c r="O18" s="62">
        <f t="shared" si="0"/>
        <v>993</v>
      </c>
      <c r="P18" s="63">
        <f t="shared" si="1"/>
        <v>989.1</v>
      </c>
      <c r="Q18" s="64">
        <f t="shared" si="2"/>
        <v>990.9769230769233</v>
      </c>
    </row>
    <row r="19" spans="1:17" ht="15.75" x14ac:dyDescent="0.2">
      <c r="A19" s="65">
        <v>6</v>
      </c>
      <c r="B19" s="61">
        <v>992.9</v>
      </c>
      <c r="C19" s="61">
        <v>993.4</v>
      </c>
      <c r="D19" s="61">
        <v>993.3</v>
      </c>
      <c r="E19" s="61">
        <v>992.7</v>
      </c>
      <c r="F19" s="61">
        <v>992.1</v>
      </c>
      <c r="G19" s="61">
        <v>990.9</v>
      </c>
      <c r="H19" s="61">
        <v>990</v>
      </c>
      <c r="I19" s="61">
        <v>989.7</v>
      </c>
      <c r="J19" s="61">
        <v>989.3</v>
      </c>
      <c r="K19" s="61">
        <v>989</v>
      </c>
      <c r="L19" s="61">
        <v>990.3</v>
      </c>
      <c r="M19" s="61">
        <v>991.6</v>
      </c>
      <c r="N19" s="61">
        <v>992.2</v>
      </c>
      <c r="O19" s="62">
        <f t="shared" si="0"/>
        <v>993.4</v>
      </c>
      <c r="P19" s="63">
        <f t="shared" si="1"/>
        <v>989</v>
      </c>
      <c r="Q19" s="64">
        <f t="shared" si="2"/>
        <v>991.3384615384615</v>
      </c>
    </row>
    <row r="20" spans="1:17" ht="15.75" x14ac:dyDescent="0.2">
      <c r="A20" s="65">
        <v>7</v>
      </c>
      <c r="B20" s="61">
        <v>991.9</v>
      </c>
      <c r="C20" s="61">
        <v>992.3</v>
      </c>
      <c r="D20" s="61">
        <v>992.7</v>
      </c>
      <c r="E20" s="61">
        <v>992.4</v>
      </c>
      <c r="F20" s="61">
        <v>991.6</v>
      </c>
      <c r="G20" s="61">
        <v>990.8</v>
      </c>
      <c r="H20" s="61">
        <v>989.5</v>
      </c>
      <c r="I20" s="61">
        <v>989</v>
      </c>
      <c r="J20" s="61">
        <v>989.1</v>
      </c>
      <c r="K20" s="61">
        <v>989.4</v>
      </c>
      <c r="L20" s="61">
        <v>990</v>
      </c>
      <c r="M20" s="61">
        <v>991</v>
      </c>
      <c r="N20" s="61">
        <v>991.9</v>
      </c>
      <c r="O20" s="62">
        <f t="shared" si="0"/>
        <v>992.7</v>
      </c>
      <c r="P20" s="63">
        <f t="shared" si="1"/>
        <v>989</v>
      </c>
      <c r="Q20" s="64">
        <f t="shared" si="2"/>
        <v>990.89230769230755</v>
      </c>
    </row>
    <row r="21" spans="1:17" ht="15.75" x14ac:dyDescent="0.2">
      <c r="A21" s="65">
        <v>8</v>
      </c>
      <c r="B21" s="61">
        <v>991.5</v>
      </c>
      <c r="C21" s="61">
        <v>991.9</v>
      </c>
      <c r="D21" s="61">
        <v>991.7</v>
      </c>
      <c r="E21" s="61">
        <v>990.8</v>
      </c>
      <c r="F21" s="61">
        <v>990.4</v>
      </c>
      <c r="G21" s="61">
        <v>989.3</v>
      </c>
      <c r="H21" s="61">
        <v>988.4</v>
      </c>
      <c r="I21" s="61">
        <v>989.4</v>
      </c>
      <c r="J21" s="61">
        <v>988.8</v>
      </c>
      <c r="K21" s="61">
        <v>989</v>
      </c>
      <c r="L21" s="61">
        <v>989.3</v>
      </c>
      <c r="M21" s="61">
        <v>990.1</v>
      </c>
      <c r="N21" s="61">
        <v>990.4</v>
      </c>
      <c r="O21" s="62">
        <f t="shared" si="0"/>
        <v>991.9</v>
      </c>
      <c r="P21" s="63">
        <f t="shared" si="1"/>
        <v>988.4</v>
      </c>
      <c r="Q21" s="64">
        <f t="shared" si="2"/>
        <v>990.07692307692298</v>
      </c>
    </row>
    <row r="22" spans="1:17" ht="15.75" x14ac:dyDescent="0.2">
      <c r="A22" s="65">
        <v>9</v>
      </c>
      <c r="B22" s="61">
        <v>990.6</v>
      </c>
      <c r="C22" s="61">
        <v>990.7</v>
      </c>
      <c r="D22" s="61">
        <v>990.9</v>
      </c>
      <c r="E22" s="61">
        <v>990.7</v>
      </c>
      <c r="F22" s="61">
        <v>990.1</v>
      </c>
      <c r="G22" s="61">
        <v>988.7</v>
      </c>
      <c r="H22" s="61">
        <v>988.1</v>
      </c>
      <c r="I22" s="61">
        <v>988.1</v>
      </c>
      <c r="J22" s="61">
        <v>987.9</v>
      </c>
      <c r="K22" s="61">
        <v>987.8</v>
      </c>
      <c r="L22" s="61">
        <v>988.9</v>
      </c>
      <c r="M22" s="61">
        <v>989.9</v>
      </c>
      <c r="N22" s="61">
        <v>990.4</v>
      </c>
      <c r="O22" s="62">
        <f t="shared" si="0"/>
        <v>990.9</v>
      </c>
      <c r="P22" s="63">
        <f t="shared" si="1"/>
        <v>987.8</v>
      </c>
      <c r="Q22" s="64">
        <f t="shared" si="2"/>
        <v>989.44615384615383</v>
      </c>
    </row>
    <row r="23" spans="1:17" ht="15.75" x14ac:dyDescent="0.2">
      <c r="A23" s="65">
        <v>10</v>
      </c>
      <c r="B23" s="61">
        <v>990.3</v>
      </c>
      <c r="C23" s="61">
        <v>990.8</v>
      </c>
      <c r="D23" s="61">
        <v>997.7</v>
      </c>
      <c r="E23" s="61">
        <v>990.2</v>
      </c>
      <c r="F23" s="61">
        <v>989.6</v>
      </c>
      <c r="G23" s="61">
        <v>988.42</v>
      </c>
      <c r="H23" s="61">
        <v>987.7</v>
      </c>
      <c r="I23" s="61">
        <v>986.9</v>
      </c>
      <c r="J23" s="61">
        <v>987.3</v>
      </c>
      <c r="K23" s="61">
        <v>987.6</v>
      </c>
      <c r="L23" s="61">
        <v>988.4</v>
      </c>
      <c r="M23" s="61">
        <v>988.9</v>
      </c>
      <c r="N23" s="61">
        <v>989.3</v>
      </c>
      <c r="O23" s="62">
        <f t="shared" si="0"/>
        <v>997.7</v>
      </c>
      <c r="P23" s="63">
        <f t="shared" si="1"/>
        <v>986.9</v>
      </c>
      <c r="Q23" s="64">
        <f t="shared" si="2"/>
        <v>989.47076923076918</v>
      </c>
    </row>
    <row r="24" spans="1:17" ht="15.75" x14ac:dyDescent="0.2">
      <c r="A24" s="65">
        <v>11</v>
      </c>
      <c r="B24" s="61">
        <v>991</v>
      </c>
      <c r="C24" s="61">
        <v>991.2</v>
      </c>
      <c r="D24" s="61">
        <v>991.2</v>
      </c>
      <c r="E24" s="61">
        <v>990.5</v>
      </c>
      <c r="F24" s="61">
        <v>989.4</v>
      </c>
      <c r="G24" s="61">
        <v>988.7</v>
      </c>
      <c r="H24" s="61">
        <v>987.9</v>
      </c>
      <c r="I24" s="61">
        <v>987.4</v>
      </c>
      <c r="J24" s="61">
        <v>987.2</v>
      </c>
      <c r="K24" s="61">
        <v>987.1</v>
      </c>
      <c r="L24" s="61">
        <v>987.8</v>
      </c>
      <c r="M24" s="61">
        <v>988.5</v>
      </c>
      <c r="N24" s="61">
        <v>989.2</v>
      </c>
      <c r="O24" s="62">
        <f t="shared" si="0"/>
        <v>991.2</v>
      </c>
      <c r="P24" s="63">
        <f t="shared" si="1"/>
        <v>987.1</v>
      </c>
      <c r="Q24" s="64">
        <f t="shared" si="2"/>
        <v>989.00769230769231</v>
      </c>
    </row>
    <row r="25" spans="1:17" ht="15.75" x14ac:dyDescent="0.2">
      <c r="A25" s="65">
        <v>12</v>
      </c>
      <c r="B25" s="61">
        <v>988.8</v>
      </c>
      <c r="C25" s="61">
        <v>989.4</v>
      </c>
      <c r="D25" s="61">
        <v>989.5</v>
      </c>
      <c r="E25" s="61">
        <v>989.1</v>
      </c>
      <c r="F25" s="61">
        <v>988.5</v>
      </c>
      <c r="G25" s="61">
        <v>987.4</v>
      </c>
      <c r="H25" s="61">
        <v>986.8</v>
      </c>
      <c r="I25" s="61">
        <v>987.7</v>
      </c>
      <c r="J25" s="61">
        <v>987.4</v>
      </c>
      <c r="K25" s="61">
        <v>987.7</v>
      </c>
      <c r="L25" s="61">
        <v>988.2</v>
      </c>
      <c r="M25" s="61">
        <v>988.7</v>
      </c>
      <c r="N25" s="61">
        <v>989.1</v>
      </c>
      <c r="O25" s="62">
        <f t="shared" si="0"/>
        <v>989.5</v>
      </c>
      <c r="P25" s="63">
        <f t="shared" si="1"/>
        <v>986.8</v>
      </c>
      <c r="Q25" s="64">
        <f t="shared" si="2"/>
        <v>988.33076923076931</v>
      </c>
    </row>
    <row r="26" spans="1:17" ht="15.75" x14ac:dyDescent="0.2">
      <c r="A26" s="65">
        <v>13</v>
      </c>
      <c r="B26" s="61">
        <v>989.6</v>
      </c>
      <c r="C26" s="61">
        <v>990.1</v>
      </c>
      <c r="D26" s="61">
        <v>989.8</v>
      </c>
      <c r="E26" s="61">
        <v>989.7</v>
      </c>
      <c r="F26" s="61">
        <v>988.8</v>
      </c>
      <c r="G26" s="61">
        <v>987.8</v>
      </c>
      <c r="H26" s="61">
        <v>987.6</v>
      </c>
      <c r="I26" s="61">
        <v>987</v>
      </c>
      <c r="J26" s="61">
        <v>986.9</v>
      </c>
      <c r="K26" s="61">
        <v>986.9</v>
      </c>
      <c r="L26" s="61">
        <v>987.9</v>
      </c>
      <c r="M26" s="61">
        <v>988.1</v>
      </c>
      <c r="N26" s="61">
        <v>988.6</v>
      </c>
      <c r="O26" s="62">
        <f t="shared" si="0"/>
        <v>990.1</v>
      </c>
      <c r="P26" s="63">
        <f t="shared" si="1"/>
        <v>986.9</v>
      </c>
      <c r="Q26" s="64">
        <f t="shared" si="2"/>
        <v>988.36923076923085</v>
      </c>
    </row>
    <row r="27" spans="1:17" ht="15.75" x14ac:dyDescent="0.2">
      <c r="A27" s="65">
        <v>14</v>
      </c>
      <c r="B27" s="61">
        <v>989.7</v>
      </c>
      <c r="C27" s="61">
        <v>989.94</v>
      </c>
      <c r="D27" s="61">
        <v>989.9</v>
      </c>
      <c r="E27" s="61">
        <v>989.5</v>
      </c>
      <c r="F27" s="61">
        <v>988.7</v>
      </c>
      <c r="G27" s="61">
        <v>987.7</v>
      </c>
      <c r="H27" s="61">
        <v>986.8</v>
      </c>
      <c r="I27" s="61">
        <v>986.6</v>
      </c>
      <c r="J27" s="61">
        <v>986.4</v>
      </c>
      <c r="K27" s="61">
        <v>987.3</v>
      </c>
      <c r="L27" s="61">
        <v>988.1</v>
      </c>
      <c r="M27" s="61">
        <v>988.4</v>
      </c>
      <c r="N27" s="61">
        <v>989</v>
      </c>
      <c r="O27" s="62">
        <f t="shared" si="0"/>
        <v>989.94</v>
      </c>
      <c r="P27" s="63">
        <f t="shared" si="1"/>
        <v>986.4</v>
      </c>
      <c r="Q27" s="64">
        <f t="shared" si="2"/>
        <v>988.31076923076921</v>
      </c>
    </row>
    <row r="28" spans="1:17" ht="15.75" x14ac:dyDescent="0.2">
      <c r="A28" s="65">
        <v>15</v>
      </c>
      <c r="B28" s="61">
        <v>989.6</v>
      </c>
      <c r="C28" s="61">
        <v>989.6</v>
      </c>
      <c r="D28" s="61">
        <v>989.6</v>
      </c>
      <c r="E28" s="61">
        <v>989</v>
      </c>
      <c r="F28" s="61">
        <v>988.1</v>
      </c>
      <c r="G28" s="61">
        <v>987.1</v>
      </c>
      <c r="H28" s="61">
        <v>986</v>
      </c>
      <c r="I28" s="61">
        <v>981.96</v>
      </c>
      <c r="J28" s="61">
        <v>984.98</v>
      </c>
      <c r="K28" s="61">
        <v>985.85</v>
      </c>
      <c r="L28" s="61">
        <v>986.4</v>
      </c>
      <c r="M28" s="61">
        <v>987.4</v>
      </c>
      <c r="N28" s="61">
        <v>988.01</v>
      </c>
      <c r="O28" s="62">
        <f t="shared" si="0"/>
        <v>989.6</v>
      </c>
      <c r="P28" s="63">
        <f t="shared" si="1"/>
        <v>981.96</v>
      </c>
      <c r="Q28" s="64">
        <f t="shared" si="2"/>
        <v>987.2</v>
      </c>
    </row>
    <row r="29" spans="1:17" ht="15.75" x14ac:dyDescent="0.2">
      <c r="A29" s="65">
        <v>16</v>
      </c>
      <c r="B29" s="61">
        <v>988.8</v>
      </c>
      <c r="C29" s="61">
        <v>989.3</v>
      </c>
      <c r="D29" s="61">
        <v>989.2</v>
      </c>
      <c r="E29" s="61">
        <v>988.6</v>
      </c>
      <c r="F29" s="61">
        <v>988.1</v>
      </c>
      <c r="G29" s="61">
        <v>987.1</v>
      </c>
      <c r="H29" s="61">
        <v>985.9</v>
      </c>
      <c r="I29" s="61">
        <v>985.7</v>
      </c>
      <c r="J29" s="61">
        <v>986.3</v>
      </c>
      <c r="K29" s="61">
        <v>986.9</v>
      </c>
      <c r="L29" s="61">
        <v>987.6</v>
      </c>
      <c r="M29" s="61">
        <v>987.8</v>
      </c>
      <c r="N29" s="61">
        <v>987.9</v>
      </c>
      <c r="O29" s="62">
        <f t="shared" si="0"/>
        <v>989.3</v>
      </c>
      <c r="P29" s="63">
        <f t="shared" si="1"/>
        <v>985.7</v>
      </c>
      <c r="Q29" s="64">
        <f t="shared" si="2"/>
        <v>987.63076923076915</v>
      </c>
    </row>
    <row r="30" spans="1:17" ht="15.75" x14ac:dyDescent="0.2">
      <c r="A30" s="65">
        <v>17</v>
      </c>
      <c r="B30" s="61">
        <v>988.4</v>
      </c>
      <c r="C30" s="61">
        <v>988.8</v>
      </c>
      <c r="D30" s="61">
        <v>988.8</v>
      </c>
      <c r="E30" s="61">
        <v>988.3</v>
      </c>
      <c r="F30" s="61">
        <v>987.2</v>
      </c>
      <c r="G30" s="61">
        <v>986.4</v>
      </c>
      <c r="H30" s="61">
        <v>985.9</v>
      </c>
      <c r="I30" s="61">
        <v>986.7</v>
      </c>
      <c r="J30" s="61">
        <v>986.6</v>
      </c>
      <c r="K30" s="61">
        <v>986.5</v>
      </c>
      <c r="L30" s="61">
        <v>986.5</v>
      </c>
      <c r="M30" s="61">
        <v>986.5</v>
      </c>
      <c r="N30" s="61">
        <v>989</v>
      </c>
      <c r="O30" s="62">
        <f t="shared" si="0"/>
        <v>989</v>
      </c>
      <c r="P30" s="63">
        <f t="shared" si="1"/>
        <v>985.9</v>
      </c>
      <c r="Q30" s="64">
        <f t="shared" si="2"/>
        <v>987.35384615384601</v>
      </c>
    </row>
    <row r="31" spans="1:17" ht="15.75" x14ac:dyDescent="0.2">
      <c r="A31" s="65">
        <v>18</v>
      </c>
      <c r="B31" s="61">
        <v>989.4</v>
      </c>
      <c r="C31" s="61">
        <v>989.6</v>
      </c>
      <c r="D31" s="61">
        <v>989.6</v>
      </c>
      <c r="E31" s="61">
        <v>989.5</v>
      </c>
      <c r="F31" s="61">
        <v>987.7</v>
      </c>
      <c r="G31" s="61">
        <v>987.2</v>
      </c>
      <c r="H31" s="61">
        <v>986.1</v>
      </c>
      <c r="I31" s="61">
        <v>985.4</v>
      </c>
      <c r="J31" s="61">
        <v>985.4</v>
      </c>
      <c r="K31" s="61">
        <v>985.4</v>
      </c>
      <c r="L31" s="61">
        <v>986.2</v>
      </c>
      <c r="M31" s="61">
        <v>987.1</v>
      </c>
      <c r="N31" s="61">
        <v>987.7</v>
      </c>
      <c r="O31" s="62">
        <f t="shared" si="0"/>
        <v>989.6</v>
      </c>
      <c r="P31" s="63">
        <f t="shared" si="1"/>
        <v>985.4</v>
      </c>
      <c r="Q31" s="64">
        <f t="shared" si="2"/>
        <v>987.4076923076924</v>
      </c>
    </row>
    <row r="32" spans="1:17" ht="15.75" x14ac:dyDescent="0.2">
      <c r="A32" s="65">
        <v>19</v>
      </c>
      <c r="B32" s="61">
        <v>988.6</v>
      </c>
      <c r="C32" s="61">
        <v>988.8</v>
      </c>
      <c r="D32" s="61">
        <v>989.8</v>
      </c>
      <c r="E32" s="61">
        <v>989.9</v>
      </c>
      <c r="F32" s="61">
        <v>988.4</v>
      </c>
      <c r="G32" s="61">
        <v>986.1</v>
      </c>
      <c r="H32" s="61">
        <v>985.2</v>
      </c>
      <c r="I32" s="61">
        <v>985</v>
      </c>
      <c r="J32" s="61">
        <v>984.3</v>
      </c>
      <c r="K32" s="61">
        <v>984.4</v>
      </c>
      <c r="L32" s="61">
        <v>984.9</v>
      </c>
      <c r="M32" s="61">
        <v>986.2</v>
      </c>
      <c r="N32" s="61">
        <v>986.9</v>
      </c>
      <c r="O32" s="62">
        <f t="shared" si="0"/>
        <v>989.9</v>
      </c>
      <c r="P32" s="63">
        <f t="shared" si="1"/>
        <v>984.3</v>
      </c>
      <c r="Q32" s="64">
        <f t="shared" si="2"/>
        <v>986.80769230769226</v>
      </c>
    </row>
    <row r="33" spans="1:17" ht="15.75" x14ac:dyDescent="0.2">
      <c r="A33" s="65">
        <v>20</v>
      </c>
      <c r="B33" s="61">
        <v>988.1</v>
      </c>
      <c r="C33" s="61">
        <v>988.1</v>
      </c>
      <c r="D33" s="61">
        <v>988.2</v>
      </c>
      <c r="E33" s="61">
        <v>988.3</v>
      </c>
      <c r="F33" s="61">
        <v>987.9</v>
      </c>
      <c r="G33" s="61">
        <v>986.9</v>
      </c>
      <c r="H33" s="61">
        <v>986.1</v>
      </c>
      <c r="I33" s="61">
        <v>985.3</v>
      </c>
      <c r="J33" s="61">
        <v>984.8</v>
      </c>
      <c r="K33" s="61">
        <v>985.6</v>
      </c>
      <c r="L33" s="61">
        <v>985.8</v>
      </c>
      <c r="M33" s="61">
        <v>986.5</v>
      </c>
      <c r="N33" s="61">
        <v>987.3</v>
      </c>
      <c r="O33" s="62">
        <f t="shared" si="0"/>
        <v>988.3</v>
      </c>
      <c r="P33" s="63">
        <f t="shared" si="1"/>
        <v>984.8</v>
      </c>
      <c r="Q33" s="64">
        <f t="shared" si="2"/>
        <v>986.83846153846139</v>
      </c>
    </row>
    <row r="34" spans="1:17" ht="15.75" x14ac:dyDescent="0.2">
      <c r="A34" s="65">
        <v>21</v>
      </c>
      <c r="B34" s="61">
        <v>989.1</v>
      </c>
      <c r="C34" s="61">
        <v>989.79</v>
      </c>
      <c r="D34" s="61">
        <v>990.01</v>
      </c>
      <c r="E34" s="61">
        <v>989.19</v>
      </c>
      <c r="F34" s="61">
        <v>988.59</v>
      </c>
      <c r="G34" s="61">
        <v>987.57</v>
      </c>
      <c r="H34" s="61">
        <v>986.7</v>
      </c>
      <c r="I34" s="61">
        <v>985.9</v>
      </c>
      <c r="J34" s="61">
        <v>985.6</v>
      </c>
      <c r="K34" s="61">
        <v>986.3</v>
      </c>
      <c r="L34" s="61">
        <v>986.9</v>
      </c>
      <c r="M34" s="61">
        <v>987.9</v>
      </c>
      <c r="N34" s="61">
        <v>988.6</v>
      </c>
      <c r="O34" s="62">
        <f t="shared" si="0"/>
        <v>990.01</v>
      </c>
      <c r="P34" s="63">
        <f t="shared" si="1"/>
        <v>985.6</v>
      </c>
      <c r="Q34" s="64">
        <f t="shared" si="2"/>
        <v>987.8576923076921</v>
      </c>
    </row>
    <row r="35" spans="1:17" ht="15.75" x14ac:dyDescent="0.2">
      <c r="A35" s="65">
        <v>22</v>
      </c>
      <c r="B35" s="61">
        <v>989.9</v>
      </c>
      <c r="C35" s="61">
        <v>990.02</v>
      </c>
      <c r="D35" s="61">
        <v>990.05</v>
      </c>
      <c r="E35" s="61">
        <v>989.59</v>
      </c>
      <c r="F35" s="61">
        <v>989.33</v>
      </c>
      <c r="G35" s="61">
        <v>988.33</v>
      </c>
      <c r="H35" s="61">
        <v>987.76</v>
      </c>
      <c r="I35" s="61">
        <v>987.1</v>
      </c>
      <c r="J35" s="61">
        <v>987.3</v>
      </c>
      <c r="K35" s="61">
        <v>987.4</v>
      </c>
      <c r="L35" s="61">
        <v>987.9</v>
      </c>
      <c r="M35" s="61">
        <v>989.1</v>
      </c>
      <c r="N35" s="61">
        <v>990</v>
      </c>
      <c r="O35" s="62">
        <f t="shared" si="0"/>
        <v>990.05</v>
      </c>
      <c r="P35" s="63">
        <f t="shared" si="1"/>
        <v>987.1</v>
      </c>
      <c r="Q35" s="64">
        <f t="shared" si="2"/>
        <v>988.7523076923078</v>
      </c>
    </row>
    <row r="36" spans="1:17" ht="15.75" x14ac:dyDescent="0.2">
      <c r="A36" s="65">
        <v>23</v>
      </c>
      <c r="B36" s="61">
        <v>990.7</v>
      </c>
      <c r="C36" s="61">
        <v>991</v>
      </c>
      <c r="D36" s="61">
        <v>990.9</v>
      </c>
      <c r="E36" s="61">
        <v>990.5</v>
      </c>
      <c r="F36" s="61">
        <v>989.4</v>
      </c>
      <c r="G36" s="61">
        <v>988.5</v>
      </c>
      <c r="H36" s="61">
        <v>987.6</v>
      </c>
      <c r="I36" s="61">
        <v>987</v>
      </c>
      <c r="J36" s="61">
        <v>986.6</v>
      </c>
      <c r="K36" s="61">
        <v>987.2</v>
      </c>
      <c r="L36" s="61">
        <v>987.6</v>
      </c>
      <c r="M36" s="61">
        <v>988.6</v>
      </c>
      <c r="N36" s="61">
        <v>989.7</v>
      </c>
      <c r="O36" s="62">
        <f t="shared" si="0"/>
        <v>991</v>
      </c>
      <c r="P36" s="63">
        <f t="shared" si="1"/>
        <v>986.6</v>
      </c>
      <c r="Q36" s="64">
        <f t="shared" si="2"/>
        <v>988.86923076923097</v>
      </c>
    </row>
    <row r="37" spans="1:17" ht="15.75" x14ac:dyDescent="0.2">
      <c r="A37" s="65">
        <v>24</v>
      </c>
      <c r="B37" s="61">
        <v>991.7</v>
      </c>
      <c r="C37" s="61">
        <v>991.8</v>
      </c>
      <c r="D37" s="61">
        <v>991.1</v>
      </c>
      <c r="E37" s="61">
        <v>990.7</v>
      </c>
      <c r="F37" s="61">
        <v>990.4</v>
      </c>
      <c r="G37" s="61">
        <v>989.5</v>
      </c>
      <c r="H37" s="61">
        <v>988.9</v>
      </c>
      <c r="I37" s="61">
        <v>988.5</v>
      </c>
      <c r="J37" s="61">
        <v>988.5</v>
      </c>
      <c r="K37" s="61">
        <v>988.6</v>
      </c>
      <c r="L37" s="61">
        <v>989</v>
      </c>
      <c r="M37" s="61">
        <v>989.5</v>
      </c>
      <c r="N37" s="61">
        <v>990.1</v>
      </c>
      <c r="O37" s="62">
        <f t="shared" si="0"/>
        <v>991.8</v>
      </c>
      <c r="P37" s="63">
        <f t="shared" si="1"/>
        <v>988.5</v>
      </c>
      <c r="Q37" s="64">
        <f t="shared" si="2"/>
        <v>989.86923076923074</v>
      </c>
    </row>
    <row r="38" spans="1:17" ht="15.75" x14ac:dyDescent="0.2">
      <c r="A38" s="65">
        <v>25</v>
      </c>
      <c r="B38" s="61">
        <v>990.9</v>
      </c>
      <c r="C38" s="61">
        <v>991.4</v>
      </c>
      <c r="D38" s="61">
        <v>991.7</v>
      </c>
      <c r="E38" s="61">
        <v>990.8</v>
      </c>
      <c r="F38" s="61">
        <v>990.3</v>
      </c>
      <c r="G38" s="61">
        <v>989.6</v>
      </c>
      <c r="H38" s="61">
        <v>989.4</v>
      </c>
      <c r="I38" s="61">
        <v>988.7</v>
      </c>
      <c r="J38" s="61">
        <v>988.7</v>
      </c>
      <c r="K38" s="61">
        <v>988.9</v>
      </c>
      <c r="L38" s="61">
        <v>990.1</v>
      </c>
      <c r="M38" s="61">
        <v>990.3</v>
      </c>
      <c r="N38" s="61">
        <v>990.5</v>
      </c>
      <c r="O38" s="62">
        <f t="shared" si="0"/>
        <v>991.7</v>
      </c>
      <c r="P38" s="63">
        <f t="shared" si="1"/>
        <v>988.7</v>
      </c>
      <c r="Q38" s="64">
        <f t="shared" si="2"/>
        <v>990.09999999999991</v>
      </c>
    </row>
    <row r="39" spans="1:17" ht="15.75" x14ac:dyDescent="0.2">
      <c r="A39" s="65">
        <v>26</v>
      </c>
      <c r="B39" s="61">
        <v>991.86</v>
      </c>
      <c r="C39" s="61">
        <v>992.07</v>
      </c>
      <c r="D39" s="61">
        <v>992</v>
      </c>
      <c r="E39" s="61">
        <v>991.63</v>
      </c>
      <c r="F39" s="61">
        <v>990.95</v>
      </c>
      <c r="G39" s="61">
        <v>990.11</v>
      </c>
      <c r="H39" s="61">
        <v>989.7</v>
      </c>
      <c r="I39" s="61">
        <v>989</v>
      </c>
      <c r="J39" s="61">
        <v>988.7</v>
      </c>
      <c r="K39" s="61">
        <v>988.8</v>
      </c>
      <c r="L39" s="61">
        <v>989.3</v>
      </c>
      <c r="M39" s="61">
        <v>989.5</v>
      </c>
      <c r="N39" s="61">
        <v>989.7</v>
      </c>
      <c r="O39" s="62">
        <f t="shared" si="0"/>
        <v>992.07</v>
      </c>
      <c r="P39" s="63">
        <f t="shared" si="1"/>
        <v>988.7</v>
      </c>
      <c r="Q39" s="64">
        <f t="shared" si="2"/>
        <v>990.25538461538463</v>
      </c>
    </row>
    <row r="40" spans="1:17" ht="15.75" x14ac:dyDescent="0.2">
      <c r="A40" s="65">
        <v>27</v>
      </c>
      <c r="B40" s="61">
        <v>990.2</v>
      </c>
      <c r="C40" s="61">
        <v>990.6</v>
      </c>
      <c r="D40" s="61">
        <v>990.6</v>
      </c>
      <c r="E40" s="61">
        <v>990</v>
      </c>
      <c r="F40" s="61">
        <v>989.3</v>
      </c>
      <c r="G40" s="61">
        <v>988.5</v>
      </c>
      <c r="H40" s="61">
        <v>987.9</v>
      </c>
      <c r="I40" s="61">
        <v>987.7</v>
      </c>
      <c r="J40" s="61">
        <v>987.36</v>
      </c>
      <c r="K40" s="61">
        <v>987.97</v>
      </c>
      <c r="L40" s="61">
        <v>988.57</v>
      </c>
      <c r="M40" s="61">
        <v>988.81</v>
      </c>
      <c r="N40" s="61">
        <v>989.84</v>
      </c>
      <c r="O40" s="62">
        <f t="shared" si="0"/>
        <v>990.6</v>
      </c>
      <c r="P40" s="63">
        <f t="shared" si="1"/>
        <v>987.36</v>
      </c>
      <c r="Q40" s="64">
        <f t="shared" si="2"/>
        <v>989.02692307692291</v>
      </c>
    </row>
    <row r="41" spans="1:17" ht="15.75" x14ac:dyDescent="0.2">
      <c r="A41" s="65">
        <v>28</v>
      </c>
      <c r="B41" s="61">
        <v>989.8</v>
      </c>
      <c r="C41" s="61">
        <v>990.2</v>
      </c>
      <c r="D41" s="61">
        <v>990.6</v>
      </c>
      <c r="E41" s="61">
        <v>990.2</v>
      </c>
      <c r="F41" s="61">
        <v>989.8</v>
      </c>
      <c r="G41" s="61">
        <v>989.3</v>
      </c>
      <c r="H41" s="61">
        <v>988.6</v>
      </c>
      <c r="I41" s="61">
        <v>988.2</v>
      </c>
      <c r="J41" s="61">
        <v>988.1</v>
      </c>
      <c r="K41" s="61">
        <v>987.8</v>
      </c>
      <c r="L41" s="61">
        <v>989.1</v>
      </c>
      <c r="M41" s="61">
        <v>989.6</v>
      </c>
      <c r="N41" s="61">
        <v>990.2</v>
      </c>
      <c r="O41" s="62">
        <f t="shared" si="0"/>
        <v>990.6</v>
      </c>
      <c r="P41" s="63">
        <f t="shared" si="1"/>
        <v>987.8</v>
      </c>
      <c r="Q41" s="64">
        <f t="shared" si="2"/>
        <v>989.34615384615404</v>
      </c>
    </row>
    <row r="42" spans="1:17" ht="15.75" x14ac:dyDescent="0.2">
      <c r="A42" s="65">
        <v>29</v>
      </c>
      <c r="B42" s="61">
        <v>990.5</v>
      </c>
      <c r="C42" s="61">
        <v>990.8</v>
      </c>
      <c r="D42" s="61">
        <v>990.7</v>
      </c>
      <c r="E42" s="61">
        <v>990.4</v>
      </c>
      <c r="F42" s="61">
        <v>989.4</v>
      </c>
      <c r="G42" s="61">
        <v>988.5</v>
      </c>
      <c r="H42" s="61">
        <v>988.1</v>
      </c>
      <c r="I42" s="61">
        <v>987.7</v>
      </c>
      <c r="J42" s="61">
        <v>987.6</v>
      </c>
      <c r="K42" s="61">
        <v>987.6</v>
      </c>
      <c r="L42" s="61">
        <v>988.1</v>
      </c>
      <c r="M42" s="61">
        <v>988.8</v>
      </c>
      <c r="N42" s="61">
        <v>989.3</v>
      </c>
      <c r="O42" s="62">
        <f t="shared" si="0"/>
        <v>990.8</v>
      </c>
      <c r="P42" s="63">
        <f t="shared" si="1"/>
        <v>987.6</v>
      </c>
      <c r="Q42" s="64">
        <f t="shared" si="2"/>
        <v>989.03846153846155</v>
      </c>
    </row>
    <row r="43" spans="1:17" ht="16.5" thickBot="1" x14ac:dyDescent="0.25">
      <c r="A43" s="65">
        <v>30</v>
      </c>
      <c r="B43" s="61">
        <v>990.85</v>
      </c>
      <c r="C43" s="61">
        <v>990.43</v>
      </c>
      <c r="D43" s="61">
        <v>990.25</v>
      </c>
      <c r="E43" s="61">
        <v>989.82</v>
      </c>
      <c r="F43" s="61">
        <v>989.47</v>
      </c>
      <c r="G43" s="61">
        <v>988.72</v>
      </c>
      <c r="H43" s="61">
        <v>988.65</v>
      </c>
      <c r="I43" s="61">
        <v>988.1</v>
      </c>
      <c r="J43" s="61">
        <v>987.7</v>
      </c>
      <c r="K43" s="61">
        <v>988</v>
      </c>
      <c r="L43" s="61">
        <v>988.3</v>
      </c>
      <c r="M43" s="61">
        <v>988.6</v>
      </c>
      <c r="N43" s="61">
        <v>988.9</v>
      </c>
      <c r="O43" s="62">
        <f t="shared" si="0"/>
        <v>990.85</v>
      </c>
      <c r="P43" s="63">
        <f t="shared" si="1"/>
        <v>987.7</v>
      </c>
      <c r="Q43" s="64">
        <f t="shared" si="2"/>
        <v>989.06076923076921</v>
      </c>
    </row>
    <row r="44" spans="1:17" ht="16.5" thickTop="1" x14ac:dyDescent="0.2">
      <c r="A44" s="66" t="s">
        <v>23</v>
      </c>
      <c r="B44" s="67">
        <f t="shared" ref="B44:Q44" si="3">MAX(B14:B43)</f>
        <v>993.5</v>
      </c>
      <c r="C44" s="67">
        <f t="shared" si="3"/>
        <v>993.7</v>
      </c>
      <c r="D44" s="67">
        <f t="shared" si="3"/>
        <v>997.7</v>
      </c>
      <c r="E44" s="67">
        <f t="shared" si="3"/>
        <v>992.9</v>
      </c>
      <c r="F44" s="67">
        <f t="shared" si="3"/>
        <v>992.1</v>
      </c>
      <c r="G44" s="67">
        <f t="shared" si="3"/>
        <v>991</v>
      </c>
      <c r="H44" s="67">
        <f t="shared" si="3"/>
        <v>990</v>
      </c>
      <c r="I44" s="67">
        <f t="shared" si="3"/>
        <v>989.7</v>
      </c>
      <c r="J44" s="67">
        <f t="shared" si="3"/>
        <v>989.6</v>
      </c>
      <c r="K44" s="67">
        <f t="shared" si="3"/>
        <v>989.9</v>
      </c>
      <c r="L44" s="67">
        <f t="shared" si="3"/>
        <v>990.7</v>
      </c>
      <c r="M44" s="67">
        <f t="shared" si="3"/>
        <v>991.6</v>
      </c>
      <c r="N44" s="67">
        <f t="shared" si="3"/>
        <v>992.4</v>
      </c>
      <c r="O44" s="68">
        <f t="shared" si="3"/>
        <v>997.7</v>
      </c>
      <c r="P44" s="68">
        <f t="shared" si="3"/>
        <v>989.3</v>
      </c>
      <c r="Q44" s="68">
        <f t="shared" si="3"/>
        <v>991.49999999999989</v>
      </c>
    </row>
    <row r="45" spans="1:17" ht="15.75" x14ac:dyDescent="0.2">
      <c r="A45" s="69" t="s">
        <v>24</v>
      </c>
      <c r="B45" s="70">
        <f t="shared" ref="B45:Q45" si="4">MIN(B14:B43)</f>
        <v>988.1</v>
      </c>
      <c r="C45" s="70">
        <f t="shared" si="4"/>
        <v>988.1</v>
      </c>
      <c r="D45" s="70">
        <f t="shared" si="4"/>
        <v>988.2</v>
      </c>
      <c r="E45" s="70">
        <f t="shared" si="4"/>
        <v>988.3</v>
      </c>
      <c r="F45" s="70">
        <f t="shared" si="4"/>
        <v>987.2</v>
      </c>
      <c r="G45" s="70">
        <f t="shared" si="4"/>
        <v>986.1</v>
      </c>
      <c r="H45" s="70">
        <f t="shared" si="4"/>
        <v>985.2</v>
      </c>
      <c r="I45" s="70">
        <f t="shared" si="4"/>
        <v>981.96</v>
      </c>
      <c r="J45" s="70">
        <f t="shared" si="4"/>
        <v>984.3</v>
      </c>
      <c r="K45" s="70">
        <f t="shared" si="4"/>
        <v>984.4</v>
      </c>
      <c r="L45" s="70">
        <f t="shared" si="4"/>
        <v>984.9</v>
      </c>
      <c r="M45" s="70">
        <f t="shared" si="4"/>
        <v>986.2</v>
      </c>
      <c r="N45" s="70">
        <f t="shared" si="4"/>
        <v>986.9</v>
      </c>
      <c r="O45" s="71">
        <f t="shared" si="4"/>
        <v>988.3</v>
      </c>
      <c r="P45" s="71">
        <f t="shared" si="4"/>
        <v>981.96</v>
      </c>
      <c r="Q45" s="71">
        <f t="shared" si="4"/>
        <v>986.80769230769226</v>
      </c>
    </row>
    <row r="46" spans="1:17" ht="16.5" thickBot="1" x14ac:dyDescent="0.25">
      <c r="A46" s="72" t="s">
        <v>25</v>
      </c>
      <c r="B46" s="73">
        <f t="shared" ref="B46:Q46" si="5">AVERAGE(B14:B43)</f>
        <v>990.51033333333339</v>
      </c>
      <c r="C46" s="73">
        <f t="shared" si="5"/>
        <v>990.79166666666652</v>
      </c>
      <c r="D46" s="73">
        <f t="shared" si="5"/>
        <v>991.02033333333327</v>
      </c>
      <c r="E46" s="73">
        <f t="shared" si="5"/>
        <v>990.34100000000012</v>
      </c>
      <c r="F46" s="73">
        <f t="shared" si="5"/>
        <v>989.57700000000045</v>
      </c>
      <c r="G46" s="73">
        <f t="shared" si="5"/>
        <v>988.61166666666691</v>
      </c>
      <c r="H46" s="73">
        <f t="shared" si="5"/>
        <v>987.87366666666662</v>
      </c>
      <c r="I46" s="73">
        <f t="shared" si="5"/>
        <v>987.39866666666671</v>
      </c>
      <c r="J46" s="73">
        <f t="shared" si="5"/>
        <v>987.3446666666664</v>
      </c>
      <c r="K46" s="73">
        <f t="shared" si="5"/>
        <v>987.61733333333336</v>
      </c>
      <c r="L46" s="73">
        <f t="shared" si="5"/>
        <v>988.26900000000001</v>
      </c>
      <c r="M46" s="73">
        <f t="shared" si="5"/>
        <v>988.92033333333313</v>
      </c>
      <c r="N46" s="73">
        <f t="shared" si="5"/>
        <v>989.5866666666667</v>
      </c>
      <c r="O46" s="74">
        <f t="shared" si="5"/>
        <v>991.14066666666645</v>
      </c>
      <c r="P46" s="74">
        <f t="shared" si="5"/>
        <v>987.1006666666666</v>
      </c>
      <c r="Q46" s="74">
        <f t="shared" si="5"/>
        <v>989.06633333333309</v>
      </c>
    </row>
    <row r="47" spans="1:17" ht="13.5" thickTop="1" x14ac:dyDescent="0.2"/>
    <row r="48" spans="1:17" ht="15" x14ac:dyDescent="0.25">
      <c r="B48" s="75"/>
      <c r="C48" s="76" t="str">
        <f>[4]QFE!C43</f>
        <v>Mengetahui,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</row>
    <row r="49" spans="2:15" ht="15" x14ac:dyDescent="0.25">
      <c r="B49" s="75"/>
      <c r="C49" s="76" t="str">
        <f>[4]QFE!C44</f>
        <v>Kepala Stasiun Klimatologi Kelas IV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6" t="str">
        <f>[4]QFE!O44</f>
        <v>Pengolah</v>
      </c>
      <c r="O49" s="75"/>
    </row>
    <row r="50" spans="2:15" ht="15" x14ac:dyDescent="0.25">
      <c r="B50" s="75"/>
      <c r="C50" s="76" t="str">
        <f>[4]QFE!C45</f>
        <v>Sleman Yogyakarta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6"/>
      <c r="O50" s="75"/>
    </row>
    <row r="51" spans="2:15" ht="15" x14ac:dyDescent="0.25">
      <c r="B51" s="75"/>
      <c r="C51" s="76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6"/>
      <c r="O51" s="75"/>
    </row>
    <row r="52" spans="2:15" ht="15" x14ac:dyDescent="0.25">
      <c r="B52" s="75"/>
      <c r="C52" s="76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6"/>
      <c r="O52" s="75"/>
    </row>
    <row r="53" spans="2:15" ht="15" x14ac:dyDescent="0.25">
      <c r="B53" s="75"/>
      <c r="C53" s="76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6"/>
      <c r="O53" s="75"/>
    </row>
    <row r="54" spans="2:15" ht="15" x14ac:dyDescent="0.25">
      <c r="B54" s="75"/>
      <c r="C54" s="77" t="str">
        <f>[4]QFE!C50</f>
        <v>RENI KRANINGTYAS, SP, M.Si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7" t="str">
        <f>[4]QFE!O50</f>
        <v xml:space="preserve">TIM PEMBUAT LAPORAN </v>
      </c>
      <c r="O54" s="75"/>
    </row>
    <row r="55" spans="2:15" ht="15" x14ac:dyDescent="0.25">
      <c r="B55" s="75"/>
      <c r="C55" s="76" t="str">
        <f>[4]QFE!C51</f>
        <v>NIP.  19740203 199703 2 001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6" t="str">
        <f>[4]QFE!O51</f>
        <v xml:space="preserve">PETUGAS OPERASIONAL </v>
      </c>
      <c r="O55" s="75"/>
    </row>
    <row r="56" spans="2:15" ht="15" x14ac:dyDescent="0.25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</row>
  </sheetData>
  <mergeCells count="6">
    <mergeCell ref="A7:Q7"/>
    <mergeCell ref="A1:Q1"/>
    <mergeCell ref="A2:Q2"/>
    <mergeCell ref="A3:Q3"/>
    <mergeCell ref="A4:Q4"/>
    <mergeCell ref="A6:Q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453F-3CC4-4013-81D0-8123712DFFC2}">
  <sheetPr>
    <tabColor rgb="FF92D050"/>
  </sheetPr>
  <dimension ref="A1:Z57"/>
  <sheetViews>
    <sheetView tabSelected="1" topLeftCell="A13" workbookViewId="0">
      <selection activeCell="M14" activeCellId="2" sqref="B14:B44 H14:H44 M14:M44"/>
    </sheetView>
  </sheetViews>
  <sheetFormatPr defaultRowHeight="12.75" x14ac:dyDescent="0.2"/>
  <cols>
    <col min="1" max="1" width="11.42578125" style="8" customWidth="1"/>
    <col min="2" max="16" width="11" style="1" customWidth="1"/>
    <col min="17" max="17" width="14" style="1" customWidth="1"/>
    <col min="18" max="256" width="9.140625" style="1"/>
    <col min="257" max="257" width="7.140625" style="1" customWidth="1"/>
    <col min="258" max="273" width="11" style="1" customWidth="1"/>
    <col min="274" max="512" width="9.140625" style="1"/>
    <col min="513" max="513" width="7.140625" style="1" customWidth="1"/>
    <col min="514" max="529" width="11" style="1" customWidth="1"/>
    <col min="530" max="768" width="9.140625" style="1"/>
    <col min="769" max="769" width="7.140625" style="1" customWidth="1"/>
    <col min="770" max="785" width="11" style="1" customWidth="1"/>
    <col min="786" max="1024" width="9.140625" style="1"/>
    <col min="1025" max="1025" width="7.140625" style="1" customWidth="1"/>
    <col min="1026" max="1041" width="11" style="1" customWidth="1"/>
    <col min="1042" max="1280" width="9.140625" style="1"/>
    <col min="1281" max="1281" width="7.140625" style="1" customWidth="1"/>
    <col min="1282" max="1297" width="11" style="1" customWidth="1"/>
    <col min="1298" max="1536" width="9.140625" style="1"/>
    <col min="1537" max="1537" width="7.140625" style="1" customWidth="1"/>
    <col min="1538" max="1553" width="11" style="1" customWidth="1"/>
    <col min="1554" max="1792" width="9.140625" style="1"/>
    <col min="1793" max="1793" width="7.140625" style="1" customWidth="1"/>
    <col min="1794" max="1809" width="11" style="1" customWidth="1"/>
    <col min="1810" max="2048" width="9.140625" style="1"/>
    <col min="2049" max="2049" width="7.140625" style="1" customWidth="1"/>
    <col min="2050" max="2065" width="11" style="1" customWidth="1"/>
    <col min="2066" max="2304" width="9.140625" style="1"/>
    <col min="2305" max="2305" width="7.140625" style="1" customWidth="1"/>
    <col min="2306" max="2321" width="11" style="1" customWidth="1"/>
    <col min="2322" max="2560" width="9.140625" style="1"/>
    <col min="2561" max="2561" width="7.140625" style="1" customWidth="1"/>
    <col min="2562" max="2577" width="11" style="1" customWidth="1"/>
    <col min="2578" max="2816" width="9.140625" style="1"/>
    <col min="2817" max="2817" width="7.140625" style="1" customWidth="1"/>
    <col min="2818" max="2833" width="11" style="1" customWidth="1"/>
    <col min="2834" max="3072" width="9.140625" style="1"/>
    <col min="3073" max="3073" width="7.140625" style="1" customWidth="1"/>
    <col min="3074" max="3089" width="11" style="1" customWidth="1"/>
    <col min="3090" max="3328" width="9.140625" style="1"/>
    <col min="3329" max="3329" width="7.140625" style="1" customWidth="1"/>
    <col min="3330" max="3345" width="11" style="1" customWidth="1"/>
    <col min="3346" max="3584" width="9.140625" style="1"/>
    <col min="3585" max="3585" width="7.140625" style="1" customWidth="1"/>
    <col min="3586" max="3601" width="11" style="1" customWidth="1"/>
    <col min="3602" max="3840" width="9.140625" style="1"/>
    <col min="3841" max="3841" width="7.140625" style="1" customWidth="1"/>
    <col min="3842" max="3857" width="11" style="1" customWidth="1"/>
    <col min="3858" max="4096" width="9.140625" style="1"/>
    <col min="4097" max="4097" width="7.140625" style="1" customWidth="1"/>
    <col min="4098" max="4113" width="11" style="1" customWidth="1"/>
    <col min="4114" max="4352" width="9.140625" style="1"/>
    <col min="4353" max="4353" width="7.140625" style="1" customWidth="1"/>
    <col min="4354" max="4369" width="11" style="1" customWidth="1"/>
    <col min="4370" max="4608" width="9.140625" style="1"/>
    <col min="4609" max="4609" width="7.140625" style="1" customWidth="1"/>
    <col min="4610" max="4625" width="11" style="1" customWidth="1"/>
    <col min="4626" max="4864" width="9.140625" style="1"/>
    <col min="4865" max="4865" width="7.140625" style="1" customWidth="1"/>
    <col min="4866" max="4881" width="11" style="1" customWidth="1"/>
    <col min="4882" max="5120" width="9.140625" style="1"/>
    <col min="5121" max="5121" width="7.140625" style="1" customWidth="1"/>
    <col min="5122" max="5137" width="11" style="1" customWidth="1"/>
    <col min="5138" max="5376" width="9.140625" style="1"/>
    <col min="5377" max="5377" width="7.140625" style="1" customWidth="1"/>
    <col min="5378" max="5393" width="11" style="1" customWidth="1"/>
    <col min="5394" max="5632" width="9.140625" style="1"/>
    <col min="5633" max="5633" width="7.140625" style="1" customWidth="1"/>
    <col min="5634" max="5649" width="11" style="1" customWidth="1"/>
    <col min="5650" max="5888" width="9.140625" style="1"/>
    <col min="5889" max="5889" width="7.140625" style="1" customWidth="1"/>
    <col min="5890" max="5905" width="11" style="1" customWidth="1"/>
    <col min="5906" max="6144" width="9.140625" style="1"/>
    <col min="6145" max="6145" width="7.140625" style="1" customWidth="1"/>
    <col min="6146" max="6161" width="11" style="1" customWidth="1"/>
    <col min="6162" max="6400" width="9.140625" style="1"/>
    <col min="6401" max="6401" width="7.140625" style="1" customWidth="1"/>
    <col min="6402" max="6417" width="11" style="1" customWidth="1"/>
    <col min="6418" max="6656" width="9.140625" style="1"/>
    <col min="6657" max="6657" width="7.140625" style="1" customWidth="1"/>
    <col min="6658" max="6673" width="11" style="1" customWidth="1"/>
    <col min="6674" max="6912" width="9.140625" style="1"/>
    <col min="6913" max="6913" width="7.140625" style="1" customWidth="1"/>
    <col min="6914" max="6929" width="11" style="1" customWidth="1"/>
    <col min="6930" max="7168" width="9.140625" style="1"/>
    <col min="7169" max="7169" width="7.140625" style="1" customWidth="1"/>
    <col min="7170" max="7185" width="11" style="1" customWidth="1"/>
    <col min="7186" max="7424" width="9.140625" style="1"/>
    <col min="7425" max="7425" width="7.140625" style="1" customWidth="1"/>
    <col min="7426" max="7441" width="11" style="1" customWidth="1"/>
    <col min="7442" max="7680" width="9.140625" style="1"/>
    <col min="7681" max="7681" width="7.140625" style="1" customWidth="1"/>
    <col min="7682" max="7697" width="11" style="1" customWidth="1"/>
    <col min="7698" max="7936" width="9.140625" style="1"/>
    <col min="7937" max="7937" width="7.140625" style="1" customWidth="1"/>
    <col min="7938" max="7953" width="11" style="1" customWidth="1"/>
    <col min="7954" max="8192" width="9.140625" style="1"/>
    <col min="8193" max="8193" width="7.140625" style="1" customWidth="1"/>
    <col min="8194" max="8209" width="11" style="1" customWidth="1"/>
    <col min="8210" max="8448" width="9.140625" style="1"/>
    <col min="8449" max="8449" width="7.140625" style="1" customWidth="1"/>
    <col min="8450" max="8465" width="11" style="1" customWidth="1"/>
    <col min="8466" max="8704" width="9.140625" style="1"/>
    <col min="8705" max="8705" width="7.140625" style="1" customWidth="1"/>
    <col min="8706" max="8721" width="11" style="1" customWidth="1"/>
    <col min="8722" max="8960" width="9.140625" style="1"/>
    <col min="8961" max="8961" width="7.140625" style="1" customWidth="1"/>
    <col min="8962" max="8977" width="11" style="1" customWidth="1"/>
    <col min="8978" max="9216" width="9.140625" style="1"/>
    <col min="9217" max="9217" width="7.140625" style="1" customWidth="1"/>
    <col min="9218" max="9233" width="11" style="1" customWidth="1"/>
    <col min="9234" max="9472" width="9.140625" style="1"/>
    <col min="9473" max="9473" width="7.140625" style="1" customWidth="1"/>
    <col min="9474" max="9489" width="11" style="1" customWidth="1"/>
    <col min="9490" max="9728" width="9.140625" style="1"/>
    <col min="9729" max="9729" width="7.140625" style="1" customWidth="1"/>
    <col min="9730" max="9745" width="11" style="1" customWidth="1"/>
    <col min="9746" max="9984" width="9.140625" style="1"/>
    <col min="9985" max="9985" width="7.140625" style="1" customWidth="1"/>
    <col min="9986" max="10001" width="11" style="1" customWidth="1"/>
    <col min="10002" max="10240" width="9.140625" style="1"/>
    <col min="10241" max="10241" width="7.140625" style="1" customWidth="1"/>
    <col min="10242" max="10257" width="11" style="1" customWidth="1"/>
    <col min="10258" max="10496" width="9.140625" style="1"/>
    <col min="10497" max="10497" width="7.140625" style="1" customWidth="1"/>
    <col min="10498" max="10513" width="11" style="1" customWidth="1"/>
    <col min="10514" max="10752" width="9.140625" style="1"/>
    <col min="10753" max="10753" width="7.140625" style="1" customWidth="1"/>
    <col min="10754" max="10769" width="11" style="1" customWidth="1"/>
    <col min="10770" max="11008" width="9.140625" style="1"/>
    <col min="11009" max="11009" width="7.140625" style="1" customWidth="1"/>
    <col min="11010" max="11025" width="11" style="1" customWidth="1"/>
    <col min="11026" max="11264" width="9.140625" style="1"/>
    <col min="11265" max="11265" width="7.140625" style="1" customWidth="1"/>
    <col min="11266" max="11281" width="11" style="1" customWidth="1"/>
    <col min="11282" max="11520" width="9.140625" style="1"/>
    <col min="11521" max="11521" width="7.140625" style="1" customWidth="1"/>
    <col min="11522" max="11537" width="11" style="1" customWidth="1"/>
    <col min="11538" max="11776" width="9.140625" style="1"/>
    <col min="11777" max="11777" width="7.140625" style="1" customWidth="1"/>
    <col min="11778" max="11793" width="11" style="1" customWidth="1"/>
    <col min="11794" max="12032" width="9.140625" style="1"/>
    <col min="12033" max="12033" width="7.140625" style="1" customWidth="1"/>
    <col min="12034" max="12049" width="11" style="1" customWidth="1"/>
    <col min="12050" max="12288" width="9.140625" style="1"/>
    <col min="12289" max="12289" width="7.140625" style="1" customWidth="1"/>
    <col min="12290" max="12305" width="11" style="1" customWidth="1"/>
    <col min="12306" max="12544" width="9.140625" style="1"/>
    <col min="12545" max="12545" width="7.140625" style="1" customWidth="1"/>
    <col min="12546" max="12561" width="11" style="1" customWidth="1"/>
    <col min="12562" max="12800" width="9.140625" style="1"/>
    <col min="12801" max="12801" width="7.140625" style="1" customWidth="1"/>
    <col min="12802" max="12817" width="11" style="1" customWidth="1"/>
    <col min="12818" max="13056" width="9.140625" style="1"/>
    <col min="13057" max="13057" width="7.140625" style="1" customWidth="1"/>
    <col min="13058" max="13073" width="11" style="1" customWidth="1"/>
    <col min="13074" max="13312" width="9.140625" style="1"/>
    <col min="13313" max="13313" width="7.140625" style="1" customWidth="1"/>
    <col min="13314" max="13329" width="11" style="1" customWidth="1"/>
    <col min="13330" max="13568" width="9.140625" style="1"/>
    <col min="13569" max="13569" width="7.140625" style="1" customWidth="1"/>
    <col min="13570" max="13585" width="11" style="1" customWidth="1"/>
    <col min="13586" max="13824" width="9.140625" style="1"/>
    <col min="13825" max="13825" width="7.140625" style="1" customWidth="1"/>
    <col min="13826" max="13841" width="11" style="1" customWidth="1"/>
    <col min="13842" max="14080" width="9.140625" style="1"/>
    <col min="14081" max="14081" width="7.140625" style="1" customWidth="1"/>
    <col min="14082" max="14097" width="11" style="1" customWidth="1"/>
    <col min="14098" max="14336" width="9.140625" style="1"/>
    <col min="14337" max="14337" width="7.140625" style="1" customWidth="1"/>
    <col min="14338" max="14353" width="11" style="1" customWidth="1"/>
    <col min="14354" max="14592" width="9.140625" style="1"/>
    <col min="14593" max="14593" width="7.140625" style="1" customWidth="1"/>
    <col min="14594" max="14609" width="11" style="1" customWidth="1"/>
    <col min="14610" max="14848" width="9.140625" style="1"/>
    <col min="14849" max="14849" width="7.140625" style="1" customWidth="1"/>
    <col min="14850" max="14865" width="11" style="1" customWidth="1"/>
    <col min="14866" max="15104" width="9.140625" style="1"/>
    <col min="15105" max="15105" width="7.140625" style="1" customWidth="1"/>
    <col min="15106" max="15121" width="11" style="1" customWidth="1"/>
    <col min="15122" max="15360" width="9.140625" style="1"/>
    <col min="15361" max="15361" width="7.140625" style="1" customWidth="1"/>
    <col min="15362" max="15377" width="11" style="1" customWidth="1"/>
    <col min="15378" max="15616" width="9.140625" style="1"/>
    <col min="15617" max="15617" width="7.140625" style="1" customWidth="1"/>
    <col min="15618" max="15633" width="11" style="1" customWidth="1"/>
    <col min="15634" max="15872" width="9.140625" style="1"/>
    <col min="15873" max="15873" width="7.140625" style="1" customWidth="1"/>
    <col min="15874" max="15889" width="11" style="1" customWidth="1"/>
    <col min="15890" max="16128" width="9.140625" style="1"/>
    <col min="16129" max="16129" width="7.140625" style="1" customWidth="1"/>
    <col min="16130" max="16145" width="11" style="1" customWidth="1"/>
    <col min="16146" max="16384" width="9.140625" style="1"/>
  </cols>
  <sheetData>
    <row r="1" spans="1:26" customFormat="1" ht="18.75" x14ac:dyDescent="0.3">
      <c r="A1" s="103" t="s">
        <v>33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26" customFormat="1" ht="18.75" x14ac:dyDescent="0.3">
      <c r="A2" s="103" t="s">
        <v>34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3" spans="1:26" customFormat="1" ht="15" x14ac:dyDescent="0.25">
      <c r="A3" s="104" t="s">
        <v>35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26" customFormat="1" ht="15.75" thickBot="1" x14ac:dyDescent="0.3">
      <c r="A4" s="105" t="s">
        <v>36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26" customFormat="1" ht="6" customHeight="1" x14ac:dyDescent="0.25">
      <c r="A5" s="46"/>
      <c r="B5" s="46"/>
      <c r="C5" s="46"/>
      <c r="D5" s="46"/>
      <c r="E5" s="46"/>
      <c r="F5" s="46"/>
    </row>
    <row r="6" spans="1:26" customFormat="1" ht="15" x14ac:dyDescent="0.25">
      <c r="A6" s="106" t="s">
        <v>48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26" customFormat="1" ht="15" x14ac:dyDescent="0.25">
      <c r="A7" s="102" t="s">
        <v>51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26" customFormat="1" ht="8.25" customHeight="1" x14ac:dyDescent="0.25"/>
    <row r="9" spans="1:26" customFormat="1" ht="15.75" x14ac:dyDescent="0.25">
      <c r="A9" s="47" t="s">
        <v>38</v>
      </c>
      <c r="B9" s="48" t="s">
        <v>39</v>
      </c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26" customFormat="1" ht="15.75" x14ac:dyDescent="0.25">
      <c r="A10" s="50" t="s">
        <v>40</v>
      </c>
      <c r="B10" s="50" t="s">
        <v>41</v>
      </c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26" customFormat="1" ht="15.75" x14ac:dyDescent="0.25">
      <c r="A11" s="50" t="s">
        <v>42</v>
      </c>
      <c r="B11" s="50" t="s">
        <v>43</v>
      </c>
      <c r="C11" s="49"/>
      <c r="D11" s="49"/>
      <c r="E11" s="49"/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26" ht="16.5" thickBot="1" x14ac:dyDescent="0.3">
      <c r="A12" s="51" t="s">
        <v>44</v>
      </c>
      <c r="B12" s="49" t="s">
        <v>45</v>
      </c>
      <c r="C12" s="49"/>
      <c r="D12" s="52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  <c r="P12" s="53" t="s">
        <v>46</v>
      </c>
      <c r="Q12" s="54" t="s">
        <v>47</v>
      </c>
    </row>
    <row r="13" spans="1:26" ht="17.25" thickTop="1" thickBot="1" x14ac:dyDescent="0.25">
      <c r="A13" s="55" t="s">
        <v>6</v>
      </c>
      <c r="B13" s="56" t="s">
        <v>7</v>
      </c>
      <c r="C13" s="57" t="s">
        <v>8</v>
      </c>
      <c r="D13" s="57" t="s">
        <v>9</v>
      </c>
      <c r="E13" s="57" t="s">
        <v>10</v>
      </c>
      <c r="F13" s="57" t="s">
        <v>11</v>
      </c>
      <c r="G13" s="57" t="s">
        <v>12</v>
      </c>
      <c r="H13" s="57" t="s">
        <v>13</v>
      </c>
      <c r="I13" s="57" t="s">
        <v>14</v>
      </c>
      <c r="J13" s="57" t="s">
        <v>15</v>
      </c>
      <c r="K13" s="57" t="s">
        <v>16</v>
      </c>
      <c r="L13" s="57" t="s">
        <v>17</v>
      </c>
      <c r="M13" s="57" t="s">
        <v>18</v>
      </c>
      <c r="N13" s="57" t="s">
        <v>19</v>
      </c>
      <c r="O13" s="84" t="s">
        <v>20</v>
      </c>
      <c r="P13" s="85" t="s">
        <v>21</v>
      </c>
      <c r="Q13" s="86" t="s">
        <v>22</v>
      </c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6.5" thickTop="1" x14ac:dyDescent="0.2">
      <c r="A14" s="60">
        <v>1</v>
      </c>
      <c r="B14" s="61">
        <v>989.3</v>
      </c>
      <c r="C14" s="61">
        <v>989.6</v>
      </c>
      <c r="D14" s="61">
        <v>989.5</v>
      </c>
      <c r="E14" s="61">
        <v>989</v>
      </c>
      <c r="F14" s="61">
        <v>988.5</v>
      </c>
      <c r="G14" s="61">
        <v>987.7</v>
      </c>
      <c r="H14" s="61">
        <v>986.4</v>
      </c>
      <c r="I14" s="61">
        <v>985.7</v>
      </c>
      <c r="J14" s="61">
        <v>984.9</v>
      </c>
      <c r="K14" s="61">
        <v>984.9</v>
      </c>
      <c r="L14" s="61">
        <v>985.6</v>
      </c>
      <c r="M14" s="61">
        <v>986.4</v>
      </c>
      <c r="N14" s="61">
        <v>987.1</v>
      </c>
      <c r="O14" s="87">
        <f>MAX(B14:N14)</f>
        <v>989.6</v>
      </c>
      <c r="P14" s="88">
        <f>MIN(B14:N14)</f>
        <v>984.9</v>
      </c>
      <c r="Q14" s="89">
        <f>AVERAGE(B14:N14)</f>
        <v>987.27692307692291</v>
      </c>
    </row>
    <row r="15" spans="1:26" ht="15.75" x14ac:dyDescent="0.2">
      <c r="A15" s="65">
        <v>2</v>
      </c>
      <c r="B15" s="61">
        <v>988.33</v>
      </c>
      <c r="C15" s="61">
        <v>988.65</v>
      </c>
      <c r="D15" s="61">
        <v>988.9</v>
      </c>
      <c r="E15" s="61">
        <v>988.4</v>
      </c>
      <c r="F15" s="61">
        <v>987.5</v>
      </c>
      <c r="G15" s="61">
        <v>986.38</v>
      </c>
      <c r="H15" s="61">
        <v>985.83</v>
      </c>
      <c r="I15" s="61">
        <v>985.2</v>
      </c>
      <c r="J15" s="61">
        <v>985</v>
      </c>
      <c r="K15" s="61">
        <v>985</v>
      </c>
      <c r="L15" s="61">
        <v>985.9</v>
      </c>
      <c r="M15" s="61">
        <v>986.7</v>
      </c>
      <c r="N15" s="61">
        <v>987.8</v>
      </c>
      <c r="O15" s="87">
        <f t="shared" ref="O15:O44" si="0">MAX(B15:N15)</f>
        <v>988.9</v>
      </c>
      <c r="P15" s="88">
        <f t="shared" ref="P15:P44" si="1">MIN(B15:N15)</f>
        <v>985</v>
      </c>
      <c r="Q15" s="89">
        <f t="shared" ref="Q15:Q44" si="2">AVERAGE(B15:N15)</f>
        <v>986.89153846153852</v>
      </c>
    </row>
    <row r="16" spans="1:26" ht="15.75" x14ac:dyDescent="0.2">
      <c r="A16" s="65">
        <v>3</v>
      </c>
      <c r="B16" s="61">
        <v>989.13</v>
      </c>
      <c r="C16" s="61">
        <v>989.71</v>
      </c>
      <c r="D16" s="61">
        <v>989.37</v>
      </c>
      <c r="E16" s="61">
        <v>988.66</v>
      </c>
      <c r="F16" s="61">
        <v>988.31</v>
      </c>
      <c r="G16" s="61">
        <v>987.42</v>
      </c>
      <c r="H16" s="61">
        <v>986.3</v>
      </c>
      <c r="I16" s="61">
        <v>985.7</v>
      </c>
      <c r="J16" s="61">
        <v>985.3</v>
      </c>
      <c r="K16" s="61">
        <v>985.6</v>
      </c>
      <c r="L16" s="61">
        <v>986.7</v>
      </c>
      <c r="M16" s="61">
        <v>987.1</v>
      </c>
      <c r="N16" s="61">
        <v>988.3</v>
      </c>
      <c r="O16" s="87">
        <f t="shared" si="0"/>
        <v>989.71</v>
      </c>
      <c r="P16" s="88">
        <f t="shared" si="1"/>
        <v>985.3</v>
      </c>
      <c r="Q16" s="89">
        <f t="shared" si="2"/>
        <v>987.50769230769231</v>
      </c>
    </row>
    <row r="17" spans="1:17" ht="15.75" x14ac:dyDescent="0.2">
      <c r="A17" s="65">
        <v>4</v>
      </c>
      <c r="B17" s="61">
        <v>989.3</v>
      </c>
      <c r="C17" s="61">
        <v>989.9</v>
      </c>
      <c r="D17" s="61">
        <v>989.9</v>
      </c>
      <c r="E17" s="61">
        <v>989.5</v>
      </c>
      <c r="F17" s="61">
        <v>988.6</v>
      </c>
      <c r="G17" s="61">
        <v>987.7</v>
      </c>
      <c r="H17" s="61">
        <v>986.9</v>
      </c>
      <c r="I17" s="61">
        <v>986.6</v>
      </c>
      <c r="J17" s="61">
        <v>986.4</v>
      </c>
      <c r="K17" s="61">
        <v>986.8</v>
      </c>
      <c r="L17" s="61">
        <v>986.9</v>
      </c>
      <c r="M17" s="61">
        <v>987.9</v>
      </c>
      <c r="N17" s="61">
        <v>988.6</v>
      </c>
      <c r="O17" s="87">
        <f t="shared" si="0"/>
        <v>989.9</v>
      </c>
      <c r="P17" s="88">
        <f t="shared" si="1"/>
        <v>986.4</v>
      </c>
      <c r="Q17" s="89">
        <f t="shared" si="2"/>
        <v>988.07692307692298</v>
      </c>
    </row>
    <row r="18" spans="1:17" ht="15.75" x14ac:dyDescent="0.2">
      <c r="A18" s="65">
        <v>5</v>
      </c>
      <c r="B18" s="61">
        <v>989.6</v>
      </c>
      <c r="C18" s="61">
        <v>989.8</v>
      </c>
      <c r="D18" s="61">
        <v>990.1</v>
      </c>
      <c r="E18" s="61">
        <v>989.5</v>
      </c>
      <c r="F18" s="61">
        <v>989.2</v>
      </c>
      <c r="G18" s="61">
        <v>988.2</v>
      </c>
      <c r="H18" s="61">
        <v>987</v>
      </c>
      <c r="I18" s="61">
        <v>986.6</v>
      </c>
      <c r="J18" s="61">
        <v>986.7</v>
      </c>
      <c r="K18" s="61">
        <v>987.1</v>
      </c>
      <c r="L18" s="61">
        <v>988.7</v>
      </c>
      <c r="M18" s="61">
        <v>988.8</v>
      </c>
      <c r="N18" s="61">
        <v>989.2</v>
      </c>
      <c r="O18" s="87">
        <f t="shared" si="0"/>
        <v>990.1</v>
      </c>
      <c r="P18" s="88">
        <f t="shared" si="1"/>
        <v>986.6</v>
      </c>
      <c r="Q18" s="89">
        <f t="shared" si="2"/>
        <v>988.50000000000011</v>
      </c>
    </row>
    <row r="19" spans="1:17" ht="15.75" x14ac:dyDescent="0.2">
      <c r="A19" s="65">
        <v>6</v>
      </c>
      <c r="B19" s="61">
        <v>989</v>
      </c>
      <c r="C19" s="61">
        <v>989.2</v>
      </c>
      <c r="D19" s="61">
        <v>989.4</v>
      </c>
      <c r="E19" s="61">
        <v>988.5</v>
      </c>
      <c r="F19" s="61">
        <v>988</v>
      </c>
      <c r="G19" s="61">
        <v>987.3</v>
      </c>
      <c r="H19" s="61">
        <v>986.8</v>
      </c>
      <c r="I19" s="61">
        <v>986.8</v>
      </c>
      <c r="J19" s="61">
        <v>986.9</v>
      </c>
      <c r="K19" s="61">
        <v>986.8</v>
      </c>
      <c r="L19" s="61">
        <v>987</v>
      </c>
      <c r="M19" s="61">
        <v>987.1</v>
      </c>
      <c r="N19" s="61">
        <v>987.9</v>
      </c>
      <c r="O19" s="87">
        <f t="shared" si="0"/>
        <v>989.4</v>
      </c>
      <c r="P19" s="88">
        <f t="shared" si="1"/>
        <v>986.8</v>
      </c>
      <c r="Q19" s="89">
        <f t="shared" si="2"/>
        <v>987.7461538461539</v>
      </c>
    </row>
    <row r="20" spans="1:17" ht="15.75" x14ac:dyDescent="0.2">
      <c r="A20" s="65">
        <v>7</v>
      </c>
      <c r="B20" s="61">
        <v>989.3</v>
      </c>
      <c r="C20" s="61">
        <v>989.6</v>
      </c>
      <c r="D20" s="61">
        <v>989.5</v>
      </c>
      <c r="E20" s="61">
        <v>988.4</v>
      </c>
      <c r="F20" s="61">
        <v>987.5</v>
      </c>
      <c r="G20" s="61">
        <v>986.6</v>
      </c>
      <c r="H20" s="61">
        <v>986.2</v>
      </c>
      <c r="I20" s="61">
        <v>986</v>
      </c>
      <c r="J20" s="61">
        <v>985.8</v>
      </c>
      <c r="K20" s="61">
        <v>985.6</v>
      </c>
      <c r="L20" s="61">
        <v>986.3</v>
      </c>
      <c r="M20" s="61">
        <v>987</v>
      </c>
      <c r="N20" s="61">
        <v>987.6</v>
      </c>
      <c r="O20" s="87">
        <f t="shared" si="0"/>
        <v>989.6</v>
      </c>
      <c r="P20" s="88">
        <f t="shared" si="1"/>
        <v>985.6</v>
      </c>
      <c r="Q20" s="89">
        <f t="shared" si="2"/>
        <v>987.3384615384615</v>
      </c>
    </row>
    <row r="21" spans="1:17" ht="15.75" x14ac:dyDescent="0.2">
      <c r="A21" s="65">
        <v>8</v>
      </c>
      <c r="B21" s="61">
        <v>988.9</v>
      </c>
      <c r="C21" s="61">
        <v>989.4</v>
      </c>
      <c r="D21" s="61">
        <v>989.7</v>
      </c>
      <c r="E21" s="61">
        <v>989.5</v>
      </c>
      <c r="F21" s="61">
        <v>989.1</v>
      </c>
      <c r="G21" s="61">
        <v>988.2</v>
      </c>
      <c r="H21" s="61">
        <v>987.2</v>
      </c>
      <c r="I21" s="61">
        <v>985.8</v>
      </c>
      <c r="J21" s="61">
        <v>986.3</v>
      </c>
      <c r="K21" s="61">
        <v>986.4</v>
      </c>
      <c r="L21" s="61">
        <v>987</v>
      </c>
      <c r="M21" s="61">
        <v>987.5</v>
      </c>
      <c r="N21" s="61">
        <v>988.4</v>
      </c>
      <c r="O21" s="87">
        <f t="shared" si="0"/>
        <v>989.7</v>
      </c>
      <c r="P21" s="88">
        <f t="shared" si="1"/>
        <v>985.8</v>
      </c>
      <c r="Q21" s="89">
        <f t="shared" si="2"/>
        <v>987.95384615384614</v>
      </c>
    </row>
    <row r="22" spans="1:17" ht="15.75" x14ac:dyDescent="0.2">
      <c r="A22" s="65">
        <v>9</v>
      </c>
      <c r="B22" s="61">
        <v>989.1</v>
      </c>
      <c r="C22" s="61">
        <v>989.5</v>
      </c>
      <c r="D22" s="61">
        <v>989.4</v>
      </c>
      <c r="E22" s="61">
        <v>988.7</v>
      </c>
      <c r="F22" s="61">
        <v>988</v>
      </c>
      <c r="G22" s="61">
        <v>987.6</v>
      </c>
      <c r="H22" s="61">
        <v>986.7</v>
      </c>
      <c r="I22" s="61">
        <v>985.8</v>
      </c>
      <c r="J22" s="61">
        <v>986</v>
      </c>
      <c r="K22" s="61">
        <v>986.1</v>
      </c>
      <c r="L22" s="61">
        <v>986.6</v>
      </c>
      <c r="M22" s="61">
        <v>987.5</v>
      </c>
      <c r="N22" s="61">
        <v>988.8</v>
      </c>
      <c r="O22" s="87">
        <f t="shared" si="0"/>
        <v>989.5</v>
      </c>
      <c r="P22" s="88">
        <f t="shared" si="1"/>
        <v>985.8</v>
      </c>
      <c r="Q22" s="89">
        <f t="shared" si="2"/>
        <v>987.676923076923</v>
      </c>
    </row>
    <row r="23" spans="1:17" ht="15.75" x14ac:dyDescent="0.2">
      <c r="A23" s="65">
        <v>10</v>
      </c>
      <c r="B23" s="61">
        <v>990.9</v>
      </c>
      <c r="C23" s="61">
        <v>991.3</v>
      </c>
      <c r="D23" s="61">
        <v>991.4</v>
      </c>
      <c r="E23" s="61">
        <v>990.8</v>
      </c>
      <c r="F23" s="61">
        <v>990</v>
      </c>
      <c r="G23" s="61">
        <v>989.3</v>
      </c>
      <c r="H23" s="61">
        <v>988.6</v>
      </c>
      <c r="I23" s="61">
        <v>987.82</v>
      </c>
      <c r="J23" s="61">
        <v>987.34</v>
      </c>
      <c r="K23" s="61">
        <v>987.32</v>
      </c>
      <c r="L23" s="61">
        <v>987.66</v>
      </c>
      <c r="M23" s="61">
        <v>988.38</v>
      </c>
      <c r="N23" s="61">
        <v>989</v>
      </c>
      <c r="O23" s="87">
        <f t="shared" si="0"/>
        <v>991.4</v>
      </c>
      <c r="P23" s="88">
        <f t="shared" si="1"/>
        <v>987.32</v>
      </c>
      <c r="Q23" s="89">
        <f t="shared" si="2"/>
        <v>989.21692307692297</v>
      </c>
    </row>
    <row r="24" spans="1:17" ht="15.75" x14ac:dyDescent="0.2">
      <c r="A24" s="65">
        <v>11</v>
      </c>
      <c r="B24" s="61">
        <v>990.3</v>
      </c>
      <c r="C24" s="61">
        <v>990.5</v>
      </c>
      <c r="D24" s="61">
        <v>990.4</v>
      </c>
      <c r="E24" s="61">
        <v>989.7</v>
      </c>
      <c r="F24" s="61">
        <v>989</v>
      </c>
      <c r="G24" s="61">
        <v>988.5</v>
      </c>
      <c r="H24" s="61">
        <v>988</v>
      </c>
      <c r="I24" s="61">
        <v>986.85</v>
      </c>
      <c r="J24" s="61">
        <v>986.65</v>
      </c>
      <c r="K24" s="61">
        <v>986.6</v>
      </c>
      <c r="L24" s="61">
        <v>987.9</v>
      </c>
      <c r="M24" s="61">
        <v>988.88</v>
      </c>
      <c r="N24" s="61">
        <v>989.09</v>
      </c>
      <c r="O24" s="87">
        <f t="shared" si="0"/>
        <v>990.5</v>
      </c>
      <c r="P24" s="88">
        <f t="shared" si="1"/>
        <v>986.6</v>
      </c>
      <c r="Q24" s="89">
        <f t="shared" si="2"/>
        <v>988.64384615384608</v>
      </c>
    </row>
    <row r="25" spans="1:17" ht="15.75" x14ac:dyDescent="0.2">
      <c r="A25" s="65">
        <v>12</v>
      </c>
      <c r="B25" s="61">
        <v>990.1</v>
      </c>
      <c r="C25" s="61">
        <v>990.5</v>
      </c>
      <c r="D25" s="61">
        <v>990.3</v>
      </c>
      <c r="E25" s="61">
        <v>989.7</v>
      </c>
      <c r="F25" s="61">
        <v>989</v>
      </c>
      <c r="G25" s="61">
        <v>988.3</v>
      </c>
      <c r="H25" s="61">
        <v>987.6</v>
      </c>
      <c r="I25" s="61">
        <v>987.3</v>
      </c>
      <c r="J25" s="61">
        <v>987.1</v>
      </c>
      <c r="K25" s="61">
        <v>986.9</v>
      </c>
      <c r="L25" s="61">
        <v>987.5</v>
      </c>
      <c r="M25" s="61">
        <v>988.1</v>
      </c>
      <c r="N25" s="61">
        <v>988.6</v>
      </c>
      <c r="O25" s="87">
        <f t="shared" si="0"/>
        <v>990.5</v>
      </c>
      <c r="P25" s="88">
        <f t="shared" si="1"/>
        <v>986.9</v>
      </c>
      <c r="Q25" s="89">
        <f t="shared" si="2"/>
        <v>988.53846153846155</v>
      </c>
    </row>
    <row r="26" spans="1:17" ht="15.75" x14ac:dyDescent="0.2">
      <c r="A26" s="65">
        <v>13</v>
      </c>
      <c r="B26" s="61">
        <v>990.1</v>
      </c>
      <c r="C26" s="61">
        <v>990.5</v>
      </c>
      <c r="D26" s="61">
        <v>990.6</v>
      </c>
      <c r="E26" s="61">
        <v>984.88</v>
      </c>
      <c r="F26" s="61">
        <v>988.94</v>
      </c>
      <c r="G26" s="61">
        <v>988.15</v>
      </c>
      <c r="H26" s="61">
        <v>987.61</v>
      </c>
      <c r="I26" s="61">
        <v>986.6</v>
      </c>
      <c r="J26" s="61">
        <v>987</v>
      </c>
      <c r="K26" s="61">
        <v>988.2</v>
      </c>
      <c r="L26" s="61">
        <v>987.9</v>
      </c>
      <c r="M26" s="61">
        <v>989.3</v>
      </c>
      <c r="N26" s="61">
        <v>990</v>
      </c>
      <c r="O26" s="87">
        <f t="shared" si="0"/>
        <v>990.6</v>
      </c>
      <c r="P26" s="88">
        <f t="shared" si="1"/>
        <v>984.88</v>
      </c>
      <c r="Q26" s="89">
        <f t="shared" si="2"/>
        <v>988.44461538461542</v>
      </c>
    </row>
    <row r="27" spans="1:17" ht="15.75" x14ac:dyDescent="0.2">
      <c r="A27" s="65">
        <v>14</v>
      </c>
      <c r="B27" s="61">
        <v>990</v>
      </c>
      <c r="C27" s="61">
        <v>990.2</v>
      </c>
      <c r="D27" s="61">
        <v>990.2</v>
      </c>
      <c r="E27" s="61">
        <v>989.8</v>
      </c>
      <c r="F27" s="61">
        <v>989.2</v>
      </c>
      <c r="G27" s="61">
        <v>988.7</v>
      </c>
      <c r="H27" s="61">
        <v>987.6</v>
      </c>
      <c r="I27" s="61">
        <v>986.93</v>
      </c>
      <c r="J27" s="61">
        <v>986.87</v>
      </c>
      <c r="K27" s="61">
        <v>987.33</v>
      </c>
      <c r="L27" s="61">
        <v>988.13</v>
      </c>
      <c r="M27" s="61">
        <v>988.9</v>
      </c>
      <c r="N27" s="61">
        <v>989.3</v>
      </c>
      <c r="O27" s="87">
        <f t="shared" si="0"/>
        <v>990.2</v>
      </c>
      <c r="P27" s="88">
        <f t="shared" si="1"/>
        <v>986.87</v>
      </c>
      <c r="Q27" s="89">
        <f t="shared" si="2"/>
        <v>988.70461538461518</v>
      </c>
    </row>
    <row r="28" spans="1:17" ht="15.75" x14ac:dyDescent="0.2">
      <c r="A28" s="65">
        <v>15</v>
      </c>
      <c r="B28" s="61">
        <v>989.5</v>
      </c>
      <c r="C28" s="61">
        <v>989.8</v>
      </c>
      <c r="D28" s="61">
        <v>989.3</v>
      </c>
      <c r="E28" s="61">
        <v>988.6</v>
      </c>
      <c r="F28" s="61">
        <v>988.1</v>
      </c>
      <c r="G28" s="61">
        <v>986.8</v>
      </c>
      <c r="H28" s="61">
        <v>985.9</v>
      </c>
      <c r="I28" s="61">
        <v>985.3</v>
      </c>
      <c r="J28" s="61">
        <v>985.4</v>
      </c>
      <c r="K28" s="61">
        <v>985.4</v>
      </c>
      <c r="L28" s="61">
        <v>986.2</v>
      </c>
      <c r="M28" s="61">
        <v>987</v>
      </c>
      <c r="N28" s="61">
        <v>987.8</v>
      </c>
      <c r="O28" s="87">
        <f t="shared" si="0"/>
        <v>989.8</v>
      </c>
      <c r="P28" s="88">
        <f t="shared" si="1"/>
        <v>985.3</v>
      </c>
      <c r="Q28" s="89">
        <f t="shared" si="2"/>
        <v>987.31538461538469</v>
      </c>
    </row>
    <row r="29" spans="1:17" ht="15.75" x14ac:dyDescent="0.2">
      <c r="A29" s="65">
        <v>16</v>
      </c>
      <c r="B29" s="61">
        <v>988.6</v>
      </c>
      <c r="C29" s="61">
        <v>989.2</v>
      </c>
      <c r="D29" s="61">
        <v>989.1</v>
      </c>
      <c r="E29" s="61">
        <v>988.8</v>
      </c>
      <c r="F29" s="61">
        <v>988</v>
      </c>
      <c r="G29" s="61">
        <v>987.5</v>
      </c>
      <c r="H29" s="61">
        <v>987.2</v>
      </c>
      <c r="I29" s="61">
        <v>986.5</v>
      </c>
      <c r="J29" s="61">
        <v>985.8</v>
      </c>
      <c r="K29" s="61">
        <v>985.6</v>
      </c>
      <c r="L29" s="61">
        <v>986.5</v>
      </c>
      <c r="M29" s="61">
        <v>987.3</v>
      </c>
      <c r="N29" s="61">
        <v>988.2</v>
      </c>
      <c r="O29" s="87">
        <f t="shared" si="0"/>
        <v>989.2</v>
      </c>
      <c r="P29" s="88">
        <f t="shared" si="1"/>
        <v>985.6</v>
      </c>
      <c r="Q29" s="89">
        <f t="shared" si="2"/>
        <v>987.56153846153836</v>
      </c>
    </row>
    <row r="30" spans="1:17" ht="15.75" x14ac:dyDescent="0.2">
      <c r="A30" s="65">
        <v>17</v>
      </c>
      <c r="B30" s="61">
        <v>988.3</v>
      </c>
      <c r="C30" s="61">
        <v>988.3</v>
      </c>
      <c r="D30" s="61">
        <v>988.3</v>
      </c>
      <c r="E30" s="61">
        <v>987.9</v>
      </c>
      <c r="F30" s="61">
        <v>987.5</v>
      </c>
      <c r="G30" s="61">
        <v>986.8</v>
      </c>
      <c r="H30" s="61">
        <v>986.2</v>
      </c>
      <c r="I30" s="61">
        <v>985.5</v>
      </c>
      <c r="J30" s="61">
        <v>985.6</v>
      </c>
      <c r="K30" s="61">
        <v>985.8</v>
      </c>
      <c r="L30" s="61">
        <v>986</v>
      </c>
      <c r="M30" s="61">
        <v>987.2</v>
      </c>
      <c r="N30" s="61">
        <v>988.2</v>
      </c>
      <c r="O30" s="87">
        <f t="shared" si="0"/>
        <v>988.3</v>
      </c>
      <c r="P30" s="88">
        <f t="shared" si="1"/>
        <v>985.5</v>
      </c>
      <c r="Q30" s="89">
        <f t="shared" si="2"/>
        <v>987.04615384615386</v>
      </c>
    </row>
    <row r="31" spans="1:17" ht="15.75" x14ac:dyDescent="0.2">
      <c r="A31" s="65">
        <v>18</v>
      </c>
      <c r="B31" s="61">
        <v>987.8</v>
      </c>
      <c r="C31" s="61">
        <v>988.1</v>
      </c>
      <c r="D31" s="61">
        <v>987.8</v>
      </c>
      <c r="E31" s="61">
        <v>987.4</v>
      </c>
      <c r="F31" s="61">
        <v>986.8</v>
      </c>
      <c r="G31" s="61">
        <v>985.9</v>
      </c>
      <c r="H31" s="61">
        <v>985.3</v>
      </c>
      <c r="I31" s="61">
        <v>984.2</v>
      </c>
      <c r="J31" s="61">
        <v>983.8</v>
      </c>
      <c r="K31" s="61">
        <v>984</v>
      </c>
      <c r="L31" s="61">
        <v>984.6</v>
      </c>
      <c r="M31" s="61">
        <v>985.6</v>
      </c>
      <c r="N31" s="61">
        <v>986.5</v>
      </c>
      <c r="O31" s="87">
        <f t="shared" si="0"/>
        <v>988.1</v>
      </c>
      <c r="P31" s="88">
        <f t="shared" si="1"/>
        <v>983.8</v>
      </c>
      <c r="Q31" s="89">
        <f t="shared" si="2"/>
        <v>985.98461538461538</v>
      </c>
    </row>
    <row r="32" spans="1:17" ht="15.75" x14ac:dyDescent="0.2">
      <c r="A32" s="65">
        <v>19</v>
      </c>
      <c r="B32" s="61">
        <v>987.9</v>
      </c>
      <c r="C32" s="61">
        <v>988.3</v>
      </c>
      <c r="D32" s="61">
        <v>988.3</v>
      </c>
      <c r="E32" s="61">
        <v>987.5</v>
      </c>
      <c r="F32" s="61">
        <v>987.3</v>
      </c>
      <c r="G32" s="61">
        <v>986.7</v>
      </c>
      <c r="H32" s="61">
        <v>985.7</v>
      </c>
      <c r="I32" s="61">
        <v>985.1</v>
      </c>
      <c r="J32" s="61">
        <v>984.4</v>
      </c>
      <c r="K32" s="61">
        <v>984.6</v>
      </c>
      <c r="L32" s="61">
        <v>985.1</v>
      </c>
      <c r="M32" s="61">
        <v>985.4</v>
      </c>
      <c r="N32" s="61">
        <v>985.6</v>
      </c>
      <c r="O32" s="87">
        <f t="shared" si="0"/>
        <v>988.3</v>
      </c>
      <c r="P32" s="88">
        <f t="shared" si="1"/>
        <v>984.4</v>
      </c>
      <c r="Q32" s="89">
        <f t="shared" si="2"/>
        <v>986.30000000000007</v>
      </c>
    </row>
    <row r="33" spans="1:17" ht="15.75" x14ac:dyDescent="0.2">
      <c r="A33" s="65">
        <v>20</v>
      </c>
      <c r="B33" s="61">
        <v>987.83</v>
      </c>
      <c r="C33" s="61">
        <v>988.64</v>
      </c>
      <c r="D33" s="61">
        <v>988.05</v>
      </c>
      <c r="E33" s="61">
        <v>987.49</v>
      </c>
      <c r="F33" s="61">
        <v>986.09</v>
      </c>
      <c r="G33" s="61">
        <v>986.8</v>
      </c>
      <c r="H33" s="61">
        <v>985.61</v>
      </c>
      <c r="I33" s="61">
        <v>984.7</v>
      </c>
      <c r="J33" s="61">
        <v>984.6</v>
      </c>
      <c r="K33" s="61">
        <v>984.6</v>
      </c>
      <c r="L33" s="61">
        <v>985.1</v>
      </c>
      <c r="M33" s="61">
        <v>986</v>
      </c>
      <c r="N33" s="61">
        <v>987.2</v>
      </c>
      <c r="O33" s="87">
        <f t="shared" si="0"/>
        <v>988.64</v>
      </c>
      <c r="P33" s="88">
        <f t="shared" si="1"/>
        <v>984.6</v>
      </c>
      <c r="Q33" s="89">
        <f t="shared" si="2"/>
        <v>986.36230769230781</v>
      </c>
    </row>
    <row r="34" spans="1:17" ht="15.75" x14ac:dyDescent="0.2">
      <c r="A34" s="65">
        <v>21</v>
      </c>
      <c r="B34" s="61">
        <v>987.5</v>
      </c>
      <c r="C34" s="61">
        <v>987.9</v>
      </c>
      <c r="D34" s="61">
        <v>987.6</v>
      </c>
      <c r="E34" s="61">
        <v>987</v>
      </c>
      <c r="F34" s="61">
        <v>986.2</v>
      </c>
      <c r="G34" s="61">
        <v>985.7</v>
      </c>
      <c r="H34" s="61">
        <v>984.6</v>
      </c>
      <c r="I34" s="61">
        <v>984</v>
      </c>
      <c r="J34" s="61">
        <v>983.9</v>
      </c>
      <c r="K34" s="61">
        <v>983.7</v>
      </c>
      <c r="L34" s="61">
        <v>984.6</v>
      </c>
      <c r="M34" s="61">
        <v>985.5</v>
      </c>
      <c r="N34" s="61">
        <v>986.4</v>
      </c>
      <c r="O34" s="87">
        <f t="shared" si="0"/>
        <v>987.9</v>
      </c>
      <c r="P34" s="88">
        <f t="shared" si="1"/>
        <v>983.7</v>
      </c>
      <c r="Q34" s="89">
        <f t="shared" si="2"/>
        <v>985.73846153846159</v>
      </c>
    </row>
    <row r="35" spans="1:17" ht="15.75" x14ac:dyDescent="0.2">
      <c r="A35" s="65">
        <v>22</v>
      </c>
      <c r="B35" s="61">
        <v>986.4</v>
      </c>
      <c r="C35" s="61">
        <v>986.4</v>
      </c>
      <c r="D35" s="61">
        <v>987.1</v>
      </c>
      <c r="E35" s="61">
        <v>986.5</v>
      </c>
      <c r="F35" s="61">
        <v>986</v>
      </c>
      <c r="G35" s="61">
        <v>985.3</v>
      </c>
      <c r="H35" s="61">
        <v>984.7</v>
      </c>
      <c r="I35" s="61">
        <v>983.5</v>
      </c>
      <c r="J35" s="61">
        <v>984.9</v>
      </c>
      <c r="K35" s="61">
        <v>984.9</v>
      </c>
      <c r="L35" s="61">
        <v>985.9</v>
      </c>
      <c r="M35" s="61">
        <v>985.9</v>
      </c>
      <c r="N35" s="61">
        <v>986.9</v>
      </c>
      <c r="O35" s="87">
        <f t="shared" si="0"/>
        <v>987.1</v>
      </c>
      <c r="P35" s="88">
        <f t="shared" si="1"/>
        <v>983.5</v>
      </c>
      <c r="Q35" s="89">
        <f t="shared" si="2"/>
        <v>985.72307692307675</v>
      </c>
    </row>
    <row r="36" spans="1:17" ht="15.75" x14ac:dyDescent="0.2">
      <c r="A36" s="65">
        <v>23</v>
      </c>
      <c r="B36" s="61">
        <v>987.3</v>
      </c>
      <c r="C36" s="61">
        <v>987.6</v>
      </c>
      <c r="D36" s="61">
        <v>987.3</v>
      </c>
      <c r="E36" s="61">
        <v>986.8</v>
      </c>
      <c r="F36" s="61">
        <v>986.6</v>
      </c>
      <c r="G36" s="61">
        <v>986.4</v>
      </c>
      <c r="H36" s="61">
        <v>986</v>
      </c>
      <c r="I36" s="61">
        <v>986.7</v>
      </c>
      <c r="J36" s="61">
        <v>986.4</v>
      </c>
      <c r="K36" s="61">
        <v>986.1</v>
      </c>
      <c r="L36" s="61">
        <v>986.9</v>
      </c>
      <c r="M36" s="61">
        <v>987.7</v>
      </c>
      <c r="N36" s="61">
        <v>988.5</v>
      </c>
      <c r="O36" s="87">
        <f t="shared" si="0"/>
        <v>988.5</v>
      </c>
      <c r="P36" s="88">
        <f t="shared" si="1"/>
        <v>986</v>
      </c>
      <c r="Q36" s="89">
        <f t="shared" si="2"/>
        <v>986.94615384615395</v>
      </c>
    </row>
    <row r="37" spans="1:17" ht="15.75" x14ac:dyDescent="0.2">
      <c r="A37" s="65">
        <v>24</v>
      </c>
      <c r="B37" s="61">
        <v>989.3</v>
      </c>
      <c r="C37" s="61">
        <v>989.3</v>
      </c>
      <c r="D37" s="61">
        <v>989.8</v>
      </c>
      <c r="E37" s="61">
        <v>989.7</v>
      </c>
      <c r="F37" s="61">
        <v>988.8</v>
      </c>
      <c r="G37" s="61">
        <v>987.8</v>
      </c>
      <c r="H37" s="61">
        <v>987.2</v>
      </c>
      <c r="I37" s="61">
        <v>986.7</v>
      </c>
      <c r="J37" s="61">
        <v>986.2</v>
      </c>
      <c r="K37" s="61">
        <v>986</v>
      </c>
      <c r="L37" s="61">
        <v>986.8</v>
      </c>
      <c r="M37" s="61">
        <v>987.7</v>
      </c>
      <c r="N37" s="61">
        <v>988.5</v>
      </c>
      <c r="O37" s="87">
        <f t="shared" si="0"/>
        <v>989.8</v>
      </c>
      <c r="P37" s="88">
        <f t="shared" si="1"/>
        <v>986</v>
      </c>
      <c r="Q37" s="89">
        <f t="shared" si="2"/>
        <v>987.98461538461538</v>
      </c>
    </row>
    <row r="38" spans="1:17" ht="15.75" x14ac:dyDescent="0.2">
      <c r="A38" s="65">
        <v>25</v>
      </c>
      <c r="B38" s="61">
        <v>989.5</v>
      </c>
      <c r="C38" s="61">
        <v>990.2</v>
      </c>
      <c r="D38" s="61">
        <v>990.4</v>
      </c>
      <c r="E38" s="61">
        <v>990.4</v>
      </c>
      <c r="F38" s="61">
        <v>989.8</v>
      </c>
      <c r="G38" s="61">
        <v>988.9</v>
      </c>
      <c r="H38" s="61">
        <v>987.9</v>
      </c>
      <c r="I38" s="61">
        <v>987.6</v>
      </c>
      <c r="J38" s="61">
        <v>987.2</v>
      </c>
      <c r="K38" s="61">
        <v>987.4</v>
      </c>
      <c r="L38" s="61">
        <v>987.7</v>
      </c>
      <c r="M38" s="61">
        <v>988.4</v>
      </c>
      <c r="N38" s="61">
        <v>989.3</v>
      </c>
      <c r="O38" s="87">
        <f t="shared" si="0"/>
        <v>990.4</v>
      </c>
      <c r="P38" s="88">
        <f t="shared" si="1"/>
        <v>987.2</v>
      </c>
      <c r="Q38" s="89">
        <f t="shared" si="2"/>
        <v>988.82307692307688</v>
      </c>
    </row>
    <row r="39" spans="1:17" ht="15.75" x14ac:dyDescent="0.2">
      <c r="A39" s="65">
        <v>26</v>
      </c>
      <c r="B39" s="61">
        <v>990.1</v>
      </c>
      <c r="C39" s="61">
        <v>990.8</v>
      </c>
      <c r="D39" s="61">
        <v>990.3</v>
      </c>
      <c r="E39" s="61">
        <v>990.6</v>
      </c>
      <c r="F39" s="61">
        <v>990.2</v>
      </c>
      <c r="G39" s="61">
        <v>989.5</v>
      </c>
      <c r="H39" s="61">
        <v>989.4</v>
      </c>
      <c r="I39" s="61">
        <v>988.8</v>
      </c>
      <c r="J39" s="61">
        <v>989.1</v>
      </c>
      <c r="K39" s="61">
        <v>988.7</v>
      </c>
      <c r="L39" s="61">
        <v>989.3</v>
      </c>
      <c r="M39" s="61">
        <v>990.5</v>
      </c>
      <c r="N39" s="61">
        <v>991.6</v>
      </c>
      <c r="O39" s="87">
        <f t="shared" si="0"/>
        <v>991.6</v>
      </c>
      <c r="P39" s="88">
        <f t="shared" si="1"/>
        <v>988.7</v>
      </c>
      <c r="Q39" s="89">
        <f t="shared" si="2"/>
        <v>989.9153846153846</v>
      </c>
    </row>
    <row r="40" spans="1:17" ht="15.75" x14ac:dyDescent="0.2">
      <c r="A40" s="65">
        <v>27</v>
      </c>
      <c r="B40" s="61">
        <v>991.7</v>
      </c>
      <c r="C40" s="61">
        <v>992</v>
      </c>
      <c r="D40" s="61">
        <v>992.1</v>
      </c>
      <c r="E40" s="61">
        <v>992.1</v>
      </c>
      <c r="F40" s="61">
        <v>991.6</v>
      </c>
      <c r="G40" s="61">
        <v>991.6</v>
      </c>
      <c r="H40" s="61">
        <v>991</v>
      </c>
      <c r="I40" s="61">
        <v>990.2</v>
      </c>
      <c r="J40" s="61">
        <v>989.4</v>
      </c>
      <c r="K40" s="61">
        <v>989.3</v>
      </c>
      <c r="L40" s="61">
        <v>989.7</v>
      </c>
      <c r="M40" s="61">
        <v>990.1</v>
      </c>
      <c r="N40" s="61">
        <v>990.5</v>
      </c>
      <c r="O40" s="87">
        <f t="shared" si="0"/>
        <v>992.1</v>
      </c>
      <c r="P40" s="88">
        <f t="shared" si="1"/>
        <v>989.3</v>
      </c>
      <c r="Q40" s="89">
        <f t="shared" si="2"/>
        <v>990.86923076923085</v>
      </c>
    </row>
    <row r="41" spans="1:17" ht="15.75" x14ac:dyDescent="0.2">
      <c r="A41" s="65">
        <v>28</v>
      </c>
      <c r="B41" s="61">
        <v>990.9</v>
      </c>
      <c r="C41" s="61">
        <v>991</v>
      </c>
      <c r="D41" s="61">
        <v>991.4</v>
      </c>
      <c r="E41" s="61">
        <v>991</v>
      </c>
      <c r="F41" s="61">
        <v>990.2</v>
      </c>
      <c r="G41" s="61">
        <v>989.5</v>
      </c>
      <c r="H41" s="61">
        <v>989.2</v>
      </c>
      <c r="I41" s="61">
        <v>988.4</v>
      </c>
      <c r="J41" s="61">
        <v>988.7</v>
      </c>
      <c r="K41" s="61">
        <v>989</v>
      </c>
      <c r="L41" s="61">
        <v>989.2</v>
      </c>
      <c r="M41" s="61">
        <v>989.9</v>
      </c>
      <c r="N41" s="61">
        <v>990.4</v>
      </c>
      <c r="O41" s="87">
        <f t="shared" si="0"/>
        <v>991.4</v>
      </c>
      <c r="P41" s="88">
        <f t="shared" si="1"/>
        <v>988.4</v>
      </c>
      <c r="Q41" s="89">
        <f t="shared" si="2"/>
        <v>989.90769230769229</v>
      </c>
    </row>
    <row r="42" spans="1:17" ht="15.75" x14ac:dyDescent="0.2">
      <c r="A42" s="65">
        <v>29</v>
      </c>
      <c r="B42" s="61">
        <v>990</v>
      </c>
      <c r="C42" s="61">
        <v>990.2</v>
      </c>
      <c r="D42" s="61">
        <v>990.6</v>
      </c>
      <c r="E42" s="61">
        <v>990.7</v>
      </c>
      <c r="F42" s="61">
        <v>989.9</v>
      </c>
      <c r="G42" s="61">
        <v>989.2</v>
      </c>
      <c r="H42" s="61">
        <v>988.5</v>
      </c>
      <c r="I42" s="61">
        <v>988</v>
      </c>
      <c r="J42" s="61">
        <v>987.5</v>
      </c>
      <c r="K42" s="61">
        <v>988</v>
      </c>
      <c r="L42" s="61">
        <v>988.7</v>
      </c>
      <c r="M42" s="61">
        <v>989.4</v>
      </c>
      <c r="N42" s="61">
        <v>989.9</v>
      </c>
      <c r="O42" s="87">
        <f t="shared" si="0"/>
        <v>990.7</v>
      </c>
      <c r="P42" s="88">
        <f t="shared" si="1"/>
        <v>987.5</v>
      </c>
      <c r="Q42" s="89">
        <f t="shared" si="2"/>
        <v>989.27692307692291</v>
      </c>
    </row>
    <row r="43" spans="1:17" ht="15.75" x14ac:dyDescent="0.2">
      <c r="A43" s="65">
        <v>30</v>
      </c>
      <c r="B43" s="61">
        <v>990.5</v>
      </c>
      <c r="C43" s="61">
        <v>991</v>
      </c>
      <c r="D43" s="61">
        <v>991.3</v>
      </c>
      <c r="E43" s="61">
        <v>990.1</v>
      </c>
      <c r="F43" s="61">
        <v>990.1</v>
      </c>
      <c r="G43" s="61">
        <v>989.6</v>
      </c>
      <c r="H43" s="61">
        <v>988.8</v>
      </c>
      <c r="I43" s="61">
        <v>988.5</v>
      </c>
      <c r="J43" s="61">
        <v>988.2</v>
      </c>
      <c r="K43" s="61">
        <v>987.9</v>
      </c>
      <c r="L43" s="61">
        <v>988.5</v>
      </c>
      <c r="M43" s="61">
        <v>989.1</v>
      </c>
      <c r="N43" s="61">
        <v>989.6</v>
      </c>
      <c r="O43" s="87">
        <f t="shared" si="0"/>
        <v>991.3</v>
      </c>
      <c r="P43" s="88">
        <f t="shared" si="1"/>
        <v>987.9</v>
      </c>
      <c r="Q43" s="89">
        <f t="shared" si="2"/>
        <v>989.47692307692319</v>
      </c>
    </row>
    <row r="44" spans="1:17" ht="16.5" thickBot="1" x14ac:dyDescent="0.25">
      <c r="A44" s="65">
        <v>31</v>
      </c>
      <c r="B44" s="78">
        <v>989.6</v>
      </c>
      <c r="C44" s="79">
        <v>990.8</v>
      </c>
      <c r="D44" s="79">
        <v>991</v>
      </c>
      <c r="E44" s="79">
        <v>990.3</v>
      </c>
      <c r="F44" s="79">
        <v>990.1</v>
      </c>
      <c r="G44" s="79">
        <v>989.6</v>
      </c>
      <c r="H44" s="79">
        <v>987.8</v>
      </c>
      <c r="I44" s="79">
        <v>988</v>
      </c>
      <c r="J44" s="79">
        <v>988.2</v>
      </c>
      <c r="K44" s="79">
        <v>988.4</v>
      </c>
      <c r="L44" s="79">
        <v>988.6</v>
      </c>
      <c r="M44" s="79">
        <v>988.8</v>
      </c>
      <c r="N44" s="80">
        <v>989.4</v>
      </c>
      <c r="O44" s="87">
        <f t="shared" si="0"/>
        <v>991</v>
      </c>
      <c r="P44" s="88">
        <f t="shared" si="1"/>
        <v>987.8</v>
      </c>
      <c r="Q44" s="89">
        <f t="shared" si="2"/>
        <v>989.27692307692314</v>
      </c>
    </row>
    <row r="45" spans="1:17" ht="16.5" thickTop="1" x14ac:dyDescent="0.2">
      <c r="A45" s="93" t="s">
        <v>23</v>
      </c>
      <c r="B45" s="94">
        <f t="shared" ref="B45:Q45" si="3">MAX(B14:B44)</f>
        <v>991.7</v>
      </c>
      <c r="C45" s="94">
        <f t="shared" si="3"/>
        <v>992</v>
      </c>
      <c r="D45" s="94">
        <f t="shared" si="3"/>
        <v>992.1</v>
      </c>
      <c r="E45" s="94">
        <f t="shared" si="3"/>
        <v>992.1</v>
      </c>
      <c r="F45" s="94">
        <f t="shared" si="3"/>
        <v>991.6</v>
      </c>
      <c r="G45" s="94">
        <f t="shared" si="3"/>
        <v>991.6</v>
      </c>
      <c r="H45" s="94">
        <f t="shared" si="3"/>
        <v>991</v>
      </c>
      <c r="I45" s="94">
        <f t="shared" si="3"/>
        <v>990.2</v>
      </c>
      <c r="J45" s="94">
        <f t="shared" si="3"/>
        <v>989.4</v>
      </c>
      <c r="K45" s="94">
        <f t="shared" si="3"/>
        <v>989.3</v>
      </c>
      <c r="L45" s="94">
        <f t="shared" si="3"/>
        <v>989.7</v>
      </c>
      <c r="M45" s="94">
        <f t="shared" si="3"/>
        <v>990.5</v>
      </c>
      <c r="N45" s="94">
        <f t="shared" si="3"/>
        <v>991.6</v>
      </c>
      <c r="O45" s="90">
        <f t="shared" si="3"/>
        <v>992.1</v>
      </c>
      <c r="P45" s="90">
        <f t="shared" si="3"/>
        <v>989.3</v>
      </c>
      <c r="Q45" s="90">
        <f t="shared" si="3"/>
        <v>990.86923076923085</v>
      </c>
    </row>
    <row r="46" spans="1:17" ht="15.75" x14ac:dyDescent="0.2">
      <c r="A46" s="95" t="s">
        <v>24</v>
      </c>
      <c r="B46" s="96">
        <f t="shared" ref="B46:Q46" si="4">MIN(B14:B44)</f>
        <v>986.4</v>
      </c>
      <c r="C46" s="96">
        <f t="shared" si="4"/>
        <v>986.4</v>
      </c>
      <c r="D46" s="96">
        <f t="shared" si="4"/>
        <v>987.1</v>
      </c>
      <c r="E46" s="96">
        <f t="shared" si="4"/>
        <v>984.88</v>
      </c>
      <c r="F46" s="96">
        <f t="shared" si="4"/>
        <v>986</v>
      </c>
      <c r="G46" s="96">
        <f t="shared" si="4"/>
        <v>985.3</v>
      </c>
      <c r="H46" s="96">
        <f t="shared" si="4"/>
        <v>984.6</v>
      </c>
      <c r="I46" s="96">
        <f t="shared" si="4"/>
        <v>983.5</v>
      </c>
      <c r="J46" s="96">
        <f t="shared" si="4"/>
        <v>983.8</v>
      </c>
      <c r="K46" s="96">
        <f t="shared" si="4"/>
        <v>983.7</v>
      </c>
      <c r="L46" s="96">
        <f t="shared" si="4"/>
        <v>984.6</v>
      </c>
      <c r="M46" s="96">
        <f t="shared" si="4"/>
        <v>985.4</v>
      </c>
      <c r="N46" s="96">
        <f t="shared" si="4"/>
        <v>985.6</v>
      </c>
      <c r="O46" s="91">
        <f t="shared" si="4"/>
        <v>987.1</v>
      </c>
      <c r="P46" s="91">
        <f t="shared" si="4"/>
        <v>983.5</v>
      </c>
      <c r="Q46" s="91">
        <f t="shared" si="4"/>
        <v>985.72307692307675</v>
      </c>
    </row>
    <row r="47" spans="1:17" ht="16.5" thickBot="1" x14ac:dyDescent="0.25">
      <c r="A47" s="97" t="s">
        <v>25</v>
      </c>
      <c r="B47" s="98">
        <f t="shared" ref="B47:Q47" si="5">AVERAGE(B14:B44)</f>
        <v>989.22870967741949</v>
      </c>
      <c r="C47" s="98">
        <f t="shared" si="5"/>
        <v>989.60967741935474</v>
      </c>
      <c r="D47" s="98">
        <f t="shared" si="5"/>
        <v>989.62645161290288</v>
      </c>
      <c r="E47" s="98">
        <f t="shared" si="5"/>
        <v>988.96548387096777</v>
      </c>
      <c r="F47" s="98">
        <f t="shared" si="5"/>
        <v>988.52064516129019</v>
      </c>
      <c r="G47" s="98">
        <f t="shared" si="5"/>
        <v>987.85967741935474</v>
      </c>
      <c r="H47" s="98">
        <f t="shared" si="5"/>
        <v>987.0887096774195</v>
      </c>
      <c r="I47" s="98">
        <f t="shared" si="5"/>
        <v>986.49677419354839</v>
      </c>
      <c r="J47" s="98">
        <f t="shared" si="5"/>
        <v>986.37290322580657</v>
      </c>
      <c r="K47" s="98">
        <f t="shared" si="5"/>
        <v>986.45322580645166</v>
      </c>
      <c r="L47" s="98">
        <f t="shared" si="5"/>
        <v>987.07064516129014</v>
      </c>
      <c r="M47" s="98">
        <f t="shared" si="5"/>
        <v>987.77612903225815</v>
      </c>
      <c r="N47" s="98">
        <f t="shared" si="5"/>
        <v>988.52225806451622</v>
      </c>
      <c r="O47" s="92">
        <f t="shared" si="5"/>
        <v>989.79838709677404</v>
      </c>
      <c r="P47" s="92">
        <f t="shared" si="5"/>
        <v>986.12806451612903</v>
      </c>
      <c r="Q47" s="92">
        <f t="shared" si="5"/>
        <v>987.96856079404472</v>
      </c>
    </row>
    <row r="48" spans="1:17" ht="13.5" thickTop="1" x14ac:dyDescent="0.2"/>
    <row r="49" spans="2:15" ht="15" x14ac:dyDescent="0.25">
      <c r="B49" s="75"/>
      <c r="C49" s="76" t="str">
        <f>[4]QFE!C43</f>
        <v>Mengetahui,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</row>
    <row r="50" spans="2:15" ht="15" x14ac:dyDescent="0.25">
      <c r="B50" s="75"/>
      <c r="C50" s="76" t="str">
        <f>[4]QFE!C44</f>
        <v>Kepala Stasiun Klimatologi Kelas IV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6" t="str">
        <f>[4]QFE!O44</f>
        <v>Pengolah</v>
      </c>
      <c r="O50" s="75"/>
    </row>
    <row r="51" spans="2:15" ht="15" x14ac:dyDescent="0.25">
      <c r="B51" s="75"/>
      <c r="C51" s="76" t="str">
        <f>[4]QFE!C45</f>
        <v>Sleman Yogyakarta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6"/>
      <c r="O51" s="75"/>
    </row>
    <row r="52" spans="2:15" ht="15" x14ac:dyDescent="0.25">
      <c r="B52" s="75"/>
      <c r="C52" s="76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6"/>
      <c r="O52" s="75"/>
    </row>
    <row r="53" spans="2:15" ht="15" x14ac:dyDescent="0.25">
      <c r="B53" s="75"/>
      <c r="C53" s="76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6"/>
      <c r="O53" s="75"/>
    </row>
    <row r="54" spans="2:15" ht="15" x14ac:dyDescent="0.25">
      <c r="B54" s="75"/>
      <c r="C54" s="76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6"/>
      <c r="O54" s="75"/>
    </row>
    <row r="55" spans="2:15" ht="15" x14ac:dyDescent="0.25">
      <c r="B55" s="75"/>
      <c r="C55" s="77" t="str">
        <f>[4]QFE!C50</f>
        <v>RENI KRANINGTYAS, SP, M.Si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7" t="str">
        <f>[4]QFE!O50</f>
        <v xml:space="preserve">TIM PEMBUAT LAPORAN </v>
      </c>
      <c r="O55" s="75"/>
    </row>
    <row r="56" spans="2:15" ht="15" x14ac:dyDescent="0.25">
      <c r="B56" s="75"/>
      <c r="C56" s="76" t="str">
        <f>[4]QFE!C51</f>
        <v>NIP.  19740203 199703 2 001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6" t="str">
        <f>[4]QFE!O51</f>
        <v xml:space="preserve">PETUGAS OPERASIONAL </v>
      </c>
      <c r="O56" s="75"/>
    </row>
    <row r="57" spans="2:15" ht="15" x14ac:dyDescent="0.25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</row>
  </sheetData>
  <mergeCells count="6">
    <mergeCell ref="A7:Q7"/>
    <mergeCell ref="A1:Q1"/>
    <mergeCell ref="A2:Q2"/>
    <mergeCell ref="A3:Q3"/>
    <mergeCell ref="A4:Q4"/>
    <mergeCell ref="A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JANUARI  </vt:lpstr>
      <vt:lpstr>FEBRUARI </vt:lpstr>
      <vt:lpstr>MARET </vt:lpstr>
      <vt:lpstr>APRIL </vt:lpstr>
      <vt:lpstr>MEI  </vt:lpstr>
      <vt:lpstr>JUNI </vt:lpstr>
      <vt:lpstr>JULI  </vt:lpstr>
      <vt:lpstr>AGUSTUS </vt:lpstr>
      <vt:lpstr>SEPTEMBER </vt:lpstr>
      <vt:lpstr>OKTOBER</vt:lpstr>
      <vt:lpstr>NOVEMBER</vt:lpstr>
      <vt:lpstr>DESEMBER</vt:lpstr>
      <vt:lpstr>'APRIL '!Print_Area</vt:lpstr>
      <vt:lpstr>'JANUARI  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cp:lastPrinted>2022-06-08T01:28:25Z</cp:lastPrinted>
  <dcterms:created xsi:type="dcterms:W3CDTF">2022-02-02T02:35:22Z</dcterms:created>
  <dcterms:modified xsi:type="dcterms:W3CDTF">2023-01-05T08:28:54Z</dcterms:modified>
</cp:coreProperties>
</file>